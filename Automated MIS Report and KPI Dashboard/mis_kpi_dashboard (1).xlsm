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wnah\Downloads\"/>
    </mc:Choice>
  </mc:AlternateContent>
  <xr:revisionPtr revIDLastSave="0" documentId="13_ncr:1_{FDE4BF8D-EAD3-4F28-A334-354DE51D0321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ales_Data" sheetId="2" r:id="rId1"/>
    <sheet name="Employee_Master" sheetId="3" r:id="rId2"/>
    <sheet name="Branch_Master" sheetId="4" r:id="rId3"/>
    <sheet name="Product_Master" sheetId="5" r:id="rId4"/>
    <sheet name="Targets" sheetId="6" r:id="rId5"/>
    <sheet name="Merged_Data" sheetId="7" r:id="rId6"/>
    <sheet name="Data_Quality_Checks" sheetId="8" r:id="rId7"/>
    <sheet name="Dashboard" sheetId="9" r:id="rId8"/>
    <sheet name="Filters" sheetId="10" r:id="rId9"/>
    <sheet name="Macro_RefreshDashboard" sheetId="11" r:id="rId10"/>
    <sheet name="FilterLists" sheetId="12" state="hidden" r:id="rId11"/>
  </sheets>
  <definedNames>
    <definedName name="_xlchart.v1.0" hidden="1">Dashboard!$G$47:$G$57</definedName>
    <definedName name="_xlchart.v1.1" hidden="1">Dashboard!$H$45:$H$46</definedName>
    <definedName name="_xlchart.v1.2" hidden="1">Dashboard!$H$47:$H$57</definedName>
    <definedName name="_xlchart.v1.3" hidden="1">Dashboard!$G$47:$G$57</definedName>
    <definedName name="_xlchart.v1.4" hidden="1">Dashboard!$H$45:$H$46</definedName>
    <definedName name="_xlchart.v1.5" hidden="1">Dashboard!$H$47:$H$57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21" i="9" l="1"/>
  <c r="F20" i="9"/>
  <c r="F19" i="9"/>
  <c r="F18" i="9"/>
  <c r="F17" i="9"/>
  <c r="F16" i="9"/>
  <c r="F15" i="9"/>
  <c r="F14" i="9"/>
  <c r="D56" i="8"/>
  <c r="C56" i="8"/>
  <c r="B56" i="8"/>
  <c r="E56" i="8" s="1"/>
  <c r="D55" i="8"/>
  <c r="C55" i="8"/>
  <c r="B55" i="8"/>
  <c r="E55" i="8" s="1"/>
  <c r="D54" i="8"/>
  <c r="C54" i="8"/>
  <c r="B54" i="8"/>
  <c r="E54" i="8" s="1"/>
  <c r="D53" i="8"/>
  <c r="C53" i="8"/>
  <c r="B53" i="8"/>
  <c r="E53" i="8" s="1"/>
  <c r="D52" i="8"/>
  <c r="C52" i="8"/>
  <c r="B52" i="8"/>
  <c r="E52" i="8" s="1"/>
  <c r="D51" i="8"/>
  <c r="C51" i="8"/>
  <c r="B51" i="8"/>
  <c r="E51" i="8" s="1"/>
  <c r="D50" i="8"/>
  <c r="C50" i="8"/>
  <c r="B50" i="8"/>
  <c r="E50" i="8" s="1"/>
  <c r="D49" i="8"/>
  <c r="C49" i="8"/>
  <c r="B49" i="8"/>
  <c r="E49" i="8" s="1"/>
  <c r="E48" i="8"/>
  <c r="D48" i="8"/>
  <c r="C48" i="8"/>
  <c r="B48" i="8"/>
  <c r="D47" i="8"/>
  <c r="C47" i="8"/>
  <c r="B47" i="8"/>
  <c r="E47" i="8" s="1"/>
  <c r="D46" i="8"/>
  <c r="C46" i="8"/>
  <c r="B46" i="8"/>
  <c r="E46" i="8" s="1"/>
  <c r="D45" i="8"/>
  <c r="C45" i="8"/>
  <c r="B45" i="8"/>
  <c r="E45" i="8" s="1"/>
  <c r="E44" i="8"/>
  <c r="D44" i="8"/>
  <c r="C44" i="8"/>
  <c r="B44" i="8"/>
  <c r="D43" i="8"/>
  <c r="C43" i="8"/>
  <c r="B43" i="8"/>
  <c r="E43" i="8" s="1"/>
  <c r="D42" i="8"/>
  <c r="C42" i="8"/>
  <c r="B42" i="8"/>
  <c r="E42" i="8" s="1"/>
  <c r="E41" i="8"/>
  <c r="D41" i="8"/>
  <c r="C41" i="8"/>
  <c r="B41" i="8"/>
  <c r="D40" i="8"/>
  <c r="C40" i="8"/>
  <c r="B40" i="8"/>
  <c r="E40" i="8" s="1"/>
  <c r="D39" i="8"/>
  <c r="C39" i="8"/>
  <c r="B39" i="8"/>
  <c r="E39" i="8" s="1"/>
  <c r="D38" i="8"/>
  <c r="C38" i="8"/>
  <c r="B38" i="8"/>
  <c r="E38" i="8" s="1"/>
  <c r="D37" i="8"/>
  <c r="C37" i="8"/>
  <c r="B37" i="8"/>
  <c r="E37" i="8" s="1"/>
  <c r="D36" i="8"/>
  <c r="C36" i="8"/>
  <c r="B36" i="8"/>
  <c r="E36" i="8" s="1"/>
  <c r="D35" i="8"/>
  <c r="C35" i="8"/>
  <c r="B35" i="8"/>
  <c r="E35" i="8" s="1"/>
  <c r="D34" i="8"/>
  <c r="C34" i="8"/>
  <c r="B34" i="8"/>
  <c r="E34" i="8" s="1"/>
  <c r="E33" i="8"/>
  <c r="D33" i="8"/>
  <c r="C33" i="8"/>
  <c r="B33" i="8"/>
  <c r="D32" i="8"/>
  <c r="C32" i="8"/>
  <c r="B32" i="8"/>
  <c r="E32" i="8" s="1"/>
  <c r="D31" i="8"/>
  <c r="C31" i="8"/>
  <c r="B31" i="8"/>
  <c r="E31" i="8" s="1"/>
  <c r="E30" i="8"/>
  <c r="D30" i="8"/>
  <c r="C30" i="8"/>
  <c r="B30" i="8"/>
  <c r="D29" i="8"/>
  <c r="C29" i="8"/>
  <c r="B29" i="8"/>
  <c r="E29" i="8" s="1"/>
  <c r="D28" i="8"/>
  <c r="C28" i="8"/>
  <c r="B28" i="8"/>
  <c r="E28" i="8" s="1"/>
  <c r="D27" i="8"/>
  <c r="C27" i="8"/>
  <c r="B27" i="8"/>
  <c r="E27" i="8" s="1"/>
  <c r="D26" i="8"/>
  <c r="C26" i="8"/>
  <c r="B26" i="8"/>
  <c r="E26" i="8" s="1"/>
  <c r="D25" i="8"/>
  <c r="C25" i="8"/>
  <c r="B25" i="8"/>
  <c r="E25" i="8" s="1"/>
  <c r="D24" i="8"/>
  <c r="C24" i="8"/>
  <c r="B24" i="8"/>
  <c r="E24" i="8" s="1"/>
  <c r="D23" i="8"/>
  <c r="C23" i="8"/>
  <c r="B23" i="8"/>
  <c r="E23" i="8" s="1"/>
  <c r="D22" i="8"/>
  <c r="C22" i="8"/>
  <c r="B22" i="8"/>
  <c r="E22" i="8" s="1"/>
  <c r="D21" i="8"/>
  <c r="C21" i="8"/>
  <c r="B21" i="8"/>
  <c r="E21" i="8" s="1"/>
  <c r="D20" i="8"/>
  <c r="C20" i="8"/>
  <c r="B20" i="8"/>
  <c r="E20" i="8" s="1"/>
  <c r="D19" i="8"/>
  <c r="C19" i="8"/>
  <c r="B19" i="8"/>
  <c r="E19" i="8" s="1"/>
  <c r="D18" i="8"/>
  <c r="C18" i="8"/>
  <c r="B18" i="8"/>
  <c r="E18" i="8" s="1"/>
  <c r="D17" i="8"/>
  <c r="C17" i="8"/>
  <c r="B17" i="8"/>
  <c r="E17" i="8" s="1"/>
  <c r="D16" i="8"/>
  <c r="C16" i="8"/>
  <c r="B16" i="8"/>
  <c r="E16" i="8" s="1"/>
  <c r="D15" i="8"/>
  <c r="C15" i="8"/>
  <c r="B15" i="8"/>
  <c r="E15" i="8" s="1"/>
  <c r="D14" i="8"/>
  <c r="C14" i="8"/>
  <c r="B14" i="8"/>
  <c r="E14" i="8" s="1"/>
  <c r="E9" i="8"/>
  <c r="E8" i="8"/>
  <c r="E7" i="8"/>
  <c r="M1004" i="7"/>
  <c r="L1004" i="7"/>
  <c r="K1004" i="7"/>
  <c r="H1004" i="7"/>
  <c r="J1004" i="7" s="1"/>
  <c r="C1004" i="7"/>
  <c r="D1004" i="7" s="1"/>
  <c r="B1004" i="7"/>
  <c r="A1004" i="7"/>
  <c r="R1004" i="7" s="1"/>
  <c r="M1003" i="7"/>
  <c r="L1003" i="7"/>
  <c r="K1003" i="7"/>
  <c r="H1003" i="7"/>
  <c r="J1003" i="7" s="1"/>
  <c r="C1003" i="7"/>
  <c r="B1003" i="7"/>
  <c r="P1003" i="7" s="1"/>
  <c r="A1003" i="7"/>
  <c r="R1003" i="7" s="1"/>
  <c r="M1002" i="7"/>
  <c r="L1002" i="7"/>
  <c r="K1002" i="7"/>
  <c r="H1002" i="7"/>
  <c r="J1002" i="7" s="1"/>
  <c r="C1002" i="7"/>
  <c r="D1002" i="7" s="1"/>
  <c r="B1002" i="7"/>
  <c r="A1002" i="7"/>
  <c r="R1002" i="7" s="1"/>
  <c r="M1001" i="7"/>
  <c r="L1001" i="7"/>
  <c r="K1001" i="7"/>
  <c r="H1001" i="7"/>
  <c r="J1001" i="7" s="1"/>
  <c r="C1001" i="7"/>
  <c r="E1001" i="7" s="1"/>
  <c r="B1001" i="7"/>
  <c r="A1001" i="7"/>
  <c r="R1001" i="7" s="1"/>
  <c r="O1000" i="7"/>
  <c r="M1000" i="7"/>
  <c r="L1000" i="7"/>
  <c r="K1000" i="7"/>
  <c r="H1000" i="7"/>
  <c r="C1000" i="7"/>
  <c r="D1000" i="7" s="1"/>
  <c r="B1000" i="7"/>
  <c r="P1000" i="7" s="1"/>
  <c r="A1000" i="7"/>
  <c r="R1000" i="7" s="1"/>
  <c r="M999" i="7"/>
  <c r="L999" i="7"/>
  <c r="K999" i="7"/>
  <c r="H999" i="7"/>
  <c r="J999" i="7" s="1"/>
  <c r="C999" i="7"/>
  <c r="B999" i="7"/>
  <c r="A999" i="7"/>
  <c r="R999" i="7" s="1"/>
  <c r="M998" i="7"/>
  <c r="L998" i="7"/>
  <c r="K998" i="7"/>
  <c r="H998" i="7"/>
  <c r="J998" i="7" s="1"/>
  <c r="C998" i="7"/>
  <c r="B998" i="7"/>
  <c r="A998" i="7"/>
  <c r="R998" i="7" s="1"/>
  <c r="M997" i="7"/>
  <c r="L997" i="7"/>
  <c r="Q997" i="7" s="1"/>
  <c r="K997" i="7"/>
  <c r="H997" i="7"/>
  <c r="J997" i="7" s="1"/>
  <c r="G997" i="7"/>
  <c r="C997" i="7"/>
  <c r="D997" i="7" s="1"/>
  <c r="B997" i="7"/>
  <c r="A997" i="7"/>
  <c r="R997" i="7" s="1"/>
  <c r="N996" i="7"/>
  <c r="M996" i="7"/>
  <c r="L996" i="7"/>
  <c r="Q996" i="7" s="1"/>
  <c r="K996" i="7"/>
  <c r="H996" i="7"/>
  <c r="C996" i="7"/>
  <c r="F996" i="7" s="1"/>
  <c r="B996" i="7"/>
  <c r="A996" i="7"/>
  <c r="R996" i="7" s="1"/>
  <c r="M995" i="7"/>
  <c r="L995" i="7"/>
  <c r="Q995" i="7" s="1"/>
  <c r="K995" i="7"/>
  <c r="H995" i="7"/>
  <c r="J995" i="7" s="1"/>
  <c r="C995" i="7"/>
  <c r="B995" i="7"/>
  <c r="A995" i="7"/>
  <c r="R995" i="7" s="1"/>
  <c r="M994" i="7"/>
  <c r="L994" i="7"/>
  <c r="K994" i="7"/>
  <c r="H994" i="7"/>
  <c r="J994" i="7" s="1"/>
  <c r="C994" i="7"/>
  <c r="B994" i="7"/>
  <c r="A994" i="7"/>
  <c r="R994" i="7" s="1"/>
  <c r="M993" i="7"/>
  <c r="L993" i="7"/>
  <c r="Q993" i="7" s="1"/>
  <c r="K993" i="7"/>
  <c r="H993" i="7"/>
  <c r="C993" i="7"/>
  <c r="E993" i="7" s="1"/>
  <c r="B993" i="7"/>
  <c r="N993" i="7" s="1"/>
  <c r="A993" i="7"/>
  <c r="R993" i="7" s="1"/>
  <c r="R992" i="7"/>
  <c r="M992" i="7"/>
  <c r="L992" i="7"/>
  <c r="K992" i="7"/>
  <c r="H992" i="7"/>
  <c r="C992" i="7"/>
  <c r="F992" i="7" s="1"/>
  <c r="B992" i="7"/>
  <c r="A992" i="7"/>
  <c r="M991" i="7"/>
  <c r="L991" i="7"/>
  <c r="K991" i="7"/>
  <c r="H991" i="7"/>
  <c r="J991" i="7" s="1"/>
  <c r="C991" i="7"/>
  <c r="G991" i="7" s="1"/>
  <c r="B991" i="7"/>
  <c r="A991" i="7"/>
  <c r="R991" i="7" s="1"/>
  <c r="O990" i="7"/>
  <c r="M990" i="7"/>
  <c r="L990" i="7"/>
  <c r="K990" i="7"/>
  <c r="H990" i="7"/>
  <c r="J990" i="7" s="1"/>
  <c r="C990" i="7"/>
  <c r="B990" i="7"/>
  <c r="P990" i="7" s="1"/>
  <c r="A990" i="7"/>
  <c r="R990" i="7" s="1"/>
  <c r="M989" i="7"/>
  <c r="L989" i="7"/>
  <c r="K989" i="7"/>
  <c r="H989" i="7"/>
  <c r="C989" i="7"/>
  <c r="B989" i="7"/>
  <c r="A989" i="7"/>
  <c r="R989" i="7" s="1"/>
  <c r="M988" i="7"/>
  <c r="L988" i="7"/>
  <c r="K988" i="7"/>
  <c r="H988" i="7"/>
  <c r="C988" i="7"/>
  <c r="B988" i="7"/>
  <c r="A988" i="7"/>
  <c r="R988" i="7" s="1"/>
  <c r="M987" i="7"/>
  <c r="L987" i="7"/>
  <c r="K987" i="7"/>
  <c r="H987" i="7"/>
  <c r="J987" i="7" s="1"/>
  <c r="C987" i="7"/>
  <c r="G987" i="7" s="1"/>
  <c r="B987" i="7"/>
  <c r="A987" i="7"/>
  <c r="R987" i="7" s="1"/>
  <c r="O986" i="7"/>
  <c r="M986" i="7"/>
  <c r="L986" i="7"/>
  <c r="K986" i="7"/>
  <c r="H986" i="7"/>
  <c r="J986" i="7" s="1"/>
  <c r="C986" i="7"/>
  <c r="B986" i="7"/>
  <c r="P986" i="7" s="1"/>
  <c r="A986" i="7"/>
  <c r="R986" i="7" s="1"/>
  <c r="M985" i="7"/>
  <c r="L985" i="7"/>
  <c r="K985" i="7"/>
  <c r="H985" i="7"/>
  <c r="C985" i="7"/>
  <c r="E985" i="7" s="1"/>
  <c r="B985" i="7"/>
  <c r="N985" i="7" s="1"/>
  <c r="A985" i="7"/>
  <c r="R985" i="7" s="1"/>
  <c r="M984" i="7"/>
  <c r="L984" i="7"/>
  <c r="K984" i="7"/>
  <c r="H984" i="7"/>
  <c r="C984" i="7"/>
  <c r="B984" i="7"/>
  <c r="A984" i="7"/>
  <c r="R984" i="7" s="1"/>
  <c r="M983" i="7"/>
  <c r="L983" i="7"/>
  <c r="K983" i="7"/>
  <c r="H983" i="7"/>
  <c r="J983" i="7" s="1"/>
  <c r="C983" i="7"/>
  <c r="G983" i="7" s="1"/>
  <c r="B983" i="7"/>
  <c r="A983" i="7"/>
  <c r="R983" i="7" s="1"/>
  <c r="M982" i="7"/>
  <c r="L982" i="7"/>
  <c r="K982" i="7"/>
  <c r="H982" i="7"/>
  <c r="J982" i="7" s="1"/>
  <c r="C982" i="7"/>
  <c r="D982" i="7" s="1"/>
  <c r="B982" i="7"/>
  <c r="A982" i="7"/>
  <c r="R982" i="7" s="1"/>
  <c r="R981" i="7"/>
  <c r="M981" i="7"/>
  <c r="L981" i="7"/>
  <c r="Q981" i="7" s="1"/>
  <c r="K981" i="7"/>
  <c r="H981" i="7"/>
  <c r="J981" i="7" s="1"/>
  <c r="C981" i="7"/>
  <c r="B981" i="7"/>
  <c r="N981" i="7" s="1"/>
  <c r="A981" i="7"/>
  <c r="R980" i="7"/>
  <c r="O980" i="7"/>
  <c r="N980" i="7"/>
  <c r="M980" i="7"/>
  <c r="L980" i="7"/>
  <c r="K980" i="7"/>
  <c r="H980" i="7"/>
  <c r="C980" i="7"/>
  <c r="G980" i="7" s="1"/>
  <c r="B980" i="7"/>
  <c r="P980" i="7" s="1"/>
  <c r="A980" i="7"/>
  <c r="M979" i="7"/>
  <c r="L979" i="7"/>
  <c r="Q979" i="7" s="1"/>
  <c r="K979" i="7"/>
  <c r="H979" i="7"/>
  <c r="C979" i="7"/>
  <c r="G979" i="7" s="1"/>
  <c r="B979" i="7"/>
  <c r="A979" i="7"/>
  <c r="R979" i="7" s="1"/>
  <c r="M978" i="7"/>
  <c r="L978" i="7"/>
  <c r="K978" i="7"/>
  <c r="H978" i="7"/>
  <c r="C978" i="7"/>
  <c r="B978" i="7"/>
  <c r="A978" i="7"/>
  <c r="R978" i="7" s="1"/>
  <c r="N977" i="7"/>
  <c r="M977" i="7"/>
  <c r="L977" i="7"/>
  <c r="Q977" i="7" s="1"/>
  <c r="K977" i="7"/>
  <c r="H977" i="7"/>
  <c r="C977" i="7"/>
  <c r="B977" i="7"/>
  <c r="P977" i="7" s="1"/>
  <c r="A977" i="7"/>
  <c r="R977" i="7" s="1"/>
  <c r="R976" i="7"/>
  <c r="M976" i="7"/>
  <c r="L976" i="7"/>
  <c r="K976" i="7"/>
  <c r="H976" i="7"/>
  <c r="F976" i="7"/>
  <c r="C976" i="7"/>
  <c r="E976" i="7" s="1"/>
  <c r="B976" i="7"/>
  <c r="P976" i="7" s="1"/>
  <c r="A976" i="7"/>
  <c r="M975" i="7"/>
  <c r="L975" i="7"/>
  <c r="Q975" i="7" s="1"/>
  <c r="K975" i="7"/>
  <c r="H975" i="7"/>
  <c r="J975" i="7" s="1"/>
  <c r="C975" i="7"/>
  <c r="B975" i="7"/>
  <c r="O975" i="7" s="1"/>
  <c r="A975" i="7"/>
  <c r="R975" i="7" s="1"/>
  <c r="M974" i="7"/>
  <c r="L974" i="7"/>
  <c r="Q974" i="7" s="1"/>
  <c r="K974" i="7"/>
  <c r="H974" i="7"/>
  <c r="J974" i="7" s="1"/>
  <c r="G974" i="7"/>
  <c r="E974" i="7"/>
  <c r="C974" i="7"/>
  <c r="F974" i="7" s="1"/>
  <c r="B974" i="7"/>
  <c r="O974" i="7" s="1"/>
  <c r="A974" i="7"/>
  <c r="R974" i="7" s="1"/>
  <c r="M973" i="7"/>
  <c r="L973" i="7"/>
  <c r="K973" i="7"/>
  <c r="H973" i="7"/>
  <c r="I973" i="7" s="1"/>
  <c r="C973" i="7"/>
  <c r="D973" i="7" s="1"/>
  <c r="B973" i="7"/>
  <c r="A973" i="7"/>
  <c r="R973" i="7" s="1"/>
  <c r="O972" i="7"/>
  <c r="M972" i="7"/>
  <c r="L972" i="7"/>
  <c r="K972" i="7"/>
  <c r="H972" i="7"/>
  <c r="J972" i="7" s="1"/>
  <c r="D972" i="7"/>
  <c r="C972" i="7"/>
  <c r="B972" i="7"/>
  <c r="A972" i="7"/>
  <c r="R972" i="7" s="1"/>
  <c r="M971" i="7"/>
  <c r="L971" i="7"/>
  <c r="Q971" i="7" s="1"/>
  <c r="K971" i="7"/>
  <c r="H971" i="7"/>
  <c r="J971" i="7" s="1"/>
  <c r="C971" i="7"/>
  <c r="G971" i="7" s="1"/>
  <c r="B971" i="7"/>
  <c r="P971" i="7" s="1"/>
  <c r="A971" i="7"/>
  <c r="R971" i="7" s="1"/>
  <c r="N970" i="7"/>
  <c r="M970" i="7"/>
  <c r="L970" i="7"/>
  <c r="Q970" i="7" s="1"/>
  <c r="K970" i="7"/>
  <c r="H970" i="7"/>
  <c r="C970" i="7"/>
  <c r="B970" i="7"/>
  <c r="A970" i="7"/>
  <c r="R970" i="7" s="1"/>
  <c r="M969" i="7"/>
  <c r="L969" i="7"/>
  <c r="Q969" i="7" s="1"/>
  <c r="K969" i="7"/>
  <c r="H969" i="7"/>
  <c r="C969" i="7"/>
  <c r="B969" i="7"/>
  <c r="A969" i="7"/>
  <c r="R969" i="7" s="1"/>
  <c r="M968" i="7"/>
  <c r="L968" i="7"/>
  <c r="Q968" i="7" s="1"/>
  <c r="K968" i="7"/>
  <c r="H968" i="7"/>
  <c r="E968" i="7"/>
  <c r="D968" i="7"/>
  <c r="C968" i="7"/>
  <c r="B968" i="7"/>
  <c r="P968" i="7" s="1"/>
  <c r="A968" i="7"/>
  <c r="R968" i="7" s="1"/>
  <c r="O967" i="7"/>
  <c r="M967" i="7"/>
  <c r="L967" i="7"/>
  <c r="Q967" i="7" s="1"/>
  <c r="K967" i="7"/>
  <c r="I967" i="7"/>
  <c r="H967" i="7"/>
  <c r="J967" i="7" s="1"/>
  <c r="C967" i="7"/>
  <c r="B967" i="7"/>
  <c r="A967" i="7"/>
  <c r="R967" i="7" s="1"/>
  <c r="M966" i="7"/>
  <c r="L966" i="7"/>
  <c r="K966" i="7"/>
  <c r="H966" i="7"/>
  <c r="J966" i="7" s="1"/>
  <c r="C966" i="7"/>
  <c r="G966" i="7" s="1"/>
  <c r="B966" i="7"/>
  <c r="A966" i="7"/>
  <c r="R966" i="7" s="1"/>
  <c r="M965" i="7"/>
  <c r="L965" i="7"/>
  <c r="K965" i="7"/>
  <c r="H965" i="7"/>
  <c r="I965" i="7" s="1"/>
  <c r="C965" i="7"/>
  <c r="B965" i="7"/>
  <c r="A965" i="7"/>
  <c r="R965" i="7" s="1"/>
  <c r="Q964" i="7"/>
  <c r="M964" i="7"/>
  <c r="L964" i="7"/>
  <c r="K964" i="7"/>
  <c r="H964" i="7"/>
  <c r="J964" i="7" s="1"/>
  <c r="C964" i="7"/>
  <c r="D964" i="7" s="1"/>
  <c r="B964" i="7"/>
  <c r="O964" i="7" s="1"/>
  <c r="A964" i="7"/>
  <c r="R964" i="7" s="1"/>
  <c r="Q963" i="7"/>
  <c r="M963" i="7"/>
  <c r="L963" i="7"/>
  <c r="K963" i="7"/>
  <c r="H963" i="7"/>
  <c r="J963" i="7" s="1"/>
  <c r="C963" i="7"/>
  <c r="B963" i="7"/>
  <c r="P963" i="7" s="1"/>
  <c r="A963" i="7"/>
  <c r="R963" i="7" s="1"/>
  <c r="M962" i="7"/>
  <c r="L962" i="7"/>
  <c r="K962" i="7"/>
  <c r="H962" i="7"/>
  <c r="J962" i="7" s="1"/>
  <c r="C962" i="7"/>
  <c r="B962" i="7"/>
  <c r="P962" i="7" s="1"/>
  <c r="A962" i="7"/>
  <c r="R962" i="7" s="1"/>
  <c r="M961" i="7"/>
  <c r="L961" i="7"/>
  <c r="Q961" i="7" s="1"/>
  <c r="K961" i="7"/>
  <c r="H961" i="7"/>
  <c r="I961" i="7" s="1"/>
  <c r="C961" i="7"/>
  <c r="B961" i="7"/>
  <c r="A961" i="7"/>
  <c r="R961" i="7" s="1"/>
  <c r="M960" i="7"/>
  <c r="L960" i="7"/>
  <c r="K960" i="7"/>
  <c r="H960" i="7"/>
  <c r="G960" i="7"/>
  <c r="D960" i="7"/>
  <c r="C960" i="7"/>
  <c r="F960" i="7" s="1"/>
  <c r="B960" i="7"/>
  <c r="O960" i="7" s="1"/>
  <c r="A960" i="7"/>
  <c r="R960" i="7" s="1"/>
  <c r="R959" i="7"/>
  <c r="M959" i="7"/>
  <c r="L959" i="7"/>
  <c r="K959" i="7"/>
  <c r="J959" i="7"/>
  <c r="I959" i="7"/>
  <c r="H959" i="7"/>
  <c r="C959" i="7"/>
  <c r="B959" i="7"/>
  <c r="O959" i="7" s="1"/>
  <c r="A959" i="7"/>
  <c r="P958" i="7"/>
  <c r="O958" i="7"/>
  <c r="N958" i="7"/>
  <c r="M958" i="7"/>
  <c r="L958" i="7"/>
  <c r="K958" i="7"/>
  <c r="H958" i="7"/>
  <c r="J958" i="7" s="1"/>
  <c r="G958" i="7"/>
  <c r="C958" i="7"/>
  <c r="E958" i="7" s="1"/>
  <c r="B958" i="7"/>
  <c r="A958" i="7"/>
  <c r="R958" i="7" s="1"/>
  <c r="M957" i="7"/>
  <c r="L957" i="7"/>
  <c r="K957" i="7"/>
  <c r="H957" i="7"/>
  <c r="I957" i="7" s="1"/>
  <c r="C957" i="7"/>
  <c r="G957" i="7" s="1"/>
  <c r="B957" i="7"/>
  <c r="A957" i="7"/>
  <c r="R957" i="7" s="1"/>
  <c r="M956" i="7"/>
  <c r="L956" i="7"/>
  <c r="K956" i="7"/>
  <c r="H956" i="7"/>
  <c r="C956" i="7"/>
  <c r="B956" i="7"/>
  <c r="O956" i="7" s="1"/>
  <c r="A956" i="7"/>
  <c r="R956" i="7" s="1"/>
  <c r="M955" i="7"/>
  <c r="L955" i="7"/>
  <c r="Q955" i="7" s="1"/>
  <c r="K955" i="7"/>
  <c r="H955" i="7"/>
  <c r="I955" i="7" s="1"/>
  <c r="C955" i="7"/>
  <c r="B955" i="7"/>
  <c r="O955" i="7" s="1"/>
  <c r="A955" i="7"/>
  <c r="R955" i="7" s="1"/>
  <c r="M954" i="7"/>
  <c r="L954" i="7"/>
  <c r="Q954" i="7" s="1"/>
  <c r="K954" i="7"/>
  <c r="H954" i="7"/>
  <c r="I954" i="7" s="1"/>
  <c r="G954" i="7"/>
  <c r="C954" i="7"/>
  <c r="F954" i="7" s="1"/>
  <c r="B954" i="7"/>
  <c r="O954" i="7" s="1"/>
  <c r="A954" i="7"/>
  <c r="R954" i="7" s="1"/>
  <c r="M953" i="7"/>
  <c r="L953" i="7"/>
  <c r="Q953" i="7" s="1"/>
  <c r="K953" i="7"/>
  <c r="H953" i="7"/>
  <c r="I953" i="7" s="1"/>
  <c r="D953" i="7"/>
  <c r="C953" i="7"/>
  <c r="G953" i="7" s="1"/>
  <c r="B953" i="7"/>
  <c r="A953" i="7"/>
  <c r="R953" i="7" s="1"/>
  <c r="M952" i="7"/>
  <c r="L952" i="7"/>
  <c r="Q952" i="7" s="1"/>
  <c r="K952" i="7"/>
  <c r="H952" i="7"/>
  <c r="I952" i="7" s="1"/>
  <c r="F952" i="7"/>
  <c r="C952" i="7"/>
  <c r="B952" i="7"/>
  <c r="O952" i="7" s="1"/>
  <c r="A952" i="7"/>
  <c r="R952" i="7" s="1"/>
  <c r="M951" i="7"/>
  <c r="L951" i="7"/>
  <c r="K951" i="7"/>
  <c r="H951" i="7"/>
  <c r="I951" i="7" s="1"/>
  <c r="G951" i="7"/>
  <c r="F951" i="7"/>
  <c r="E951" i="7"/>
  <c r="D951" i="7"/>
  <c r="C951" i="7"/>
  <c r="B951" i="7"/>
  <c r="O951" i="7" s="1"/>
  <c r="A951" i="7"/>
  <c r="R951" i="7" s="1"/>
  <c r="M950" i="7"/>
  <c r="L950" i="7"/>
  <c r="K950" i="7"/>
  <c r="H950" i="7"/>
  <c r="I950" i="7" s="1"/>
  <c r="G950" i="7"/>
  <c r="F950" i="7"/>
  <c r="E950" i="7"/>
  <c r="D950" i="7"/>
  <c r="C950" i="7"/>
  <c r="B950" i="7"/>
  <c r="A950" i="7"/>
  <c r="R950" i="7" s="1"/>
  <c r="R949" i="7"/>
  <c r="M949" i="7"/>
  <c r="L949" i="7"/>
  <c r="Q949" i="7" s="1"/>
  <c r="K949" i="7"/>
  <c r="H949" i="7"/>
  <c r="G949" i="7"/>
  <c r="F949" i="7"/>
  <c r="E949" i="7"/>
  <c r="D949" i="7"/>
  <c r="C949" i="7"/>
  <c r="B949" i="7"/>
  <c r="A949" i="7"/>
  <c r="M948" i="7"/>
  <c r="L948" i="7"/>
  <c r="K948" i="7"/>
  <c r="H948" i="7"/>
  <c r="I948" i="7" s="1"/>
  <c r="F948" i="7"/>
  <c r="D948" i="7"/>
  <c r="C948" i="7"/>
  <c r="G948" i="7" s="1"/>
  <c r="B948" i="7"/>
  <c r="O948" i="7" s="1"/>
  <c r="A948" i="7"/>
  <c r="R948" i="7" s="1"/>
  <c r="M947" i="7"/>
  <c r="L947" i="7"/>
  <c r="K947" i="7"/>
  <c r="H947" i="7"/>
  <c r="I947" i="7" s="1"/>
  <c r="F947" i="7"/>
  <c r="E947" i="7"/>
  <c r="D947" i="7"/>
  <c r="C947" i="7"/>
  <c r="G947" i="7" s="1"/>
  <c r="B947" i="7"/>
  <c r="A947" i="7"/>
  <c r="R947" i="7" s="1"/>
  <c r="M946" i="7"/>
  <c r="L946" i="7"/>
  <c r="K946" i="7"/>
  <c r="J946" i="7"/>
  <c r="H946" i="7"/>
  <c r="I946" i="7" s="1"/>
  <c r="G946" i="7"/>
  <c r="F946" i="7"/>
  <c r="E946" i="7"/>
  <c r="D946" i="7"/>
  <c r="C946" i="7"/>
  <c r="B946" i="7"/>
  <c r="A946" i="7"/>
  <c r="R946" i="7" s="1"/>
  <c r="M945" i="7"/>
  <c r="L945" i="7"/>
  <c r="Q945" i="7" s="1"/>
  <c r="K945" i="7"/>
  <c r="H945" i="7"/>
  <c r="I945" i="7" s="1"/>
  <c r="C945" i="7"/>
  <c r="D945" i="7" s="1"/>
  <c r="B945" i="7"/>
  <c r="O945" i="7" s="1"/>
  <c r="A945" i="7"/>
  <c r="R945" i="7" s="1"/>
  <c r="M944" i="7"/>
  <c r="L944" i="7"/>
  <c r="Q944" i="7" s="1"/>
  <c r="K944" i="7"/>
  <c r="H944" i="7"/>
  <c r="I944" i="7" s="1"/>
  <c r="C944" i="7"/>
  <c r="G944" i="7" s="1"/>
  <c r="B944" i="7"/>
  <c r="N944" i="7" s="1"/>
  <c r="A944" i="7"/>
  <c r="R944" i="7" s="1"/>
  <c r="M943" i="7"/>
  <c r="L943" i="7"/>
  <c r="K943" i="7"/>
  <c r="H943" i="7"/>
  <c r="I943" i="7" s="1"/>
  <c r="C943" i="7"/>
  <c r="B943" i="7"/>
  <c r="A943" i="7"/>
  <c r="R943" i="7" s="1"/>
  <c r="M942" i="7"/>
  <c r="L942" i="7"/>
  <c r="Q942" i="7" s="1"/>
  <c r="K942" i="7"/>
  <c r="H942" i="7"/>
  <c r="I942" i="7" s="1"/>
  <c r="C942" i="7"/>
  <c r="D942" i="7" s="1"/>
  <c r="B942" i="7"/>
  <c r="O942" i="7" s="1"/>
  <c r="A942" i="7"/>
  <c r="R942" i="7" s="1"/>
  <c r="P941" i="7"/>
  <c r="M941" i="7"/>
  <c r="L941" i="7"/>
  <c r="K941" i="7"/>
  <c r="H941" i="7"/>
  <c r="C941" i="7"/>
  <c r="B941" i="7"/>
  <c r="A941" i="7"/>
  <c r="R941" i="7" s="1"/>
  <c r="R940" i="7"/>
  <c r="M940" i="7"/>
  <c r="L940" i="7"/>
  <c r="Q940" i="7" s="1"/>
  <c r="K940" i="7"/>
  <c r="H940" i="7"/>
  <c r="I940" i="7" s="1"/>
  <c r="C940" i="7"/>
  <c r="B940" i="7"/>
  <c r="A940" i="7"/>
  <c r="M939" i="7"/>
  <c r="L939" i="7"/>
  <c r="Q939" i="7" s="1"/>
  <c r="K939" i="7"/>
  <c r="H939" i="7"/>
  <c r="C939" i="7"/>
  <c r="B939" i="7"/>
  <c r="O939" i="7" s="1"/>
  <c r="A939" i="7"/>
  <c r="R939" i="7" s="1"/>
  <c r="M938" i="7"/>
  <c r="L938" i="7"/>
  <c r="K938" i="7"/>
  <c r="H938" i="7"/>
  <c r="C938" i="7"/>
  <c r="B938" i="7"/>
  <c r="A938" i="7"/>
  <c r="R938" i="7" s="1"/>
  <c r="M937" i="7"/>
  <c r="L937" i="7"/>
  <c r="K937" i="7"/>
  <c r="J937" i="7"/>
  <c r="H937" i="7"/>
  <c r="I937" i="7" s="1"/>
  <c r="C937" i="7"/>
  <c r="B937" i="7"/>
  <c r="A937" i="7"/>
  <c r="R937" i="7" s="1"/>
  <c r="M936" i="7"/>
  <c r="L936" i="7"/>
  <c r="Q936" i="7" s="1"/>
  <c r="K936" i="7"/>
  <c r="H936" i="7"/>
  <c r="I936" i="7" s="1"/>
  <c r="E936" i="7"/>
  <c r="D936" i="7"/>
  <c r="C936" i="7"/>
  <c r="B936" i="7"/>
  <c r="O936" i="7" s="1"/>
  <c r="A936" i="7"/>
  <c r="R936" i="7" s="1"/>
  <c r="M935" i="7"/>
  <c r="L935" i="7"/>
  <c r="K935" i="7"/>
  <c r="H935" i="7"/>
  <c r="C935" i="7"/>
  <c r="B935" i="7"/>
  <c r="A935" i="7"/>
  <c r="R935" i="7" s="1"/>
  <c r="M934" i="7"/>
  <c r="L934" i="7"/>
  <c r="K934" i="7"/>
  <c r="H934" i="7"/>
  <c r="I934" i="7" s="1"/>
  <c r="C934" i="7"/>
  <c r="B934" i="7"/>
  <c r="A934" i="7"/>
  <c r="R934" i="7" s="1"/>
  <c r="M933" i="7"/>
  <c r="L933" i="7"/>
  <c r="Q933" i="7" s="1"/>
  <c r="K933" i="7"/>
  <c r="H933" i="7"/>
  <c r="I933" i="7" s="1"/>
  <c r="C933" i="7"/>
  <c r="B933" i="7"/>
  <c r="O933" i="7" s="1"/>
  <c r="A933" i="7"/>
  <c r="R933" i="7" s="1"/>
  <c r="M932" i="7"/>
  <c r="L932" i="7"/>
  <c r="K932" i="7"/>
  <c r="H932" i="7"/>
  <c r="G932" i="7"/>
  <c r="C932" i="7"/>
  <c r="F932" i="7" s="1"/>
  <c r="B932" i="7"/>
  <c r="O932" i="7" s="1"/>
  <c r="A932" i="7"/>
  <c r="R932" i="7" s="1"/>
  <c r="M931" i="7"/>
  <c r="L931" i="7"/>
  <c r="K931" i="7"/>
  <c r="H931" i="7"/>
  <c r="I931" i="7" s="1"/>
  <c r="G931" i="7"/>
  <c r="F931" i="7"/>
  <c r="C931" i="7"/>
  <c r="E931" i="7" s="1"/>
  <c r="B931" i="7"/>
  <c r="O931" i="7" s="1"/>
  <c r="A931" i="7"/>
  <c r="R931" i="7" s="1"/>
  <c r="R930" i="7"/>
  <c r="M930" i="7"/>
  <c r="L930" i="7"/>
  <c r="Q930" i="7" s="1"/>
  <c r="K930" i="7"/>
  <c r="H930" i="7"/>
  <c r="G930" i="7"/>
  <c r="F930" i="7"/>
  <c r="C930" i="7"/>
  <c r="E930" i="7" s="1"/>
  <c r="B930" i="7"/>
  <c r="O930" i="7" s="1"/>
  <c r="A930" i="7"/>
  <c r="M929" i="7"/>
  <c r="L929" i="7"/>
  <c r="K929" i="7"/>
  <c r="H929" i="7"/>
  <c r="G929" i="7"/>
  <c r="F929" i="7"/>
  <c r="E929" i="7"/>
  <c r="C929" i="7"/>
  <c r="D929" i="7" s="1"/>
  <c r="B929" i="7"/>
  <c r="O929" i="7" s="1"/>
  <c r="A929" i="7"/>
  <c r="R929" i="7" s="1"/>
  <c r="R928" i="7"/>
  <c r="M928" i="7"/>
  <c r="L928" i="7"/>
  <c r="K928" i="7"/>
  <c r="H928" i="7"/>
  <c r="I928" i="7" s="1"/>
  <c r="G928" i="7"/>
  <c r="F928" i="7"/>
  <c r="C928" i="7"/>
  <c r="E928" i="7" s="1"/>
  <c r="B928" i="7"/>
  <c r="A928" i="7"/>
  <c r="M927" i="7"/>
  <c r="L927" i="7"/>
  <c r="Q927" i="7" s="1"/>
  <c r="K927" i="7"/>
  <c r="H927" i="7"/>
  <c r="I927" i="7" s="1"/>
  <c r="G927" i="7"/>
  <c r="C927" i="7"/>
  <c r="B927" i="7"/>
  <c r="O927" i="7" s="1"/>
  <c r="A927" i="7"/>
  <c r="R927" i="7" s="1"/>
  <c r="M926" i="7"/>
  <c r="L926" i="7"/>
  <c r="K926" i="7"/>
  <c r="H926" i="7"/>
  <c r="G926" i="7"/>
  <c r="F926" i="7"/>
  <c r="C926" i="7"/>
  <c r="E926" i="7" s="1"/>
  <c r="B926" i="7"/>
  <c r="O926" i="7" s="1"/>
  <c r="A926" i="7"/>
  <c r="R926" i="7" s="1"/>
  <c r="M925" i="7"/>
  <c r="L925" i="7"/>
  <c r="Q925" i="7" s="1"/>
  <c r="K925" i="7"/>
  <c r="H925" i="7"/>
  <c r="I925" i="7" s="1"/>
  <c r="G925" i="7"/>
  <c r="F925" i="7"/>
  <c r="E925" i="7"/>
  <c r="C925" i="7"/>
  <c r="D925" i="7" s="1"/>
  <c r="B925" i="7"/>
  <c r="O925" i="7" s="1"/>
  <c r="A925" i="7"/>
  <c r="R925" i="7" s="1"/>
  <c r="M924" i="7"/>
  <c r="L924" i="7"/>
  <c r="Q924" i="7" s="1"/>
  <c r="K924" i="7"/>
  <c r="H924" i="7"/>
  <c r="I924" i="7" s="1"/>
  <c r="G924" i="7"/>
  <c r="F924" i="7"/>
  <c r="C924" i="7"/>
  <c r="B924" i="7"/>
  <c r="O924" i="7" s="1"/>
  <c r="A924" i="7"/>
  <c r="R924" i="7" s="1"/>
  <c r="M923" i="7"/>
  <c r="L923" i="7"/>
  <c r="K923" i="7"/>
  <c r="H923" i="7"/>
  <c r="C923" i="7"/>
  <c r="B923" i="7"/>
  <c r="A923" i="7"/>
  <c r="R923" i="7" s="1"/>
  <c r="M922" i="7"/>
  <c r="L922" i="7"/>
  <c r="K922" i="7"/>
  <c r="H922" i="7"/>
  <c r="I922" i="7" s="1"/>
  <c r="D922" i="7"/>
  <c r="C922" i="7"/>
  <c r="G922" i="7" s="1"/>
  <c r="B922" i="7"/>
  <c r="O922" i="7" s="1"/>
  <c r="A922" i="7"/>
  <c r="R922" i="7" s="1"/>
  <c r="M921" i="7"/>
  <c r="L921" i="7"/>
  <c r="Q921" i="7" s="1"/>
  <c r="K921" i="7"/>
  <c r="H921" i="7"/>
  <c r="C921" i="7"/>
  <c r="B921" i="7"/>
  <c r="O921" i="7" s="1"/>
  <c r="A921" i="7"/>
  <c r="R921" i="7" s="1"/>
  <c r="M920" i="7"/>
  <c r="L920" i="7"/>
  <c r="K920" i="7"/>
  <c r="H920" i="7"/>
  <c r="G920" i="7"/>
  <c r="F920" i="7"/>
  <c r="E920" i="7"/>
  <c r="C920" i="7"/>
  <c r="D920" i="7" s="1"/>
  <c r="B920" i="7"/>
  <c r="O920" i="7" s="1"/>
  <c r="A920" i="7"/>
  <c r="R920" i="7" s="1"/>
  <c r="M919" i="7"/>
  <c r="L919" i="7"/>
  <c r="K919" i="7"/>
  <c r="H919" i="7"/>
  <c r="I919" i="7" s="1"/>
  <c r="C919" i="7"/>
  <c r="B919" i="7"/>
  <c r="A919" i="7"/>
  <c r="R919" i="7" s="1"/>
  <c r="M918" i="7"/>
  <c r="L918" i="7"/>
  <c r="K918" i="7"/>
  <c r="H918" i="7"/>
  <c r="I918" i="7" s="1"/>
  <c r="C918" i="7"/>
  <c r="B918" i="7"/>
  <c r="O918" i="7" s="1"/>
  <c r="A918" i="7"/>
  <c r="R918" i="7" s="1"/>
  <c r="M917" i="7"/>
  <c r="L917" i="7"/>
  <c r="Q917" i="7" s="1"/>
  <c r="K917" i="7"/>
  <c r="H917" i="7"/>
  <c r="C917" i="7"/>
  <c r="E917" i="7" s="1"/>
  <c r="B917" i="7"/>
  <c r="P917" i="7" s="1"/>
  <c r="A917" i="7"/>
  <c r="R917" i="7" s="1"/>
  <c r="N916" i="7"/>
  <c r="M916" i="7"/>
  <c r="L916" i="7"/>
  <c r="K916" i="7"/>
  <c r="H916" i="7"/>
  <c r="I916" i="7" s="1"/>
  <c r="E916" i="7"/>
  <c r="C916" i="7"/>
  <c r="D916" i="7" s="1"/>
  <c r="B916" i="7"/>
  <c r="O916" i="7" s="1"/>
  <c r="A916" i="7"/>
  <c r="R916" i="7" s="1"/>
  <c r="M915" i="7"/>
  <c r="L915" i="7"/>
  <c r="K915" i="7"/>
  <c r="H915" i="7"/>
  <c r="I915" i="7" s="1"/>
  <c r="G915" i="7"/>
  <c r="F915" i="7"/>
  <c r="E915" i="7"/>
  <c r="C915" i="7"/>
  <c r="D915" i="7" s="1"/>
  <c r="B915" i="7"/>
  <c r="O915" i="7" s="1"/>
  <c r="A915" i="7"/>
  <c r="R915" i="7" s="1"/>
  <c r="M914" i="7"/>
  <c r="L914" i="7"/>
  <c r="K914" i="7"/>
  <c r="H914" i="7"/>
  <c r="F914" i="7"/>
  <c r="E914" i="7"/>
  <c r="C914" i="7"/>
  <c r="G914" i="7" s="1"/>
  <c r="B914" i="7"/>
  <c r="O914" i="7" s="1"/>
  <c r="A914" i="7"/>
  <c r="R914" i="7" s="1"/>
  <c r="M913" i="7"/>
  <c r="L913" i="7"/>
  <c r="Q913" i="7" s="1"/>
  <c r="K913" i="7"/>
  <c r="H913" i="7"/>
  <c r="I913" i="7" s="1"/>
  <c r="C913" i="7"/>
  <c r="B913" i="7"/>
  <c r="A913" i="7"/>
  <c r="R913" i="7" s="1"/>
  <c r="M912" i="7"/>
  <c r="L912" i="7"/>
  <c r="K912" i="7"/>
  <c r="H912" i="7"/>
  <c r="I912" i="7" s="1"/>
  <c r="C912" i="7"/>
  <c r="F912" i="7" s="1"/>
  <c r="B912" i="7"/>
  <c r="O912" i="7" s="1"/>
  <c r="A912" i="7"/>
  <c r="R912" i="7" s="1"/>
  <c r="M911" i="7"/>
  <c r="L911" i="7"/>
  <c r="K911" i="7"/>
  <c r="H911" i="7"/>
  <c r="J911" i="7" s="1"/>
  <c r="E911" i="7"/>
  <c r="D911" i="7"/>
  <c r="C911" i="7"/>
  <c r="B911" i="7"/>
  <c r="O911" i="7" s="1"/>
  <c r="A911" i="7"/>
  <c r="R911" i="7" s="1"/>
  <c r="M910" i="7"/>
  <c r="L910" i="7"/>
  <c r="K910" i="7"/>
  <c r="H910" i="7"/>
  <c r="C910" i="7"/>
  <c r="B910" i="7"/>
  <c r="A910" i="7"/>
  <c r="R910" i="7" s="1"/>
  <c r="M909" i="7"/>
  <c r="L909" i="7"/>
  <c r="Q909" i="7" s="1"/>
  <c r="K909" i="7"/>
  <c r="H909" i="7"/>
  <c r="I909" i="7" s="1"/>
  <c r="E909" i="7"/>
  <c r="C909" i="7"/>
  <c r="B909" i="7"/>
  <c r="O909" i="7" s="1"/>
  <c r="A909" i="7"/>
  <c r="R909" i="7" s="1"/>
  <c r="M908" i="7"/>
  <c r="L908" i="7"/>
  <c r="K908" i="7"/>
  <c r="H908" i="7"/>
  <c r="I908" i="7" s="1"/>
  <c r="G908" i="7"/>
  <c r="C908" i="7"/>
  <c r="B908" i="7"/>
  <c r="P908" i="7" s="1"/>
  <c r="A908" i="7"/>
  <c r="R908" i="7" s="1"/>
  <c r="M907" i="7"/>
  <c r="L907" i="7"/>
  <c r="K907" i="7"/>
  <c r="H907" i="7"/>
  <c r="J907" i="7" s="1"/>
  <c r="C907" i="7"/>
  <c r="B907" i="7"/>
  <c r="A907" i="7"/>
  <c r="R907" i="7" s="1"/>
  <c r="M906" i="7"/>
  <c r="L906" i="7"/>
  <c r="K906" i="7"/>
  <c r="H906" i="7"/>
  <c r="I906" i="7" s="1"/>
  <c r="C906" i="7"/>
  <c r="B906" i="7"/>
  <c r="A906" i="7"/>
  <c r="R906" i="7" s="1"/>
  <c r="M905" i="7"/>
  <c r="L905" i="7"/>
  <c r="Q905" i="7" s="1"/>
  <c r="K905" i="7"/>
  <c r="J905" i="7"/>
  <c r="I905" i="7"/>
  <c r="H905" i="7"/>
  <c r="C905" i="7"/>
  <c r="F905" i="7" s="1"/>
  <c r="B905" i="7"/>
  <c r="O905" i="7" s="1"/>
  <c r="A905" i="7"/>
  <c r="R905" i="7" s="1"/>
  <c r="M904" i="7"/>
  <c r="L904" i="7"/>
  <c r="K904" i="7"/>
  <c r="H904" i="7"/>
  <c r="C904" i="7"/>
  <c r="G904" i="7" s="1"/>
  <c r="B904" i="7"/>
  <c r="A904" i="7"/>
  <c r="R904" i="7" s="1"/>
  <c r="M903" i="7"/>
  <c r="L903" i="7"/>
  <c r="K903" i="7"/>
  <c r="H903" i="7"/>
  <c r="C903" i="7"/>
  <c r="B903" i="7"/>
  <c r="N903" i="7" s="1"/>
  <c r="A903" i="7"/>
  <c r="R903" i="7" s="1"/>
  <c r="M902" i="7"/>
  <c r="L902" i="7"/>
  <c r="K902" i="7"/>
  <c r="H902" i="7"/>
  <c r="C902" i="7"/>
  <c r="G902" i="7" s="1"/>
  <c r="B902" i="7"/>
  <c r="N902" i="7" s="1"/>
  <c r="A902" i="7"/>
  <c r="R902" i="7" s="1"/>
  <c r="N901" i="7"/>
  <c r="M901" i="7"/>
  <c r="L901" i="7"/>
  <c r="K901" i="7"/>
  <c r="H901" i="7"/>
  <c r="C901" i="7"/>
  <c r="B901" i="7"/>
  <c r="O901" i="7" s="1"/>
  <c r="A901" i="7"/>
  <c r="R901" i="7" s="1"/>
  <c r="N900" i="7"/>
  <c r="M900" i="7"/>
  <c r="L900" i="7"/>
  <c r="K900" i="7"/>
  <c r="H900" i="7"/>
  <c r="I900" i="7" s="1"/>
  <c r="G900" i="7"/>
  <c r="C900" i="7"/>
  <c r="E900" i="7" s="1"/>
  <c r="B900" i="7"/>
  <c r="A900" i="7"/>
  <c r="R900" i="7" s="1"/>
  <c r="M899" i="7"/>
  <c r="Q899" i="7" s="1"/>
  <c r="L899" i="7"/>
  <c r="K899" i="7"/>
  <c r="H899" i="7"/>
  <c r="G899" i="7"/>
  <c r="F899" i="7"/>
  <c r="D899" i="7"/>
  <c r="C899" i="7"/>
  <c r="E899" i="7" s="1"/>
  <c r="B899" i="7"/>
  <c r="A899" i="7"/>
  <c r="R899" i="7" s="1"/>
  <c r="M898" i="7"/>
  <c r="L898" i="7"/>
  <c r="K898" i="7"/>
  <c r="H898" i="7"/>
  <c r="E898" i="7"/>
  <c r="C898" i="7"/>
  <c r="G898" i="7" s="1"/>
  <c r="B898" i="7"/>
  <c r="N898" i="7" s="1"/>
  <c r="A898" i="7"/>
  <c r="R898" i="7" s="1"/>
  <c r="M897" i="7"/>
  <c r="L897" i="7"/>
  <c r="Q897" i="7" s="1"/>
  <c r="K897" i="7"/>
  <c r="H897" i="7"/>
  <c r="F897" i="7"/>
  <c r="E897" i="7"/>
  <c r="C897" i="7"/>
  <c r="G897" i="7" s="1"/>
  <c r="B897" i="7"/>
  <c r="A897" i="7"/>
  <c r="R897" i="7" s="1"/>
  <c r="M896" i="7"/>
  <c r="L896" i="7"/>
  <c r="K896" i="7"/>
  <c r="H896" i="7"/>
  <c r="C896" i="7"/>
  <c r="F896" i="7" s="1"/>
  <c r="B896" i="7"/>
  <c r="N896" i="7" s="1"/>
  <c r="A896" i="7"/>
  <c r="R896" i="7" s="1"/>
  <c r="M895" i="7"/>
  <c r="L895" i="7"/>
  <c r="K895" i="7"/>
  <c r="H895" i="7"/>
  <c r="E895" i="7"/>
  <c r="C895" i="7"/>
  <c r="D895" i="7" s="1"/>
  <c r="B895" i="7"/>
  <c r="A895" i="7"/>
  <c r="R895" i="7" s="1"/>
  <c r="M894" i="7"/>
  <c r="L894" i="7"/>
  <c r="K894" i="7"/>
  <c r="J894" i="7"/>
  <c r="H894" i="7"/>
  <c r="I894" i="7" s="1"/>
  <c r="C894" i="7"/>
  <c r="B894" i="7"/>
  <c r="N894" i="7" s="1"/>
  <c r="A894" i="7"/>
  <c r="R894" i="7" s="1"/>
  <c r="M893" i="7"/>
  <c r="L893" i="7"/>
  <c r="K893" i="7"/>
  <c r="H893" i="7"/>
  <c r="C893" i="7"/>
  <c r="D893" i="7" s="1"/>
  <c r="B893" i="7"/>
  <c r="A893" i="7"/>
  <c r="R893" i="7" s="1"/>
  <c r="M892" i="7"/>
  <c r="L892" i="7"/>
  <c r="K892" i="7"/>
  <c r="H892" i="7"/>
  <c r="F892" i="7"/>
  <c r="C892" i="7"/>
  <c r="E892" i="7" s="1"/>
  <c r="B892" i="7"/>
  <c r="N892" i="7" s="1"/>
  <c r="A892" i="7"/>
  <c r="R892" i="7" s="1"/>
  <c r="Q891" i="7"/>
  <c r="M891" i="7"/>
  <c r="L891" i="7"/>
  <c r="K891" i="7"/>
  <c r="H891" i="7"/>
  <c r="F891" i="7"/>
  <c r="D891" i="7"/>
  <c r="C891" i="7"/>
  <c r="G891" i="7" s="1"/>
  <c r="B891" i="7"/>
  <c r="A891" i="7"/>
  <c r="R891" i="7" s="1"/>
  <c r="M890" i="7"/>
  <c r="L890" i="7"/>
  <c r="Q890" i="7" s="1"/>
  <c r="K890" i="7"/>
  <c r="H890" i="7"/>
  <c r="I890" i="7" s="1"/>
  <c r="G890" i="7"/>
  <c r="C890" i="7"/>
  <c r="B890" i="7"/>
  <c r="A890" i="7"/>
  <c r="R890" i="7" s="1"/>
  <c r="M889" i="7"/>
  <c r="L889" i="7"/>
  <c r="K889" i="7"/>
  <c r="H889" i="7"/>
  <c r="E889" i="7"/>
  <c r="D889" i="7"/>
  <c r="C889" i="7"/>
  <c r="B889" i="7"/>
  <c r="O889" i="7" s="1"/>
  <c r="A889" i="7"/>
  <c r="R889" i="7" s="1"/>
  <c r="M888" i="7"/>
  <c r="L888" i="7"/>
  <c r="K888" i="7"/>
  <c r="H888" i="7"/>
  <c r="G888" i="7"/>
  <c r="C888" i="7"/>
  <c r="D888" i="7" s="1"/>
  <c r="B888" i="7"/>
  <c r="N888" i="7" s="1"/>
  <c r="A888" i="7"/>
  <c r="R888" i="7" s="1"/>
  <c r="M887" i="7"/>
  <c r="L887" i="7"/>
  <c r="K887" i="7"/>
  <c r="H887" i="7"/>
  <c r="G887" i="7"/>
  <c r="F887" i="7"/>
  <c r="E887" i="7"/>
  <c r="D887" i="7"/>
  <c r="C887" i="7"/>
  <c r="B887" i="7"/>
  <c r="O887" i="7" s="1"/>
  <c r="A887" i="7"/>
  <c r="R887" i="7" s="1"/>
  <c r="M886" i="7"/>
  <c r="L886" i="7"/>
  <c r="K886" i="7"/>
  <c r="H886" i="7"/>
  <c r="F886" i="7"/>
  <c r="C886" i="7"/>
  <c r="D886" i="7" s="1"/>
  <c r="B886" i="7"/>
  <c r="N886" i="7" s="1"/>
  <c r="A886" i="7"/>
  <c r="R886" i="7" s="1"/>
  <c r="M885" i="7"/>
  <c r="L885" i="7"/>
  <c r="K885" i="7"/>
  <c r="H885" i="7"/>
  <c r="G885" i="7"/>
  <c r="F885" i="7"/>
  <c r="D885" i="7"/>
  <c r="C885" i="7"/>
  <c r="E885" i="7" s="1"/>
  <c r="B885" i="7"/>
  <c r="O885" i="7" s="1"/>
  <c r="A885" i="7"/>
  <c r="R885" i="7" s="1"/>
  <c r="M884" i="7"/>
  <c r="L884" i="7"/>
  <c r="K884" i="7"/>
  <c r="H884" i="7"/>
  <c r="I884" i="7" s="1"/>
  <c r="C884" i="7"/>
  <c r="F884" i="7" s="1"/>
  <c r="B884" i="7"/>
  <c r="N884" i="7" s="1"/>
  <c r="A884" i="7"/>
  <c r="R884" i="7" s="1"/>
  <c r="M883" i="7"/>
  <c r="L883" i="7"/>
  <c r="K883" i="7"/>
  <c r="H883" i="7"/>
  <c r="C883" i="7"/>
  <c r="D883" i="7" s="1"/>
  <c r="B883" i="7"/>
  <c r="A883" i="7"/>
  <c r="R883" i="7" s="1"/>
  <c r="M882" i="7"/>
  <c r="L882" i="7"/>
  <c r="K882" i="7"/>
  <c r="J882" i="7"/>
  <c r="H882" i="7"/>
  <c r="I882" i="7" s="1"/>
  <c r="C882" i="7"/>
  <c r="E882" i="7" s="1"/>
  <c r="B882" i="7"/>
  <c r="N882" i="7" s="1"/>
  <c r="A882" i="7"/>
  <c r="R882" i="7" s="1"/>
  <c r="M881" i="7"/>
  <c r="L881" i="7"/>
  <c r="K881" i="7"/>
  <c r="H881" i="7"/>
  <c r="C881" i="7"/>
  <c r="B881" i="7"/>
  <c r="A881" i="7"/>
  <c r="R881" i="7" s="1"/>
  <c r="M880" i="7"/>
  <c r="L880" i="7"/>
  <c r="K880" i="7"/>
  <c r="H880" i="7"/>
  <c r="C880" i="7"/>
  <c r="B880" i="7"/>
  <c r="A880" i="7"/>
  <c r="R880" i="7" s="1"/>
  <c r="N879" i="7"/>
  <c r="M879" i="7"/>
  <c r="L879" i="7"/>
  <c r="K879" i="7"/>
  <c r="H879" i="7"/>
  <c r="C879" i="7"/>
  <c r="D879" i="7" s="1"/>
  <c r="B879" i="7"/>
  <c r="A879" i="7"/>
  <c r="R879" i="7" s="1"/>
  <c r="M878" i="7"/>
  <c r="L878" i="7"/>
  <c r="K878" i="7"/>
  <c r="J878" i="7"/>
  <c r="H878" i="7"/>
  <c r="I878" i="7" s="1"/>
  <c r="C878" i="7"/>
  <c r="B878" i="7"/>
  <c r="A878" i="7"/>
  <c r="R878" i="7" s="1"/>
  <c r="M877" i="7"/>
  <c r="L877" i="7"/>
  <c r="K877" i="7"/>
  <c r="H877" i="7"/>
  <c r="G877" i="7"/>
  <c r="F877" i="7"/>
  <c r="D877" i="7"/>
  <c r="C877" i="7"/>
  <c r="E877" i="7" s="1"/>
  <c r="B877" i="7"/>
  <c r="P877" i="7" s="1"/>
  <c r="A877" i="7"/>
  <c r="R877" i="7" s="1"/>
  <c r="Q876" i="7"/>
  <c r="M876" i="7"/>
  <c r="L876" i="7"/>
  <c r="K876" i="7"/>
  <c r="H876" i="7"/>
  <c r="J876" i="7" s="1"/>
  <c r="C876" i="7"/>
  <c r="B876" i="7"/>
  <c r="N876" i="7" s="1"/>
  <c r="A876" i="7"/>
  <c r="R876" i="7" s="1"/>
  <c r="M875" i="7"/>
  <c r="L875" i="7"/>
  <c r="K875" i="7"/>
  <c r="H875" i="7"/>
  <c r="J875" i="7" s="1"/>
  <c r="F875" i="7"/>
  <c r="C875" i="7"/>
  <c r="E875" i="7" s="1"/>
  <c r="B875" i="7"/>
  <c r="A875" i="7"/>
  <c r="R875" i="7" s="1"/>
  <c r="M874" i="7"/>
  <c r="L874" i="7"/>
  <c r="K874" i="7"/>
  <c r="H874" i="7"/>
  <c r="J874" i="7" s="1"/>
  <c r="G874" i="7"/>
  <c r="F874" i="7"/>
  <c r="C874" i="7"/>
  <c r="D874" i="7" s="1"/>
  <c r="B874" i="7"/>
  <c r="P874" i="7" s="1"/>
  <c r="A874" i="7"/>
  <c r="R874" i="7" s="1"/>
  <c r="M873" i="7"/>
  <c r="L873" i="7"/>
  <c r="K873" i="7"/>
  <c r="H873" i="7"/>
  <c r="C873" i="7"/>
  <c r="B873" i="7"/>
  <c r="A873" i="7"/>
  <c r="R873" i="7" s="1"/>
  <c r="M872" i="7"/>
  <c r="L872" i="7"/>
  <c r="K872" i="7"/>
  <c r="I872" i="7"/>
  <c r="H872" i="7"/>
  <c r="J872" i="7" s="1"/>
  <c r="C872" i="7"/>
  <c r="B872" i="7"/>
  <c r="O872" i="7" s="1"/>
  <c r="A872" i="7"/>
  <c r="R872" i="7" s="1"/>
  <c r="M871" i="7"/>
  <c r="L871" i="7"/>
  <c r="K871" i="7"/>
  <c r="H871" i="7"/>
  <c r="C871" i="7"/>
  <c r="G871" i="7" s="1"/>
  <c r="B871" i="7"/>
  <c r="A871" i="7"/>
  <c r="R871" i="7" s="1"/>
  <c r="M870" i="7"/>
  <c r="L870" i="7"/>
  <c r="K870" i="7"/>
  <c r="H870" i="7"/>
  <c r="C870" i="7"/>
  <c r="B870" i="7"/>
  <c r="A870" i="7"/>
  <c r="R870" i="7" s="1"/>
  <c r="M869" i="7"/>
  <c r="L869" i="7"/>
  <c r="Q869" i="7" s="1"/>
  <c r="K869" i="7"/>
  <c r="J869" i="7"/>
  <c r="H869" i="7"/>
  <c r="I869" i="7" s="1"/>
  <c r="C869" i="7"/>
  <c r="B869" i="7"/>
  <c r="A869" i="7"/>
  <c r="R869" i="7" s="1"/>
  <c r="P868" i="7"/>
  <c r="O868" i="7"/>
  <c r="M868" i="7"/>
  <c r="L868" i="7"/>
  <c r="Q868" i="7" s="1"/>
  <c r="K868" i="7"/>
  <c r="H868" i="7"/>
  <c r="C868" i="7"/>
  <c r="B868" i="7"/>
  <c r="N868" i="7" s="1"/>
  <c r="A868" i="7"/>
  <c r="R868" i="7" s="1"/>
  <c r="M867" i="7"/>
  <c r="L867" i="7"/>
  <c r="K867" i="7"/>
  <c r="J867" i="7"/>
  <c r="H867" i="7"/>
  <c r="I867" i="7" s="1"/>
  <c r="E867" i="7"/>
  <c r="C867" i="7"/>
  <c r="G867" i="7" s="1"/>
  <c r="B867" i="7"/>
  <c r="A867" i="7"/>
  <c r="R867" i="7" s="1"/>
  <c r="M866" i="7"/>
  <c r="L866" i="7"/>
  <c r="Q866" i="7" s="1"/>
  <c r="K866" i="7"/>
  <c r="H866" i="7"/>
  <c r="C866" i="7"/>
  <c r="B866" i="7"/>
  <c r="A866" i="7"/>
  <c r="R866" i="7" s="1"/>
  <c r="M865" i="7"/>
  <c r="L865" i="7"/>
  <c r="K865" i="7"/>
  <c r="H865" i="7"/>
  <c r="I865" i="7" s="1"/>
  <c r="G865" i="7"/>
  <c r="E865" i="7"/>
  <c r="C865" i="7"/>
  <c r="F865" i="7" s="1"/>
  <c r="B865" i="7"/>
  <c r="A865" i="7"/>
  <c r="R865" i="7" s="1"/>
  <c r="M864" i="7"/>
  <c r="L864" i="7"/>
  <c r="K864" i="7"/>
  <c r="H864" i="7"/>
  <c r="G864" i="7"/>
  <c r="E864" i="7"/>
  <c r="C864" i="7"/>
  <c r="F864" i="7" s="1"/>
  <c r="B864" i="7"/>
  <c r="A864" i="7"/>
  <c r="R864" i="7" s="1"/>
  <c r="M863" i="7"/>
  <c r="L863" i="7"/>
  <c r="K863" i="7"/>
  <c r="H863" i="7"/>
  <c r="C863" i="7"/>
  <c r="B863" i="7"/>
  <c r="A863" i="7"/>
  <c r="R863" i="7" s="1"/>
  <c r="M862" i="7"/>
  <c r="L862" i="7"/>
  <c r="Q862" i="7" s="1"/>
  <c r="K862" i="7"/>
  <c r="H862" i="7"/>
  <c r="G862" i="7"/>
  <c r="C862" i="7"/>
  <c r="F862" i="7" s="1"/>
  <c r="B862" i="7"/>
  <c r="P862" i="7" s="1"/>
  <c r="A862" i="7"/>
  <c r="R862" i="7" s="1"/>
  <c r="M861" i="7"/>
  <c r="L861" i="7"/>
  <c r="K861" i="7"/>
  <c r="J861" i="7"/>
  <c r="H861" i="7"/>
  <c r="I861" i="7" s="1"/>
  <c r="G861" i="7"/>
  <c r="D861" i="7"/>
  <c r="C861" i="7"/>
  <c r="B861" i="7"/>
  <c r="A861" i="7"/>
  <c r="R861" i="7" s="1"/>
  <c r="P860" i="7"/>
  <c r="O860" i="7"/>
  <c r="M860" i="7"/>
  <c r="L860" i="7"/>
  <c r="K860" i="7"/>
  <c r="H860" i="7"/>
  <c r="C860" i="7"/>
  <c r="B860" i="7"/>
  <c r="N860" i="7" s="1"/>
  <c r="A860" i="7"/>
  <c r="R860" i="7" s="1"/>
  <c r="M859" i="7"/>
  <c r="L859" i="7"/>
  <c r="K859" i="7"/>
  <c r="H859" i="7"/>
  <c r="I859" i="7" s="1"/>
  <c r="G859" i="7"/>
  <c r="F859" i="7"/>
  <c r="E859" i="7"/>
  <c r="D859" i="7"/>
  <c r="C859" i="7"/>
  <c r="B859" i="7"/>
  <c r="A859" i="7"/>
  <c r="R859" i="7" s="1"/>
  <c r="P858" i="7"/>
  <c r="O858" i="7"/>
  <c r="M858" i="7"/>
  <c r="L858" i="7"/>
  <c r="K858" i="7"/>
  <c r="H858" i="7"/>
  <c r="G858" i="7"/>
  <c r="F858" i="7"/>
  <c r="E858" i="7"/>
  <c r="C858" i="7"/>
  <c r="D858" i="7" s="1"/>
  <c r="B858" i="7"/>
  <c r="N858" i="7" s="1"/>
  <c r="A858" i="7"/>
  <c r="R858" i="7" s="1"/>
  <c r="M857" i="7"/>
  <c r="L857" i="7"/>
  <c r="K857" i="7"/>
  <c r="I857" i="7"/>
  <c r="H857" i="7"/>
  <c r="J857" i="7" s="1"/>
  <c r="G857" i="7"/>
  <c r="F857" i="7"/>
  <c r="D857" i="7"/>
  <c r="C857" i="7"/>
  <c r="E857" i="7" s="1"/>
  <c r="B857" i="7"/>
  <c r="A857" i="7"/>
  <c r="R857" i="7" s="1"/>
  <c r="Q856" i="7"/>
  <c r="P856" i="7"/>
  <c r="M856" i="7"/>
  <c r="L856" i="7"/>
  <c r="K856" i="7"/>
  <c r="H856" i="7"/>
  <c r="C856" i="7"/>
  <c r="B856" i="7"/>
  <c r="A856" i="7"/>
  <c r="R856" i="7" s="1"/>
  <c r="M855" i="7"/>
  <c r="L855" i="7"/>
  <c r="Q855" i="7" s="1"/>
  <c r="K855" i="7"/>
  <c r="H855" i="7"/>
  <c r="J855" i="7" s="1"/>
  <c r="D855" i="7"/>
  <c r="C855" i="7"/>
  <c r="B855" i="7"/>
  <c r="A855" i="7"/>
  <c r="R855" i="7" s="1"/>
  <c r="M854" i="7"/>
  <c r="L854" i="7"/>
  <c r="K854" i="7"/>
  <c r="H854" i="7"/>
  <c r="C854" i="7"/>
  <c r="B854" i="7"/>
  <c r="A854" i="7"/>
  <c r="R854" i="7" s="1"/>
  <c r="M853" i="7"/>
  <c r="L853" i="7"/>
  <c r="K853" i="7"/>
  <c r="J853" i="7"/>
  <c r="H853" i="7"/>
  <c r="I853" i="7" s="1"/>
  <c r="D853" i="7"/>
  <c r="C853" i="7"/>
  <c r="B853" i="7"/>
  <c r="A853" i="7"/>
  <c r="R853" i="7" s="1"/>
  <c r="P852" i="7"/>
  <c r="O852" i="7"/>
  <c r="M852" i="7"/>
  <c r="L852" i="7"/>
  <c r="Q852" i="7" s="1"/>
  <c r="K852" i="7"/>
  <c r="H852" i="7"/>
  <c r="G852" i="7"/>
  <c r="F852" i="7"/>
  <c r="E852" i="7"/>
  <c r="C852" i="7"/>
  <c r="D852" i="7" s="1"/>
  <c r="B852" i="7"/>
  <c r="N852" i="7" s="1"/>
  <c r="A852" i="7"/>
  <c r="R852" i="7" s="1"/>
  <c r="M851" i="7"/>
  <c r="L851" i="7"/>
  <c r="K851" i="7"/>
  <c r="H851" i="7"/>
  <c r="C851" i="7"/>
  <c r="B851" i="7"/>
  <c r="A851" i="7"/>
  <c r="R851" i="7" s="1"/>
  <c r="M850" i="7"/>
  <c r="L850" i="7"/>
  <c r="K850" i="7"/>
  <c r="H850" i="7"/>
  <c r="C850" i="7"/>
  <c r="B850" i="7"/>
  <c r="A850" i="7"/>
  <c r="R850" i="7" s="1"/>
  <c r="R849" i="7"/>
  <c r="M849" i="7"/>
  <c r="L849" i="7"/>
  <c r="K849" i="7"/>
  <c r="H849" i="7"/>
  <c r="I849" i="7" s="1"/>
  <c r="C849" i="7"/>
  <c r="B849" i="7"/>
  <c r="A849" i="7"/>
  <c r="M848" i="7"/>
  <c r="L848" i="7"/>
  <c r="Q848" i="7" s="1"/>
  <c r="K848" i="7"/>
  <c r="H848" i="7"/>
  <c r="I848" i="7" s="1"/>
  <c r="C848" i="7"/>
  <c r="B848" i="7"/>
  <c r="P848" i="7" s="1"/>
  <c r="A848" i="7"/>
  <c r="R848" i="7" s="1"/>
  <c r="M847" i="7"/>
  <c r="L847" i="7"/>
  <c r="K847" i="7"/>
  <c r="H847" i="7"/>
  <c r="C847" i="7"/>
  <c r="B847" i="7"/>
  <c r="O847" i="7" s="1"/>
  <c r="A847" i="7"/>
  <c r="R847" i="7" s="1"/>
  <c r="P846" i="7"/>
  <c r="M846" i="7"/>
  <c r="L846" i="7"/>
  <c r="K846" i="7"/>
  <c r="H846" i="7"/>
  <c r="I846" i="7" s="1"/>
  <c r="C846" i="7"/>
  <c r="B846" i="7"/>
  <c r="A846" i="7"/>
  <c r="R846" i="7" s="1"/>
  <c r="P845" i="7"/>
  <c r="M845" i="7"/>
  <c r="L845" i="7"/>
  <c r="K845" i="7"/>
  <c r="J845" i="7"/>
  <c r="I845" i="7"/>
  <c r="H845" i="7"/>
  <c r="F845" i="7"/>
  <c r="C845" i="7"/>
  <c r="G845" i="7" s="1"/>
  <c r="B845" i="7"/>
  <c r="O845" i="7" s="1"/>
  <c r="A845" i="7"/>
  <c r="R845" i="7" s="1"/>
  <c r="M844" i="7"/>
  <c r="L844" i="7"/>
  <c r="Q844" i="7" s="1"/>
  <c r="K844" i="7"/>
  <c r="H844" i="7"/>
  <c r="I844" i="7" s="1"/>
  <c r="G844" i="7"/>
  <c r="F844" i="7"/>
  <c r="E844" i="7"/>
  <c r="D844" i="7"/>
  <c r="C844" i="7"/>
  <c r="B844" i="7"/>
  <c r="A844" i="7"/>
  <c r="R844" i="7" s="1"/>
  <c r="M843" i="7"/>
  <c r="L843" i="7"/>
  <c r="K843" i="7"/>
  <c r="H843" i="7"/>
  <c r="G843" i="7"/>
  <c r="C843" i="7"/>
  <c r="B843" i="7"/>
  <c r="A843" i="7"/>
  <c r="R843" i="7" s="1"/>
  <c r="M842" i="7"/>
  <c r="L842" i="7"/>
  <c r="K842" i="7"/>
  <c r="H842" i="7"/>
  <c r="I842" i="7" s="1"/>
  <c r="D842" i="7"/>
  <c r="C842" i="7"/>
  <c r="B842" i="7"/>
  <c r="A842" i="7"/>
  <c r="R842" i="7" s="1"/>
  <c r="R841" i="7"/>
  <c r="M841" i="7"/>
  <c r="L841" i="7"/>
  <c r="Q841" i="7" s="1"/>
  <c r="K841" i="7"/>
  <c r="H841" i="7"/>
  <c r="D841" i="7"/>
  <c r="C841" i="7"/>
  <c r="B841" i="7"/>
  <c r="O841" i="7" s="1"/>
  <c r="A841" i="7"/>
  <c r="M840" i="7"/>
  <c r="L840" i="7"/>
  <c r="Q840" i="7" s="1"/>
  <c r="K840" i="7"/>
  <c r="H840" i="7"/>
  <c r="I840" i="7" s="1"/>
  <c r="D840" i="7"/>
  <c r="C840" i="7"/>
  <c r="B840" i="7"/>
  <c r="O840" i="7" s="1"/>
  <c r="A840" i="7"/>
  <c r="R840" i="7" s="1"/>
  <c r="M839" i="7"/>
  <c r="L839" i="7"/>
  <c r="Q839" i="7" s="1"/>
  <c r="K839" i="7"/>
  <c r="J839" i="7"/>
  <c r="H839" i="7"/>
  <c r="I839" i="7" s="1"/>
  <c r="C839" i="7"/>
  <c r="B839" i="7"/>
  <c r="O839" i="7" s="1"/>
  <c r="A839" i="7"/>
  <c r="R839" i="7" s="1"/>
  <c r="M838" i="7"/>
  <c r="L838" i="7"/>
  <c r="Q838" i="7" s="1"/>
  <c r="K838" i="7"/>
  <c r="H838" i="7"/>
  <c r="I838" i="7" s="1"/>
  <c r="C838" i="7"/>
  <c r="B838" i="7"/>
  <c r="A838" i="7"/>
  <c r="R838" i="7" s="1"/>
  <c r="M837" i="7"/>
  <c r="L837" i="7"/>
  <c r="K837" i="7"/>
  <c r="I837" i="7"/>
  <c r="H837" i="7"/>
  <c r="J837" i="7" s="1"/>
  <c r="C837" i="7"/>
  <c r="D837" i="7" s="1"/>
  <c r="B837" i="7"/>
  <c r="A837" i="7"/>
  <c r="R837" i="7" s="1"/>
  <c r="M836" i="7"/>
  <c r="L836" i="7"/>
  <c r="Q836" i="7" s="1"/>
  <c r="K836" i="7"/>
  <c r="H836" i="7"/>
  <c r="I836" i="7" s="1"/>
  <c r="C836" i="7"/>
  <c r="B836" i="7"/>
  <c r="A836" i="7"/>
  <c r="R836" i="7" s="1"/>
  <c r="M835" i="7"/>
  <c r="L835" i="7"/>
  <c r="K835" i="7"/>
  <c r="I835" i="7"/>
  <c r="H835" i="7"/>
  <c r="J835" i="7" s="1"/>
  <c r="G835" i="7"/>
  <c r="F835" i="7"/>
  <c r="C835" i="7"/>
  <c r="E835" i="7" s="1"/>
  <c r="B835" i="7"/>
  <c r="O835" i="7" s="1"/>
  <c r="A835" i="7"/>
  <c r="R835" i="7" s="1"/>
  <c r="P834" i="7"/>
  <c r="M834" i="7"/>
  <c r="L834" i="7"/>
  <c r="Q834" i="7" s="1"/>
  <c r="K834" i="7"/>
  <c r="H834" i="7"/>
  <c r="G834" i="7"/>
  <c r="F834" i="7"/>
  <c r="E834" i="7"/>
  <c r="D834" i="7"/>
  <c r="C834" i="7"/>
  <c r="B834" i="7"/>
  <c r="A834" i="7"/>
  <c r="R834" i="7" s="1"/>
  <c r="M833" i="7"/>
  <c r="L833" i="7"/>
  <c r="K833" i="7"/>
  <c r="H833" i="7"/>
  <c r="G833" i="7"/>
  <c r="F833" i="7"/>
  <c r="C833" i="7"/>
  <c r="E833" i="7" s="1"/>
  <c r="B833" i="7"/>
  <c r="O833" i="7" s="1"/>
  <c r="A833" i="7"/>
  <c r="R833" i="7" s="1"/>
  <c r="P832" i="7"/>
  <c r="O832" i="7"/>
  <c r="M832" i="7"/>
  <c r="L832" i="7"/>
  <c r="Q832" i="7" s="1"/>
  <c r="K832" i="7"/>
  <c r="H832" i="7"/>
  <c r="I832" i="7" s="1"/>
  <c r="G832" i="7"/>
  <c r="C832" i="7"/>
  <c r="F832" i="7" s="1"/>
  <c r="B832" i="7"/>
  <c r="N832" i="7" s="1"/>
  <c r="A832" i="7"/>
  <c r="R832" i="7" s="1"/>
  <c r="P831" i="7"/>
  <c r="M831" i="7"/>
  <c r="L831" i="7"/>
  <c r="K831" i="7"/>
  <c r="H831" i="7"/>
  <c r="J831" i="7" s="1"/>
  <c r="C831" i="7"/>
  <c r="B831" i="7"/>
  <c r="O831" i="7" s="1"/>
  <c r="A831" i="7"/>
  <c r="R831" i="7" s="1"/>
  <c r="M830" i="7"/>
  <c r="L830" i="7"/>
  <c r="K830" i="7"/>
  <c r="H830" i="7"/>
  <c r="I830" i="7" s="1"/>
  <c r="C830" i="7"/>
  <c r="B830" i="7"/>
  <c r="A830" i="7"/>
  <c r="R830" i="7" s="1"/>
  <c r="R829" i="7"/>
  <c r="M829" i="7"/>
  <c r="L829" i="7"/>
  <c r="Q829" i="7" s="1"/>
  <c r="K829" i="7"/>
  <c r="H829" i="7"/>
  <c r="F829" i="7"/>
  <c r="C829" i="7"/>
  <c r="B829" i="7"/>
  <c r="A829" i="7"/>
  <c r="M828" i="7"/>
  <c r="L828" i="7"/>
  <c r="Q828" i="7" s="1"/>
  <c r="K828" i="7"/>
  <c r="H828" i="7"/>
  <c r="G828" i="7"/>
  <c r="F828" i="7"/>
  <c r="E828" i="7"/>
  <c r="C828" i="7"/>
  <c r="D828" i="7" s="1"/>
  <c r="B828" i="7"/>
  <c r="N828" i="7" s="1"/>
  <c r="A828" i="7"/>
  <c r="R828" i="7" s="1"/>
  <c r="M827" i="7"/>
  <c r="L827" i="7"/>
  <c r="K827" i="7"/>
  <c r="H827" i="7"/>
  <c r="G827" i="7"/>
  <c r="F827" i="7"/>
  <c r="D827" i="7"/>
  <c r="C827" i="7"/>
  <c r="E827" i="7" s="1"/>
  <c r="B827" i="7"/>
  <c r="O827" i="7" s="1"/>
  <c r="A827" i="7"/>
  <c r="R827" i="7" s="1"/>
  <c r="P826" i="7"/>
  <c r="O826" i="7"/>
  <c r="M826" i="7"/>
  <c r="L826" i="7"/>
  <c r="Q826" i="7" s="1"/>
  <c r="K826" i="7"/>
  <c r="H826" i="7"/>
  <c r="I826" i="7" s="1"/>
  <c r="F826" i="7"/>
  <c r="E826" i="7"/>
  <c r="D826" i="7"/>
  <c r="C826" i="7"/>
  <c r="G826" i="7" s="1"/>
  <c r="B826" i="7"/>
  <c r="N826" i="7" s="1"/>
  <c r="A826" i="7"/>
  <c r="R826" i="7" s="1"/>
  <c r="P825" i="7"/>
  <c r="M825" i="7"/>
  <c r="L825" i="7"/>
  <c r="K825" i="7"/>
  <c r="H825" i="7"/>
  <c r="J825" i="7" s="1"/>
  <c r="G825" i="7"/>
  <c r="F825" i="7"/>
  <c r="E825" i="7"/>
  <c r="D825" i="7"/>
  <c r="C825" i="7"/>
  <c r="B825" i="7"/>
  <c r="O825" i="7" s="1"/>
  <c r="A825" i="7"/>
  <c r="R825" i="7" s="1"/>
  <c r="P824" i="7"/>
  <c r="M824" i="7"/>
  <c r="L824" i="7"/>
  <c r="K824" i="7"/>
  <c r="H824" i="7"/>
  <c r="I824" i="7" s="1"/>
  <c r="G824" i="7"/>
  <c r="D824" i="7"/>
  <c r="C824" i="7"/>
  <c r="E824" i="7" s="1"/>
  <c r="B824" i="7"/>
  <c r="A824" i="7"/>
  <c r="R824" i="7" s="1"/>
  <c r="M823" i="7"/>
  <c r="L823" i="7"/>
  <c r="K823" i="7"/>
  <c r="H823" i="7"/>
  <c r="I823" i="7" s="1"/>
  <c r="C823" i="7"/>
  <c r="B823" i="7"/>
  <c r="A823" i="7"/>
  <c r="R823" i="7" s="1"/>
  <c r="O822" i="7"/>
  <c r="M822" i="7"/>
  <c r="L822" i="7"/>
  <c r="K822" i="7"/>
  <c r="H822" i="7"/>
  <c r="C822" i="7"/>
  <c r="B822" i="7"/>
  <c r="A822" i="7"/>
  <c r="R822" i="7" s="1"/>
  <c r="M821" i="7"/>
  <c r="L821" i="7"/>
  <c r="K821" i="7"/>
  <c r="H821" i="7"/>
  <c r="J821" i="7" s="1"/>
  <c r="C821" i="7"/>
  <c r="B821" i="7"/>
  <c r="O821" i="7" s="1"/>
  <c r="A821" i="7"/>
  <c r="R821" i="7" s="1"/>
  <c r="Q820" i="7"/>
  <c r="P820" i="7"/>
  <c r="M820" i="7"/>
  <c r="L820" i="7"/>
  <c r="K820" i="7"/>
  <c r="H820" i="7"/>
  <c r="C820" i="7"/>
  <c r="D820" i="7" s="1"/>
  <c r="B820" i="7"/>
  <c r="A820" i="7"/>
  <c r="R820" i="7" s="1"/>
  <c r="M819" i="7"/>
  <c r="L819" i="7"/>
  <c r="K819" i="7"/>
  <c r="H819" i="7"/>
  <c r="C819" i="7"/>
  <c r="G819" i="7" s="1"/>
  <c r="B819" i="7"/>
  <c r="A819" i="7"/>
  <c r="R819" i="7" s="1"/>
  <c r="P818" i="7"/>
  <c r="M818" i="7"/>
  <c r="L818" i="7"/>
  <c r="K818" i="7"/>
  <c r="H818" i="7"/>
  <c r="I818" i="7" s="1"/>
  <c r="C818" i="7"/>
  <c r="F818" i="7" s="1"/>
  <c r="B818" i="7"/>
  <c r="A818" i="7"/>
  <c r="R818" i="7" s="1"/>
  <c r="R817" i="7"/>
  <c r="M817" i="7"/>
  <c r="L817" i="7"/>
  <c r="K817" i="7"/>
  <c r="I817" i="7"/>
  <c r="H817" i="7"/>
  <c r="J817" i="7" s="1"/>
  <c r="F817" i="7"/>
  <c r="C817" i="7"/>
  <c r="B817" i="7"/>
  <c r="O817" i="7" s="1"/>
  <c r="A817" i="7"/>
  <c r="M816" i="7"/>
  <c r="L816" i="7"/>
  <c r="K816" i="7"/>
  <c r="H816" i="7"/>
  <c r="C816" i="7"/>
  <c r="D816" i="7" s="1"/>
  <c r="B816" i="7"/>
  <c r="A816" i="7"/>
  <c r="R816" i="7" s="1"/>
  <c r="M815" i="7"/>
  <c r="L815" i="7"/>
  <c r="K815" i="7"/>
  <c r="H815" i="7"/>
  <c r="G815" i="7"/>
  <c r="F815" i="7"/>
  <c r="E815" i="7"/>
  <c r="D815" i="7"/>
  <c r="C815" i="7"/>
  <c r="B815" i="7"/>
  <c r="O815" i="7" s="1"/>
  <c r="A815" i="7"/>
  <c r="R815" i="7" s="1"/>
  <c r="O814" i="7"/>
  <c r="M814" i="7"/>
  <c r="L814" i="7"/>
  <c r="K814" i="7"/>
  <c r="H814" i="7"/>
  <c r="G814" i="7"/>
  <c r="F814" i="7"/>
  <c r="E814" i="7"/>
  <c r="D814" i="7"/>
  <c r="C814" i="7"/>
  <c r="B814" i="7"/>
  <c r="N814" i="7" s="1"/>
  <c r="A814" i="7"/>
  <c r="R814" i="7" s="1"/>
  <c r="P813" i="7"/>
  <c r="M813" i="7"/>
  <c r="L813" i="7"/>
  <c r="K813" i="7"/>
  <c r="H813" i="7"/>
  <c r="J813" i="7" s="1"/>
  <c r="G813" i="7"/>
  <c r="F813" i="7"/>
  <c r="E813" i="7"/>
  <c r="D813" i="7"/>
  <c r="C813" i="7"/>
  <c r="B813" i="7"/>
  <c r="O813" i="7" s="1"/>
  <c r="A813" i="7"/>
  <c r="R813" i="7" s="1"/>
  <c r="M812" i="7"/>
  <c r="L812" i="7"/>
  <c r="Q812" i="7" s="1"/>
  <c r="K812" i="7"/>
  <c r="H812" i="7"/>
  <c r="I812" i="7" s="1"/>
  <c r="C812" i="7"/>
  <c r="B812" i="7"/>
  <c r="P812" i="7" s="1"/>
  <c r="A812" i="7"/>
  <c r="R812" i="7" s="1"/>
  <c r="M811" i="7"/>
  <c r="L811" i="7"/>
  <c r="K811" i="7"/>
  <c r="I811" i="7"/>
  <c r="H811" i="7"/>
  <c r="J811" i="7" s="1"/>
  <c r="C811" i="7"/>
  <c r="B811" i="7"/>
  <c r="A811" i="7"/>
  <c r="R811" i="7" s="1"/>
  <c r="M810" i="7"/>
  <c r="L810" i="7"/>
  <c r="K810" i="7"/>
  <c r="H810" i="7"/>
  <c r="I810" i="7" s="1"/>
  <c r="C810" i="7"/>
  <c r="D810" i="7" s="1"/>
  <c r="B810" i="7"/>
  <c r="A810" i="7"/>
  <c r="R810" i="7" s="1"/>
  <c r="R809" i="7"/>
  <c r="M809" i="7"/>
  <c r="L809" i="7"/>
  <c r="Q809" i="7" s="1"/>
  <c r="K809" i="7"/>
  <c r="H809" i="7"/>
  <c r="J809" i="7" s="1"/>
  <c r="G809" i="7"/>
  <c r="F809" i="7"/>
  <c r="E809" i="7"/>
  <c r="D809" i="7"/>
  <c r="C809" i="7"/>
  <c r="B809" i="7"/>
  <c r="O809" i="7" s="1"/>
  <c r="A809" i="7"/>
  <c r="M808" i="7"/>
  <c r="L808" i="7"/>
  <c r="K808" i="7"/>
  <c r="H808" i="7"/>
  <c r="I808" i="7" s="1"/>
  <c r="C808" i="7"/>
  <c r="B808" i="7"/>
  <c r="A808" i="7"/>
  <c r="R808" i="7" s="1"/>
  <c r="P807" i="7"/>
  <c r="M807" i="7"/>
  <c r="Q807" i="7" s="1"/>
  <c r="L807" i="7"/>
  <c r="K807" i="7"/>
  <c r="H807" i="7"/>
  <c r="C807" i="7"/>
  <c r="B807" i="7"/>
  <c r="O807" i="7" s="1"/>
  <c r="A807" i="7"/>
  <c r="R807" i="7" s="1"/>
  <c r="M806" i="7"/>
  <c r="L806" i="7"/>
  <c r="K806" i="7"/>
  <c r="H806" i="7"/>
  <c r="C806" i="7"/>
  <c r="B806" i="7"/>
  <c r="N806" i="7" s="1"/>
  <c r="A806" i="7"/>
  <c r="R806" i="7" s="1"/>
  <c r="M805" i="7"/>
  <c r="L805" i="7"/>
  <c r="K805" i="7"/>
  <c r="H805" i="7"/>
  <c r="C805" i="7"/>
  <c r="B805" i="7"/>
  <c r="O805" i="7" s="1"/>
  <c r="A805" i="7"/>
  <c r="R805" i="7" s="1"/>
  <c r="M804" i="7"/>
  <c r="L804" i="7"/>
  <c r="Q804" i="7" s="1"/>
  <c r="K804" i="7"/>
  <c r="H804" i="7"/>
  <c r="I804" i="7" s="1"/>
  <c r="D804" i="7"/>
  <c r="C804" i="7"/>
  <c r="F804" i="7" s="1"/>
  <c r="B804" i="7"/>
  <c r="A804" i="7"/>
  <c r="R804" i="7" s="1"/>
  <c r="M803" i="7"/>
  <c r="L803" i="7"/>
  <c r="K803" i="7"/>
  <c r="H803" i="7"/>
  <c r="I803" i="7" s="1"/>
  <c r="F803" i="7"/>
  <c r="E803" i="7"/>
  <c r="C803" i="7"/>
  <c r="G803" i="7" s="1"/>
  <c r="B803" i="7"/>
  <c r="O803" i="7" s="1"/>
  <c r="A803" i="7"/>
  <c r="R803" i="7" s="1"/>
  <c r="M802" i="7"/>
  <c r="L802" i="7"/>
  <c r="K802" i="7"/>
  <c r="H802" i="7"/>
  <c r="I802" i="7" s="1"/>
  <c r="C802" i="7"/>
  <c r="B802" i="7"/>
  <c r="A802" i="7"/>
  <c r="R802" i="7" s="1"/>
  <c r="R801" i="7"/>
  <c r="P801" i="7"/>
  <c r="M801" i="7"/>
  <c r="L801" i="7"/>
  <c r="Q801" i="7" s="1"/>
  <c r="K801" i="7"/>
  <c r="J801" i="7"/>
  <c r="H801" i="7"/>
  <c r="I801" i="7" s="1"/>
  <c r="G801" i="7"/>
  <c r="C801" i="7"/>
  <c r="F801" i="7" s="1"/>
  <c r="B801" i="7"/>
  <c r="O801" i="7" s="1"/>
  <c r="A801" i="7"/>
  <c r="M800" i="7"/>
  <c r="L800" i="7"/>
  <c r="K800" i="7"/>
  <c r="H800" i="7"/>
  <c r="I800" i="7" s="1"/>
  <c r="C800" i="7"/>
  <c r="B800" i="7"/>
  <c r="A800" i="7"/>
  <c r="R800" i="7" s="1"/>
  <c r="M799" i="7"/>
  <c r="L799" i="7"/>
  <c r="K799" i="7"/>
  <c r="H799" i="7"/>
  <c r="J799" i="7" s="1"/>
  <c r="F799" i="7"/>
  <c r="C799" i="7"/>
  <c r="G799" i="7" s="1"/>
  <c r="B799" i="7"/>
  <c r="O799" i="7" s="1"/>
  <c r="A799" i="7"/>
  <c r="R799" i="7" s="1"/>
  <c r="P798" i="7"/>
  <c r="O798" i="7"/>
  <c r="M798" i="7"/>
  <c r="L798" i="7"/>
  <c r="K798" i="7"/>
  <c r="H798" i="7"/>
  <c r="G798" i="7"/>
  <c r="D798" i="7"/>
  <c r="C798" i="7"/>
  <c r="F798" i="7" s="1"/>
  <c r="B798" i="7"/>
  <c r="N798" i="7" s="1"/>
  <c r="A798" i="7"/>
  <c r="R798" i="7" s="1"/>
  <c r="P797" i="7"/>
  <c r="M797" i="7"/>
  <c r="L797" i="7"/>
  <c r="K797" i="7"/>
  <c r="H797" i="7"/>
  <c r="G797" i="7"/>
  <c r="D797" i="7"/>
  <c r="C797" i="7"/>
  <c r="F797" i="7" s="1"/>
  <c r="B797" i="7"/>
  <c r="O797" i="7" s="1"/>
  <c r="A797" i="7"/>
  <c r="R797" i="7" s="1"/>
  <c r="M796" i="7"/>
  <c r="L796" i="7"/>
  <c r="K796" i="7"/>
  <c r="H796" i="7"/>
  <c r="I796" i="7" s="1"/>
  <c r="C796" i="7"/>
  <c r="B796" i="7"/>
  <c r="A796" i="7"/>
  <c r="R796" i="7" s="1"/>
  <c r="M795" i="7"/>
  <c r="L795" i="7"/>
  <c r="K795" i="7"/>
  <c r="H795" i="7"/>
  <c r="C795" i="7"/>
  <c r="B795" i="7"/>
  <c r="O795" i="7" s="1"/>
  <c r="A795" i="7"/>
  <c r="R795" i="7" s="1"/>
  <c r="M794" i="7"/>
  <c r="L794" i="7"/>
  <c r="K794" i="7"/>
  <c r="H794" i="7"/>
  <c r="I794" i="7" s="1"/>
  <c r="C794" i="7"/>
  <c r="B794" i="7"/>
  <c r="N794" i="7" s="1"/>
  <c r="A794" i="7"/>
  <c r="R794" i="7" s="1"/>
  <c r="M793" i="7"/>
  <c r="L793" i="7"/>
  <c r="K793" i="7"/>
  <c r="H793" i="7"/>
  <c r="G793" i="7"/>
  <c r="F793" i="7"/>
  <c r="E793" i="7"/>
  <c r="C793" i="7"/>
  <c r="D793" i="7" s="1"/>
  <c r="B793" i="7"/>
  <c r="A793" i="7"/>
  <c r="R793" i="7" s="1"/>
  <c r="M792" i="7"/>
  <c r="L792" i="7"/>
  <c r="K792" i="7"/>
  <c r="H792" i="7"/>
  <c r="I792" i="7" s="1"/>
  <c r="C792" i="7"/>
  <c r="B792" i="7"/>
  <c r="A792" i="7"/>
  <c r="R792" i="7" s="1"/>
  <c r="M791" i="7"/>
  <c r="L791" i="7"/>
  <c r="K791" i="7"/>
  <c r="H791" i="7"/>
  <c r="J791" i="7" s="1"/>
  <c r="C791" i="7"/>
  <c r="B791" i="7"/>
  <c r="O791" i="7" s="1"/>
  <c r="A791" i="7"/>
  <c r="R791" i="7" s="1"/>
  <c r="P790" i="7"/>
  <c r="O790" i="7"/>
  <c r="M790" i="7"/>
  <c r="L790" i="7"/>
  <c r="K790" i="7"/>
  <c r="H790" i="7"/>
  <c r="G790" i="7"/>
  <c r="F790" i="7"/>
  <c r="E790" i="7"/>
  <c r="D790" i="7"/>
  <c r="C790" i="7"/>
  <c r="B790" i="7"/>
  <c r="N790" i="7" s="1"/>
  <c r="A790" i="7"/>
  <c r="R790" i="7" s="1"/>
  <c r="M789" i="7"/>
  <c r="L789" i="7"/>
  <c r="K789" i="7"/>
  <c r="J789" i="7"/>
  <c r="I789" i="7"/>
  <c r="H789" i="7"/>
  <c r="C789" i="7"/>
  <c r="B789" i="7"/>
  <c r="A789" i="7"/>
  <c r="R789" i="7" s="1"/>
  <c r="M788" i="7"/>
  <c r="L788" i="7"/>
  <c r="Q788" i="7" s="1"/>
  <c r="K788" i="7"/>
  <c r="H788" i="7"/>
  <c r="I788" i="7" s="1"/>
  <c r="C788" i="7"/>
  <c r="F788" i="7" s="1"/>
  <c r="B788" i="7"/>
  <c r="A788" i="7"/>
  <c r="R788" i="7" s="1"/>
  <c r="M787" i="7"/>
  <c r="L787" i="7"/>
  <c r="K787" i="7"/>
  <c r="H787" i="7"/>
  <c r="C787" i="7"/>
  <c r="B787" i="7"/>
  <c r="O787" i="7" s="1"/>
  <c r="A787" i="7"/>
  <c r="R787" i="7" s="1"/>
  <c r="M786" i="7"/>
  <c r="L786" i="7"/>
  <c r="K786" i="7"/>
  <c r="H786" i="7"/>
  <c r="I786" i="7" s="1"/>
  <c r="C786" i="7"/>
  <c r="D786" i="7" s="1"/>
  <c r="B786" i="7"/>
  <c r="A786" i="7"/>
  <c r="R786" i="7" s="1"/>
  <c r="M785" i="7"/>
  <c r="L785" i="7"/>
  <c r="Q785" i="7" s="1"/>
  <c r="K785" i="7"/>
  <c r="H785" i="7"/>
  <c r="J785" i="7" s="1"/>
  <c r="G785" i="7"/>
  <c r="F785" i="7"/>
  <c r="C785" i="7"/>
  <c r="B785" i="7"/>
  <c r="O785" i="7" s="1"/>
  <c r="A785" i="7"/>
  <c r="R785" i="7" s="1"/>
  <c r="P784" i="7"/>
  <c r="O784" i="7"/>
  <c r="M784" i="7"/>
  <c r="L784" i="7"/>
  <c r="K784" i="7"/>
  <c r="H784" i="7"/>
  <c r="I784" i="7" s="1"/>
  <c r="C784" i="7"/>
  <c r="B784" i="7"/>
  <c r="N784" i="7" s="1"/>
  <c r="A784" i="7"/>
  <c r="R784" i="7" s="1"/>
  <c r="M783" i="7"/>
  <c r="L783" i="7"/>
  <c r="K783" i="7"/>
  <c r="J783" i="7"/>
  <c r="H783" i="7"/>
  <c r="I783" i="7" s="1"/>
  <c r="E783" i="7"/>
  <c r="C783" i="7"/>
  <c r="D783" i="7" s="1"/>
  <c r="B783" i="7"/>
  <c r="O783" i="7" s="1"/>
  <c r="A783" i="7"/>
  <c r="R783" i="7" s="1"/>
  <c r="M782" i="7"/>
  <c r="L782" i="7"/>
  <c r="K782" i="7"/>
  <c r="H782" i="7"/>
  <c r="C782" i="7"/>
  <c r="G782" i="7" s="1"/>
  <c r="B782" i="7"/>
  <c r="A782" i="7"/>
  <c r="R782" i="7" s="1"/>
  <c r="M781" i="7"/>
  <c r="L781" i="7"/>
  <c r="K781" i="7"/>
  <c r="H781" i="7"/>
  <c r="C781" i="7"/>
  <c r="B781" i="7"/>
  <c r="A781" i="7"/>
  <c r="R781" i="7" s="1"/>
  <c r="M780" i="7"/>
  <c r="L780" i="7"/>
  <c r="K780" i="7"/>
  <c r="H780" i="7"/>
  <c r="C780" i="7"/>
  <c r="B780" i="7"/>
  <c r="A780" i="7"/>
  <c r="R780" i="7" s="1"/>
  <c r="M779" i="7"/>
  <c r="L779" i="7"/>
  <c r="K779" i="7"/>
  <c r="H779" i="7"/>
  <c r="G779" i="7"/>
  <c r="C779" i="7"/>
  <c r="F779" i="7" s="1"/>
  <c r="B779" i="7"/>
  <c r="O779" i="7" s="1"/>
  <c r="A779" i="7"/>
  <c r="R779" i="7" s="1"/>
  <c r="M778" i="7"/>
  <c r="L778" i="7"/>
  <c r="K778" i="7"/>
  <c r="H778" i="7"/>
  <c r="C778" i="7"/>
  <c r="B778" i="7"/>
  <c r="A778" i="7"/>
  <c r="R778" i="7" s="1"/>
  <c r="M777" i="7"/>
  <c r="L777" i="7"/>
  <c r="K777" i="7"/>
  <c r="H777" i="7"/>
  <c r="E777" i="7"/>
  <c r="D777" i="7"/>
  <c r="C777" i="7"/>
  <c r="B777" i="7"/>
  <c r="O777" i="7" s="1"/>
  <c r="A777" i="7"/>
  <c r="R777" i="7" s="1"/>
  <c r="O776" i="7"/>
  <c r="M776" i="7"/>
  <c r="L776" i="7"/>
  <c r="K776" i="7"/>
  <c r="H776" i="7"/>
  <c r="C776" i="7"/>
  <c r="B776" i="7"/>
  <c r="A776" i="7"/>
  <c r="R776" i="7" s="1"/>
  <c r="M775" i="7"/>
  <c r="L775" i="7"/>
  <c r="K775" i="7"/>
  <c r="I775" i="7"/>
  <c r="H775" i="7"/>
  <c r="J775" i="7" s="1"/>
  <c r="C775" i="7"/>
  <c r="G775" i="7" s="1"/>
  <c r="B775" i="7"/>
  <c r="A775" i="7"/>
  <c r="R775" i="7" s="1"/>
  <c r="M774" i="7"/>
  <c r="L774" i="7"/>
  <c r="K774" i="7"/>
  <c r="H774" i="7"/>
  <c r="G774" i="7"/>
  <c r="D774" i="7"/>
  <c r="C774" i="7"/>
  <c r="B774" i="7"/>
  <c r="P774" i="7" s="1"/>
  <c r="A774" i="7"/>
  <c r="R774" i="7" s="1"/>
  <c r="M773" i="7"/>
  <c r="L773" i="7"/>
  <c r="K773" i="7"/>
  <c r="H773" i="7"/>
  <c r="C773" i="7"/>
  <c r="B773" i="7"/>
  <c r="A773" i="7"/>
  <c r="R773" i="7" s="1"/>
  <c r="M772" i="7"/>
  <c r="L772" i="7"/>
  <c r="K772" i="7"/>
  <c r="H772" i="7"/>
  <c r="I772" i="7" s="1"/>
  <c r="C772" i="7"/>
  <c r="B772" i="7"/>
  <c r="A772" i="7"/>
  <c r="R772" i="7" s="1"/>
  <c r="M771" i="7"/>
  <c r="L771" i="7"/>
  <c r="K771" i="7"/>
  <c r="H771" i="7"/>
  <c r="C771" i="7"/>
  <c r="D771" i="7" s="1"/>
  <c r="B771" i="7"/>
  <c r="O771" i="7" s="1"/>
  <c r="A771" i="7"/>
  <c r="R771" i="7" s="1"/>
  <c r="R770" i="7"/>
  <c r="M770" i="7"/>
  <c r="L770" i="7"/>
  <c r="K770" i="7"/>
  <c r="H770" i="7"/>
  <c r="G770" i="7"/>
  <c r="C770" i="7"/>
  <c r="B770" i="7"/>
  <c r="P770" i="7" s="1"/>
  <c r="A770" i="7"/>
  <c r="M769" i="7"/>
  <c r="L769" i="7"/>
  <c r="K769" i="7"/>
  <c r="H769" i="7"/>
  <c r="J769" i="7" s="1"/>
  <c r="C769" i="7"/>
  <c r="B769" i="7"/>
  <c r="O769" i="7" s="1"/>
  <c r="A769" i="7"/>
  <c r="R769" i="7" s="1"/>
  <c r="M768" i="7"/>
  <c r="L768" i="7"/>
  <c r="Q768" i="7" s="1"/>
  <c r="K768" i="7"/>
  <c r="J768" i="7"/>
  <c r="H768" i="7"/>
  <c r="I768" i="7" s="1"/>
  <c r="C768" i="7"/>
  <c r="B768" i="7"/>
  <c r="A768" i="7"/>
  <c r="R768" i="7" s="1"/>
  <c r="M767" i="7"/>
  <c r="L767" i="7"/>
  <c r="Q767" i="7" s="1"/>
  <c r="K767" i="7"/>
  <c r="H767" i="7"/>
  <c r="G767" i="7"/>
  <c r="F767" i="7"/>
  <c r="E767" i="7"/>
  <c r="D767" i="7"/>
  <c r="C767" i="7"/>
  <c r="B767" i="7"/>
  <c r="O767" i="7" s="1"/>
  <c r="A767" i="7"/>
  <c r="R767" i="7" s="1"/>
  <c r="M766" i="7"/>
  <c r="L766" i="7"/>
  <c r="Q766" i="7" s="1"/>
  <c r="K766" i="7"/>
  <c r="H766" i="7"/>
  <c r="C766" i="7"/>
  <c r="G766" i="7" s="1"/>
  <c r="B766" i="7"/>
  <c r="A766" i="7"/>
  <c r="R766" i="7" s="1"/>
  <c r="M765" i="7"/>
  <c r="L765" i="7"/>
  <c r="K765" i="7"/>
  <c r="I765" i="7"/>
  <c r="H765" i="7"/>
  <c r="J765" i="7" s="1"/>
  <c r="D765" i="7"/>
  <c r="C765" i="7"/>
  <c r="E765" i="7" s="1"/>
  <c r="B765" i="7"/>
  <c r="O765" i="7" s="1"/>
  <c r="A765" i="7"/>
  <c r="R765" i="7" s="1"/>
  <c r="M764" i="7"/>
  <c r="L764" i="7"/>
  <c r="Q764" i="7" s="1"/>
  <c r="K764" i="7"/>
  <c r="H764" i="7"/>
  <c r="I764" i="7" s="1"/>
  <c r="C764" i="7"/>
  <c r="B764" i="7"/>
  <c r="A764" i="7"/>
  <c r="R764" i="7" s="1"/>
  <c r="M763" i="7"/>
  <c r="L763" i="7"/>
  <c r="Q763" i="7" s="1"/>
  <c r="K763" i="7"/>
  <c r="H763" i="7"/>
  <c r="J763" i="7" s="1"/>
  <c r="C763" i="7"/>
  <c r="B763" i="7"/>
  <c r="A763" i="7"/>
  <c r="R763" i="7" s="1"/>
  <c r="P762" i="7"/>
  <c r="O762" i="7"/>
  <c r="M762" i="7"/>
  <c r="L762" i="7"/>
  <c r="K762" i="7"/>
  <c r="H762" i="7"/>
  <c r="D762" i="7"/>
  <c r="C762" i="7"/>
  <c r="E762" i="7" s="1"/>
  <c r="B762" i="7"/>
  <c r="N762" i="7" s="1"/>
  <c r="A762" i="7"/>
  <c r="R762" i="7" s="1"/>
  <c r="P761" i="7"/>
  <c r="M761" i="7"/>
  <c r="L761" i="7"/>
  <c r="K761" i="7"/>
  <c r="H761" i="7"/>
  <c r="J761" i="7" s="1"/>
  <c r="C761" i="7"/>
  <c r="B761" i="7"/>
  <c r="O761" i="7" s="1"/>
  <c r="A761" i="7"/>
  <c r="R761" i="7" s="1"/>
  <c r="M760" i="7"/>
  <c r="L760" i="7"/>
  <c r="K760" i="7"/>
  <c r="H760" i="7"/>
  <c r="I760" i="7" s="1"/>
  <c r="E760" i="7"/>
  <c r="C760" i="7"/>
  <c r="F760" i="7" s="1"/>
  <c r="B760" i="7"/>
  <c r="A760" i="7"/>
  <c r="R760" i="7" s="1"/>
  <c r="M759" i="7"/>
  <c r="L759" i="7"/>
  <c r="K759" i="7"/>
  <c r="H759" i="7"/>
  <c r="I759" i="7" s="1"/>
  <c r="C759" i="7"/>
  <c r="F759" i="7" s="1"/>
  <c r="B759" i="7"/>
  <c r="A759" i="7"/>
  <c r="R759" i="7" s="1"/>
  <c r="M758" i="7"/>
  <c r="L758" i="7"/>
  <c r="K758" i="7"/>
  <c r="H758" i="7"/>
  <c r="G758" i="7"/>
  <c r="D758" i="7"/>
  <c r="C758" i="7"/>
  <c r="E758" i="7" s="1"/>
  <c r="B758" i="7"/>
  <c r="A758" i="7"/>
  <c r="R758" i="7" s="1"/>
  <c r="M757" i="7"/>
  <c r="L757" i="7"/>
  <c r="K757" i="7"/>
  <c r="H757" i="7"/>
  <c r="G757" i="7"/>
  <c r="F757" i="7"/>
  <c r="E757" i="7"/>
  <c r="C757" i="7"/>
  <c r="D757" i="7" s="1"/>
  <c r="B757" i="7"/>
  <c r="O757" i="7" s="1"/>
  <c r="A757" i="7"/>
  <c r="R757" i="7" s="1"/>
  <c r="P756" i="7"/>
  <c r="O756" i="7"/>
  <c r="M756" i="7"/>
  <c r="L756" i="7"/>
  <c r="Q756" i="7" s="1"/>
  <c r="K756" i="7"/>
  <c r="H756" i="7"/>
  <c r="I756" i="7" s="1"/>
  <c r="C756" i="7"/>
  <c r="G756" i="7" s="1"/>
  <c r="B756" i="7"/>
  <c r="N756" i="7" s="1"/>
  <c r="A756" i="7"/>
  <c r="R756" i="7" s="1"/>
  <c r="M755" i="7"/>
  <c r="L755" i="7"/>
  <c r="K755" i="7"/>
  <c r="J755" i="7"/>
  <c r="H755" i="7"/>
  <c r="I755" i="7" s="1"/>
  <c r="C755" i="7"/>
  <c r="D755" i="7" s="1"/>
  <c r="B755" i="7"/>
  <c r="O755" i="7" s="1"/>
  <c r="A755" i="7"/>
  <c r="R755" i="7" s="1"/>
  <c r="P754" i="7"/>
  <c r="M754" i="7"/>
  <c r="L754" i="7"/>
  <c r="K754" i="7"/>
  <c r="H754" i="7"/>
  <c r="E754" i="7"/>
  <c r="C754" i="7"/>
  <c r="B754" i="7"/>
  <c r="A754" i="7"/>
  <c r="R754" i="7" s="1"/>
  <c r="M753" i="7"/>
  <c r="L753" i="7"/>
  <c r="K753" i="7"/>
  <c r="H753" i="7"/>
  <c r="F753" i="7"/>
  <c r="E753" i="7"/>
  <c r="C753" i="7"/>
  <c r="B753" i="7"/>
  <c r="A753" i="7"/>
  <c r="R753" i="7" s="1"/>
  <c r="M752" i="7"/>
  <c r="L752" i="7"/>
  <c r="K752" i="7"/>
  <c r="H752" i="7"/>
  <c r="C752" i="7"/>
  <c r="B752" i="7"/>
  <c r="A752" i="7"/>
  <c r="R752" i="7" s="1"/>
  <c r="M751" i="7"/>
  <c r="Q751" i="7" s="1"/>
  <c r="L751" i="7"/>
  <c r="K751" i="7"/>
  <c r="H751" i="7"/>
  <c r="D751" i="7"/>
  <c r="C751" i="7"/>
  <c r="G751" i="7" s="1"/>
  <c r="B751" i="7"/>
  <c r="A751" i="7"/>
  <c r="R751" i="7" s="1"/>
  <c r="M750" i="7"/>
  <c r="L750" i="7"/>
  <c r="Q750" i="7" s="1"/>
  <c r="K750" i="7"/>
  <c r="H750" i="7"/>
  <c r="C750" i="7"/>
  <c r="E750" i="7" s="1"/>
  <c r="B750" i="7"/>
  <c r="A750" i="7"/>
  <c r="R750" i="7" s="1"/>
  <c r="M749" i="7"/>
  <c r="L749" i="7"/>
  <c r="Q749" i="7" s="1"/>
  <c r="K749" i="7"/>
  <c r="H749" i="7"/>
  <c r="C749" i="7"/>
  <c r="F749" i="7" s="1"/>
  <c r="B749" i="7"/>
  <c r="O749" i="7" s="1"/>
  <c r="A749" i="7"/>
  <c r="R749" i="7" s="1"/>
  <c r="M748" i="7"/>
  <c r="L748" i="7"/>
  <c r="Q748" i="7" s="1"/>
  <c r="K748" i="7"/>
  <c r="H748" i="7"/>
  <c r="I748" i="7" s="1"/>
  <c r="C748" i="7"/>
  <c r="B748" i="7"/>
  <c r="A748" i="7"/>
  <c r="R748" i="7" s="1"/>
  <c r="M747" i="7"/>
  <c r="L747" i="7"/>
  <c r="K747" i="7"/>
  <c r="H747" i="7"/>
  <c r="J747" i="7" s="1"/>
  <c r="G747" i="7"/>
  <c r="C747" i="7"/>
  <c r="B747" i="7"/>
  <c r="A747" i="7"/>
  <c r="R747" i="7" s="1"/>
  <c r="M746" i="7"/>
  <c r="L746" i="7"/>
  <c r="K746" i="7"/>
  <c r="H746" i="7"/>
  <c r="C746" i="7"/>
  <c r="B746" i="7"/>
  <c r="A746" i="7"/>
  <c r="R746" i="7" s="1"/>
  <c r="M745" i="7"/>
  <c r="L745" i="7"/>
  <c r="Q745" i="7" s="1"/>
  <c r="K745" i="7"/>
  <c r="H745" i="7"/>
  <c r="C745" i="7"/>
  <c r="B745" i="7"/>
  <c r="A745" i="7"/>
  <c r="R745" i="7" s="1"/>
  <c r="R744" i="7"/>
  <c r="M744" i="7"/>
  <c r="L744" i="7"/>
  <c r="Q744" i="7" s="1"/>
  <c r="K744" i="7"/>
  <c r="H744" i="7"/>
  <c r="I744" i="7" s="1"/>
  <c r="C744" i="7"/>
  <c r="B744" i="7"/>
  <c r="A744" i="7"/>
  <c r="M743" i="7"/>
  <c r="Q743" i="7" s="1"/>
  <c r="L743" i="7"/>
  <c r="K743" i="7"/>
  <c r="H743" i="7"/>
  <c r="G743" i="7"/>
  <c r="F743" i="7"/>
  <c r="E743" i="7"/>
  <c r="D743" i="7"/>
  <c r="C743" i="7"/>
  <c r="B743" i="7"/>
  <c r="A743" i="7"/>
  <c r="R743" i="7" s="1"/>
  <c r="M742" i="7"/>
  <c r="L742" i="7"/>
  <c r="Q742" i="7" s="1"/>
  <c r="K742" i="7"/>
  <c r="H742" i="7"/>
  <c r="G742" i="7"/>
  <c r="F742" i="7"/>
  <c r="E742" i="7"/>
  <c r="D742" i="7"/>
  <c r="C742" i="7"/>
  <c r="B742" i="7"/>
  <c r="A742" i="7"/>
  <c r="R742" i="7" s="1"/>
  <c r="M741" i="7"/>
  <c r="L741" i="7"/>
  <c r="K741" i="7"/>
  <c r="H741" i="7"/>
  <c r="J741" i="7" s="1"/>
  <c r="C741" i="7"/>
  <c r="B741" i="7"/>
  <c r="O741" i="7" s="1"/>
  <c r="A741" i="7"/>
  <c r="R741" i="7" s="1"/>
  <c r="P740" i="7"/>
  <c r="O740" i="7"/>
  <c r="M740" i="7"/>
  <c r="L740" i="7"/>
  <c r="K740" i="7"/>
  <c r="H740" i="7"/>
  <c r="C740" i="7"/>
  <c r="D740" i="7" s="1"/>
  <c r="B740" i="7"/>
  <c r="N740" i="7" s="1"/>
  <c r="A740" i="7"/>
  <c r="R740" i="7" s="1"/>
  <c r="M739" i="7"/>
  <c r="L739" i="7"/>
  <c r="Q739" i="7" s="1"/>
  <c r="K739" i="7"/>
  <c r="J739" i="7"/>
  <c r="I739" i="7"/>
  <c r="H739" i="7"/>
  <c r="C739" i="7"/>
  <c r="B739" i="7"/>
  <c r="O739" i="7" s="1"/>
  <c r="A739" i="7"/>
  <c r="R739" i="7" s="1"/>
  <c r="P738" i="7"/>
  <c r="O738" i="7"/>
  <c r="M738" i="7"/>
  <c r="L738" i="7"/>
  <c r="K738" i="7"/>
  <c r="H738" i="7"/>
  <c r="G738" i="7"/>
  <c r="F738" i="7"/>
  <c r="E738" i="7"/>
  <c r="D738" i="7"/>
  <c r="C738" i="7"/>
  <c r="B738" i="7"/>
  <c r="N738" i="7" s="1"/>
  <c r="A738" i="7"/>
  <c r="R738" i="7" s="1"/>
  <c r="P737" i="7"/>
  <c r="M737" i="7"/>
  <c r="L737" i="7"/>
  <c r="K737" i="7"/>
  <c r="J737" i="7"/>
  <c r="H737" i="7"/>
  <c r="I737" i="7" s="1"/>
  <c r="C737" i="7"/>
  <c r="D737" i="7" s="1"/>
  <c r="B737" i="7"/>
  <c r="O737" i="7" s="1"/>
  <c r="A737" i="7"/>
  <c r="R737" i="7" s="1"/>
  <c r="R736" i="7"/>
  <c r="P736" i="7"/>
  <c r="O736" i="7"/>
  <c r="M736" i="7"/>
  <c r="L736" i="7"/>
  <c r="Q736" i="7" s="1"/>
  <c r="K736" i="7"/>
  <c r="H736" i="7"/>
  <c r="C736" i="7"/>
  <c r="B736" i="7"/>
  <c r="N736" i="7" s="1"/>
  <c r="A736" i="7"/>
  <c r="M735" i="7"/>
  <c r="L735" i="7"/>
  <c r="K735" i="7"/>
  <c r="H735" i="7"/>
  <c r="C735" i="7"/>
  <c r="B735" i="7"/>
  <c r="A735" i="7"/>
  <c r="R735" i="7" s="1"/>
  <c r="M734" i="7"/>
  <c r="L734" i="7"/>
  <c r="K734" i="7"/>
  <c r="H734" i="7"/>
  <c r="C734" i="7"/>
  <c r="F734" i="7" s="1"/>
  <c r="B734" i="7"/>
  <c r="A734" i="7"/>
  <c r="R734" i="7" s="1"/>
  <c r="M733" i="7"/>
  <c r="L733" i="7"/>
  <c r="Q733" i="7" s="1"/>
  <c r="K733" i="7"/>
  <c r="H733" i="7"/>
  <c r="E733" i="7"/>
  <c r="C733" i="7"/>
  <c r="B733" i="7"/>
  <c r="A733" i="7"/>
  <c r="R733" i="7" s="1"/>
  <c r="P732" i="7"/>
  <c r="O732" i="7"/>
  <c r="M732" i="7"/>
  <c r="L732" i="7"/>
  <c r="Q732" i="7" s="1"/>
  <c r="K732" i="7"/>
  <c r="H732" i="7"/>
  <c r="C732" i="7"/>
  <c r="B732" i="7"/>
  <c r="N732" i="7" s="1"/>
  <c r="A732" i="7"/>
  <c r="R732" i="7" s="1"/>
  <c r="M731" i="7"/>
  <c r="L731" i="7"/>
  <c r="K731" i="7"/>
  <c r="J731" i="7"/>
  <c r="I731" i="7"/>
  <c r="H731" i="7"/>
  <c r="C731" i="7"/>
  <c r="B731" i="7"/>
  <c r="A731" i="7"/>
  <c r="R731" i="7" s="1"/>
  <c r="M730" i="7"/>
  <c r="L730" i="7"/>
  <c r="Q730" i="7" s="1"/>
  <c r="K730" i="7"/>
  <c r="H730" i="7"/>
  <c r="C730" i="7"/>
  <c r="F730" i="7" s="1"/>
  <c r="B730" i="7"/>
  <c r="A730" i="7"/>
  <c r="R730" i="7" s="1"/>
  <c r="P729" i="7"/>
  <c r="M729" i="7"/>
  <c r="L729" i="7"/>
  <c r="K729" i="7"/>
  <c r="I729" i="7"/>
  <c r="H729" i="7"/>
  <c r="J729" i="7" s="1"/>
  <c r="G729" i="7"/>
  <c r="F729" i="7"/>
  <c r="C729" i="7"/>
  <c r="E729" i="7" s="1"/>
  <c r="B729" i="7"/>
  <c r="O729" i="7" s="1"/>
  <c r="A729" i="7"/>
  <c r="R729" i="7" s="1"/>
  <c r="M728" i="7"/>
  <c r="L728" i="7"/>
  <c r="K728" i="7"/>
  <c r="J728" i="7"/>
  <c r="H728" i="7"/>
  <c r="I728" i="7" s="1"/>
  <c r="C728" i="7"/>
  <c r="G728" i="7" s="1"/>
  <c r="B728" i="7"/>
  <c r="A728" i="7"/>
  <c r="R728" i="7" s="1"/>
  <c r="M727" i="7"/>
  <c r="L727" i="7"/>
  <c r="K727" i="7"/>
  <c r="J727" i="7"/>
  <c r="H727" i="7"/>
  <c r="I727" i="7" s="1"/>
  <c r="C727" i="7"/>
  <c r="F727" i="7" s="1"/>
  <c r="B727" i="7"/>
  <c r="O727" i="7" s="1"/>
  <c r="A727" i="7"/>
  <c r="R727" i="7" s="1"/>
  <c r="R726" i="7"/>
  <c r="P726" i="7"/>
  <c r="O726" i="7"/>
  <c r="M726" i="7"/>
  <c r="L726" i="7"/>
  <c r="Q726" i="7" s="1"/>
  <c r="K726" i="7"/>
  <c r="H726" i="7"/>
  <c r="C726" i="7"/>
  <c r="B726" i="7"/>
  <c r="N726" i="7" s="1"/>
  <c r="A726" i="7"/>
  <c r="M725" i="7"/>
  <c r="L725" i="7"/>
  <c r="K725" i="7"/>
  <c r="I725" i="7"/>
  <c r="H725" i="7"/>
  <c r="J725" i="7" s="1"/>
  <c r="F725" i="7"/>
  <c r="E725" i="7"/>
  <c r="C725" i="7"/>
  <c r="B725" i="7"/>
  <c r="P725" i="7" s="1"/>
  <c r="A725" i="7"/>
  <c r="R725" i="7" s="1"/>
  <c r="M724" i="7"/>
  <c r="L724" i="7"/>
  <c r="K724" i="7"/>
  <c r="H724" i="7"/>
  <c r="C724" i="7"/>
  <c r="D724" i="7" s="1"/>
  <c r="B724" i="7"/>
  <c r="A724" i="7"/>
  <c r="R724" i="7" s="1"/>
  <c r="Q723" i="7"/>
  <c r="M723" i="7"/>
  <c r="L723" i="7"/>
  <c r="K723" i="7"/>
  <c r="H723" i="7"/>
  <c r="C723" i="7"/>
  <c r="B723" i="7"/>
  <c r="N723" i="7" s="1"/>
  <c r="A723" i="7"/>
  <c r="R723" i="7" s="1"/>
  <c r="M722" i="7"/>
  <c r="L722" i="7"/>
  <c r="K722" i="7"/>
  <c r="H722" i="7"/>
  <c r="C722" i="7"/>
  <c r="B722" i="7"/>
  <c r="A722" i="7"/>
  <c r="R722" i="7" s="1"/>
  <c r="M721" i="7"/>
  <c r="L721" i="7"/>
  <c r="K721" i="7"/>
  <c r="H721" i="7"/>
  <c r="I721" i="7" s="1"/>
  <c r="C721" i="7"/>
  <c r="G721" i="7" s="1"/>
  <c r="B721" i="7"/>
  <c r="N721" i="7" s="1"/>
  <c r="A721" i="7"/>
  <c r="R721" i="7" s="1"/>
  <c r="M720" i="7"/>
  <c r="L720" i="7"/>
  <c r="K720" i="7"/>
  <c r="H720" i="7"/>
  <c r="C720" i="7"/>
  <c r="B720" i="7"/>
  <c r="A720" i="7"/>
  <c r="R720" i="7" s="1"/>
  <c r="M719" i="7"/>
  <c r="L719" i="7"/>
  <c r="Q719" i="7" s="1"/>
  <c r="K719" i="7"/>
  <c r="H719" i="7"/>
  <c r="G719" i="7"/>
  <c r="C719" i="7"/>
  <c r="D719" i="7" s="1"/>
  <c r="B719" i="7"/>
  <c r="A719" i="7"/>
  <c r="R719" i="7" s="1"/>
  <c r="M718" i="7"/>
  <c r="L718" i="7"/>
  <c r="Q718" i="7" s="1"/>
  <c r="K718" i="7"/>
  <c r="H718" i="7"/>
  <c r="C718" i="7"/>
  <c r="B718" i="7"/>
  <c r="P718" i="7" s="1"/>
  <c r="A718" i="7"/>
  <c r="R718" i="7" s="1"/>
  <c r="M717" i="7"/>
  <c r="L717" i="7"/>
  <c r="K717" i="7"/>
  <c r="H717" i="7"/>
  <c r="C717" i="7"/>
  <c r="G717" i="7" s="1"/>
  <c r="B717" i="7"/>
  <c r="N717" i="7" s="1"/>
  <c r="A717" i="7"/>
  <c r="R717" i="7" s="1"/>
  <c r="O716" i="7"/>
  <c r="M716" i="7"/>
  <c r="L716" i="7"/>
  <c r="K716" i="7"/>
  <c r="H716" i="7"/>
  <c r="C716" i="7"/>
  <c r="F716" i="7" s="1"/>
  <c r="B716" i="7"/>
  <c r="A716" i="7"/>
  <c r="R716" i="7" s="1"/>
  <c r="M715" i="7"/>
  <c r="L715" i="7"/>
  <c r="K715" i="7"/>
  <c r="H715" i="7"/>
  <c r="J715" i="7" s="1"/>
  <c r="C715" i="7"/>
  <c r="D715" i="7" s="1"/>
  <c r="B715" i="7"/>
  <c r="N715" i="7" s="1"/>
  <c r="A715" i="7"/>
  <c r="R715" i="7" s="1"/>
  <c r="M714" i="7"/>
  <c r="L714" i="7"/>
  <c r="K714" i="7"/>
  <c r="H714" i="7"/>
  <c r="G714" i="7"/>
  <c r="C714" i="7"/>
  <c r="B714" i="7"/>
  <c r="A714" i="7"/>
  <c r="R714" i="7" s="1"/>
  <c r="N713" i="7"/>
  <c r="M713" i="7"/>
  <c r="L713" i="7"/>
  <c r="K713" i="7"/>
  <c r="I713" i="7"/>
  <c r="H713" i="7"/>
  <c r="J713" i="7" s="1"/>
  <c r="C713" i="7"/>
  <c r="B713" i="7"/>
  <c r="A713" i="7"/>
  <c r="R713" i="7" s="1"/>
  <c r="M712" i="7"/>
  <c r="L712" i="7"/>
  <c r="K712" i="7"/>
  <c r="H712" i="7"/>
  <c r="E712" i="7"/>
  <c r="C712" i="7"/>
  <c r="F712" i="7" s="1"/>
  <c r="B712" i="7"/>
  <c r="A712" i="7"/>
  <c r="R712" i="7" s="1"/>
  <c r="M711" i="7"/>
  <c r="L711" i="7"/>
  <c r="Q711" i="7" s="1"/>
  <c r="K711" i="7"/>
  <c r="H711" i="7"/>
  <c r="C711" i="7"/>
  <c r="B711" i="7"/>
  <c r="A711" i="7"/>
  <c r="R711" i="7" s="1"/>
  <c r="M710" i="7"/>
  <c r="L710" i="7"/>
  <c r="K710" i="7"/>
  <c r="H710" i="7"/>
  <c r="D710" i="7"/>
  <c r="C710" i="7"/>
  <c r="F710" i="7" s="1"/>
  <c r="B710" i="7"/>
  <c r="A710" i="7"/>
  <c r="R710" i="7" s="1"/>
  <c r="M709" i="7"/>
  <c r="L709" i="7"/>
  <c r="Q709" i="7" s="1"/>
  <c r="K709" i="7"/>
  <c r="H709" i="7"/>
  <c r="C709" i="7"/>
  <c r="B709" i="7"/>
  <c r="N709" i="7" s="1"/>
  <c r="A709" i="7"/>
  <c r="R709" i="7" s="1"/>
  <c r="M708" i="7"/>
  <c r="L708" i="7"/>
  <c r="Q708" i="7" s="1"/>
  <c r="K708" i="7"/>
  <c r="H708" i="7"/>
  <c r="C708" i="7"/>
  <c r="B708" i="7"/>
  <c r="A708" i="7"/>
  <c r="R708" i="7" s="1"/>
  <c r="M707" i="7"/>
  <c r="L707" i="7"/>
  <c r="K707" i="7"/>
  <c r="H707" i="7"/>
  <c r="C707" i="7"/>
  <c r="F707" i="7" s="1"/>
  <c r="B707" i="7"/>
  <c r="N707" i="7" s="1"/>
  <c r="A707" i="7"/>
  <c r="R707" i="7" s="1"/>
  <c r="P706" i="7"/>
  <c r="M706" i="7"/>
  <c r="L706" i="7"/>
  <c r="K706" i="7"/>
  <c r="H706" i="7"/>
  <c r="C706" i="7"/>
  <c r="B706" i="7"/>
  <c r="N706" i="7" s="1"/>
  <c r="A706" i="7"/>
  <c r="R706" i="7" s="1"/>
  <c r="R705" i="7"/>
  <c r="M705" i="7"/>
  <c r="L705" i="7"/>
  <c r="K705" i="7"/>
  <c r="H705" i="7"/>
  <c r="F705" i="7"/>
  <c r="C705" i="7"/>
  <c r="B705" i="7"/>
  <c r="A705" i="7"/>
  <c r="M704" i="7"/>
  <c r="L704" i="7"/>
  <c r="Q704" i="7" s="1"/>
  <c r="K704" i="7"/>
  <c r="H704" i="7"/>
  <c r="C704" i="7"/>
  <c r="B704" i="7"/>
  <c r="O704" i="7" s="1"/>
  <c r="A704" i="7"/>
  <c r="R704" i="7" s="1"/>
  <c r="M703" i="7"/>
  <c r="L703" i="7"/>
  <c r="K703" i="7"/>
  <c r="H703" i="7"/>
  <c r="I703" i="7" s="1"/>
  <c r="C703" i="7"/>
  <c r="B703" i="7"/>
  <c r="N703" i="7" s="1"/>
  <c r="A703" i="7"/>
  <c r="R703" i="7" s="1"/>
  <c r="O702" i="7"/>
  <c r="M702" i="7"/>
  <c r="L702" i="7"/>
  <c r="K702" i="7"/>
  <c r="H702" i="7"/>
  <c r="G702" i="7"/>
  <c r="C702" i="7"/>
  <c r="D702" i="7" s="1"/>
  <c r="B702" i="7"/>
  <c r="P702" i="7" s="1"/>
  <c r="A702" i="7"/>
  <c r="R702" i="7" s="1"/>
  <c r="N701" i="7"/>
  <c r="M701" i="7"/>
  <c r="L701" i="7"/>
  <c r="K701" i="7"/>
  <c r="H701" i="7"/>
  <c r="J701" i="7" s="1"/>
  <c r="C701" i="7"/>
  <c r="F701" i="7" s="1"/>
  <c r="B701" i="7"/>
  <c r="P701" i="7" s="1"/>
  <c r="A701" i="7"/>
  <c r="R701" i="7" s="1"/>
  <c r="M700" i="7"/>
  <c r="L700" i="7"/>
  <c r="K700" i="7"/>
  <c r="H700" i="7"/>
  <c r="C700" i="7"/>
  <c r="B700" i="7"/>
  <c r="A700" i="7"/>
  <c r="R700" i="7" s="1"/>
  <c r="M699" i="7"/>
  <c r="Q699" i="7" s="1"/>
  <c r="L699" i="7"/>
  <c r="K699" i="7"/>
  <c r="H699" i="7"/>
  <c r="C699" i="7"/>
  <c r="B699" i="7"/>
  <c r="O699" i="7" s="1"/>
  <c r="A699" i="7"/>
  <c r="R699" i="7" s="1"/>
  <c r="M698" i="7"/>
  <c r="L698" i="7"/>
  <c r="Q698" i="7" s="1"/>
  <c r="K698" i="7"/>
  <c r="I698" i="7"/>
  <c r="H698" i="7"/>
  <c r="J698" i="7" s="1"/>
  <c r="C698" i="7"/>
  <c r="G698" i="7" s="1"/>
  <c r="B698" i="7"/>
  <c r="A698" i="7"/>
  <c r="R698" i="7" s="1"/>
  <c r="M697" i="7"/>
  <c r="L697" i="7"/>
  <c r="Q697" i="7" s="1"/>
  <c r="K697" i="7"/>
  <c r="H697" i="7"/>
  <c r="C697" i="7"/>
  <c r="D697" i="7" s="1"/>
  <c r="B697" i="7"/>
  <c r="P697" i="7" s="1"/>
  <c r="A697" i="7"/>
  <c r="R697" i="7" s="1"/>
  <c r="M696" i="7"/>
  <c r="L696" i="7"/>
  <c r="K696" i="7"/>
  <c r="H696" i="7"/>
  <c r="J696" i="7" s="1"/>
  <c r="G696" i="7"/>
  <c r="E696" i="7"/>
  <c r="C696" i="7"/>
  <c r="B696" i="7"/>
  <c r="O696" i="7" s="1"/>
  <c r="A696" i="7"/>
  <c r="R696" i="7" s="1"/>
  <c r="M695" i="7"/>
  <c r="L695" i="7"/>
  <c r="Q695" i="7" s="1"/>
  <c r="K695" i="7"/>
  <c r="H695" i="7"/>
  <c r="J695" i="7" s="1"/>
  <c r="C695" i="7"/>
  <c r="G695" i="7" s="1"/>
  <c r="B695" i="7"/>
  <c r="P695" i="7" s="1"/>
  <c r="A695" i="7"/>
  <c r="R695" i="7" s="1"/>
  <c r="M694" i="7"/>
  <c r="L694" i="7"/>
  <c r="Q694" i="7" s="1"/>
  <c r="K694" i="7"/>
  <c r="H694" i="7"/>
  <c r="J694" i="7" s="1"/>
  <c r="C694" i="7"/>
  <c r="B694" i="7"/>
  <c r="A694" i="7"/>
  <c r="R694" i="7" s="1"/>
  <c r="M693" i="7"/>
  <c r="Q693" i="7" s="1"/>
  <c r="L693" i="7"/>
  <c r="K693" i="7"/>
  <c r="H693" i="7"/>
  <c r="J693" i="7" s="1"/>
  <c r="C693" i="7"/>
  <c r="B693" i="7"/>
  <c r="A693" i="7"/>
  <c r="R693" i="7" s="1"/>
  <c r="M692" i="7"/>
  <c r="L692" i="7"/>
  <c r="Q692" i="7" s="1"/>
  <c r="K692" i="7"/>
  <c r="H692" i="7"/>
  <c r="C692" i="7"/>
  <c r="B692" i="7"/>
  <c r="A692" i="7"/>
  <c r="R692" i="7" s="1"/>
  <c r="M691" i="7"/>
  <c r="L691" i="7"/>
  <c r="K691" i="7"/>
  <c r="I691" i="7"/>
  <c r="H691" i="7"/>
  <c r="J691" i="7" s="1"/>
  <c r="C691" i="7"/>
  <c r="B691" i="7"/>
  <c r="A691" i="7"/>
  <c r="R691" i="7" s="1"/>
  <c r="M690" i="7"/>
  <c r="L690" i="7"/>
  <c r="K690" i="7"/>
  <c r="H690" i="7"/>
  <c r="J690" i="7" s="1"/>
  <c r="C690" i="7"/>
  <c r="G690" i="7" s="1"/>
  <c r="B690" i="7"/>
  <c r="A690" i="7"/>
  <c r="R690" i="7" s="1"/>
  <c r="M689" i="7"/>
  <c r="L689" i="7"/>
  <c r="Q689" i="7" s="1"/>
  <c r="K689" i="7"/>
  <c r="H689" i="7"/>
  <c r="I689" i="7" s="1"/>
  <c r="C689" i="7"/>
  <c r="B689" i="7"/>
  <c r="P689" i="7" s="1"/>
  <c r="A689" i="7"/>
  <c r="R689" i="7" s="1"/>
  <c r="M688" i="7"/>
  <c r="L688" i="7"/>
  <c r="Q688" i="7" s="1"/>
  <c r="K688" i="7"/>
  <c r="H688" i="7"/>
  <c r="J688" i="7" s="1"/>
  <c r="G688" i="7"/>
  <c r="F688" i="7"/>
  <c r="C688" i="7"/>
  <c r="B688" i="7"/>
  <c r="O688" i="7" s="1"/>
  <c r="A688" i="7"/>
  <c r="R688" i="7" s="1"/>
  <c r="M687" i="7"/>
  <c r="L687" i="7"/>
  <c r="K687" i="7"/>
  <c r="H687" i="7"/>
  <c r="J687" i="7" s="1"/>
  <c r="C687" i="7"/>
  <c r="B687" i="7"/>
  <c r="O687" i="7" s="1"/>
  <c r="A687" i="7"/>
  <c r="R687" i="7" s="1"/>
  <c r="P686" i="7"/>
  <c r="M686" i="7"/>
  <c r="L686" i="7"/>
  <c r="Q686" i="7" s="1"/>
  <c r="K686" i="7"/>
  <c r="H686" i="7"/>
  <c r="C686" i="7"/>
  <c r="E686" i="7" s="1"/>
  <c r="B686" i="7"/>
  <c r="A686" i="7"/>
  <c r="R686" i="7" s="1"/>
  <c r="M685" i="7"/>
  <c r="L685" i="7"/>
  <c r="Q685" i="7" s="1"/>
  <c r="K685" i="7"/>
  <c r="H685" i="7"/>
  <c r="J685" i="7" s="1"/>
  <c r="C685" i="7"/>
  <c r="F685" i="7" s="1"/>
  <c r="B685" i="7"/>
  <c r="A685" i="7"/>
  <c r="R685" i="7" s="1"/>
  <c r="M684" i="7"/>
  <c r="L684" i="7"/>
  <c r="K684" i="7"/>
  <c r="H684" i="7"/>
  <c r="C684" i="7"/>
  <c r="B684" i="7"/>
  <c r="N684" i="7" s="1"/>
  <c r="A684" i="7"/>
  <c r="R684" i="7" s="1"/>
  <c r="M683" i="7"/>
  <c r="L683" i="7"/>
  <c r="K683" i="7"/>
  <c r="H683" i="7"/>
  <c r="G683" i="7"/>
  <c r="F683" i="7"/>
  <c r="C683" i="7"/>
  <c r="D683" i="7" s="1"/>
  <c r="B683" i="7"/>
  <c r="O683" i="7" s="1"/>
  <c r="A683" i="7"/>
  <c r="R683" i="7" s="1"/>
  <c r="P682" i="7"/>
  <c r="M682" i="7"/>
  <c r="L682" i="7"/>
  <c r="K682" i="7"/>
  <c r="H682" i="7"/>
  <c r="J682" i="7" s="1"/>
  <c r="C682" i="7"/>
  <c r="B682" i="7"/>
  <c r="A682" i="7"/>
  <c r="R682" i="7" s="1"/>
  <c r="M681" i="7"/>
  <c r="L681" i="7"/>
  <c r="K681" i="7"/>
  <c r="H681" i="7"/>
  <c r="I681" i="7" s="1"/>
  <c r="C681" i="7"/>
  <c r="B681" i="7"/>
  <c r="P681" i="7" s="1"/>
  <c r="A681" i="7"/>
  <c r="R681" i="7" s="1"/>
  <c r="M680" i="7"/>
  <c r="L680" i="7"/>
  <c r="Q680" i="7" s="1"/>
  <c r="K680" i="7"/>
  <c r="H680" i="7"/>
  <c r="J680" i="7" s="1"/>
  <c r="C680" i="7"/>
  <c r="B680" i="7"/>
  <c r="O680" i="7" s="1"/>
  <c r="A680" i="7"/>
  <c r="R680" i="7" s="1"/>
  <c r="M679" i="7"/>
  <c r="L679" i="7"/>
  <c r="Q679" i="7" s="1"/>
  <c r="K679" i="7"/>
  <c r="H679" i="7"/>
  <c r="I679" i="7" s="1"/>
  <c r="C679" i="7"/>
  <c r="B679" i="7"/>
  <c r="P679" i="7" s="1"/>
  <c r="A679" i="7"/>
  <c r="R679" i="7" s="1"/>
  <c r="R678" i="7"/>
  <c r="M678" i="7"/>
  <c r="L678" i="7"/>
  <c r="K678" i="7"/>
  <c r="H678" i="7"/>
  <c r="I678" i="7" s="1"/>
  <c r="G678" i="7"/>
  <c r="C678" i="7"/>
  <c r="B678" i="7"/>
  <c r="O678" i="7" s="1"/>
  <c r="A678" i="7"/>
  <c r="P677" i="7"/>
  <c r="O677" i="7"/>
  <c r="N677" i="7"/>
  <c r="M677" i="7"/>
  <c r="L677" i="7"/>
  <c r="K677" i="7"/>
  <c r="H677" i="7"/>
  <c r="I677" i="7" s="1"/>
  <c r="C677" i="7"/>
  <c r="B677" i="7"/>
  <c r="A677" i="7"/>
  <c r="R677" i="7" s="1"/>
  <c r="M676" i="7"/>
  <c r="L676" i="7"/>
  <c r="K676" i="7"/>
  <c r="H676" i="7"/>
  <c r="F676" i="7"/>
  <c r="D676" i="7"/>
  <c r="C676" i="7"/>
  <c r="B676" i="7"/>
  <c r="A676" i="7"/>
  <c r="R676" i="7" s="1"/>
  <c r="M675" i="7"/>
  <c r="L675" i="7"/>
  <c r="K675" i="7"/>
  <c r="H675" i="7"/>
  <c r="I675" i="7" s="1"/>
  <c r="C675" i="7"/>
  <c r="F675" i="7" s="1"/>
  <c r="B675" i="7"/>
  <c r="A675" i="7"/>
  <c r="R675" i="7" s="1"/>
  <c r="Q674" i="7"/>
  <c r="M674" i="7"/>
  <c r="L674" i="7"/>
  <c r="K674" i="7"/>
  <c r="H674" i="7"/>
  <c r="E674" i="7"/>
  <c r="D674" i="7"/>
  <c r="C674" i="7"/>
  <c r="B674" i="7"/>
  <c r="O674" i="7" s="1"/>
  <c r="A674" i="7"/>
  <c r="R674" i="7" s="1"/>
  <c r="M673" i="7"/>
  <c r="L673" i="7"/>
  <c r="K673" i="7"/>
  <c r="H673" i="7"/>
  <c r="I673" i="7" s="1"/>
  <c r="F673" i="7"/>
  <c r="C673" i="7"/>
  <c r="B673" i="7"/>
  <c r="A673" i="7"/>
  <c r="R673" i="7" s="1"/>
  <c r="P672" i="7"/>
  <c r="M672" i="7"/>
  <c r="L672" i="7"/>
  <c r="Q672" i="7" s="1"/>
  <c r="K672" i="7"/>
  <c r="H672" i="7"/>
  <c r="G672" i="7"/>
  <c r="F672" i="7"/>
  <c r="E672" i="7"/>
  <c r="D672" i="7"/>
  <c r="C672" i="7"/>
  <c r="B672" i="7"/>
  <c r="O672" i="7" s="1"/>
  <c r="A672" i="7"/>
  <c r="R672" i="7" s="1"/>
  <c r="M671" i="7"/>
  <c r="L671" i="7"/>
  <c r="K671" i="7"/>
  <c r="H671" i="7"/>
  <c r="C671" i="7"/>
  <c r="B671" i="7"/>
  <c r="A671" i="7"/>
  <c r="R671" i="7" s="1"/>
  <c r="P670" i="7"/>
  <c r="M670" i="7"/>
  <c r="L670" i="7"/>
  <c r="K670" i="7"/>
  <c r="H670" i="7"/>
  <c r="C670" i="7"/>
  <c r="F670" i="7" s="1"/>
  <c r="B670" i="7"/>
  <c r="O670" i="7" s="1"/>
  <c r="A670" i="7"/>
  <c r="R670" i="7" s="1"/>
  <c r="R669" i="7"/>
  <c r="M669" i="7"/>
  <c r="L669" i="7"/>
  <c r="K669" i="7"/>
  <c r="H669" i="7"/>
  <c r="C669" i="7"/>
  <c r="B669" i="7"/>
  <c r="A669" i="7"/>
  <c r="M668" i="7"/>
  <c r="L668" i="7"/>
  <c r="K668" i="7"/>
  <c r="H668" i="7"/>
  <c r="I668" i="7" s="1"/>
  <c r="G668" i="7"/>
  <c r="F668" i="7"/>
  <c r="D668" i="7"/>
  <c r="C668" i="7"/>
  <c r="E668" i="7" s="1"/>
  <c r="B668" i="7"/>
  <c r="O668" i="7" s="1"/>
  <c r="A668" i="7"/>
  <c r="R668" i="7" s="1"/>
  <c r="M667" i="7"/>
  <c r="L667" i="7"/>
  <c r="K667" i="7"/>
  <c r="H667" i="7"/>
  <c r="I667" i="7" s="1"/>
  <c r="C667" i="7"/>
  <c r="F667" i="7" s="1"/>
  <c r="B667" i="7"/>
  <c r="O667" i="7" s="1"/>
  <c r="A667" i="7"/>
  <c r="R667" i="7" s="1"/>
  <c r="R666" i="7"/>
  <c r="M666" i="7"/>
  <c r="Q666" i="7" s="1"/>
  <c r="L666" i="7"/>
  <c r="K666" i="7"/>
  <c r="H666" i="7"/>
  <c r="I666" i="7" s="1"/>
  <c r="C666" i="7"/>
  <c r="E666" i="7" s="1"/>
  <c r="B666" i="7"/>
  <c r="N666" i="7" s="1"/>
  <c r="A666" i="7"/>
  <c r="R665" i="7"/>
  <c r="M665" i="7"/>
  <c r="L665" i="7"/>
  <c r="K665" i="7"/>
  <c r="J665" i="7"/>
  <c r="H665" i="7"/>
  <c r="I665" i="7" s="1"/>
  <c r="C665" i="7"/>
  <c r="F665" i="7" s="1"/>
  <c r="B665" i="7"/>
  <c r="P665" i="7" s="1"/>
  <c r="A665" i="7"/>
  <c r="R664" i="7"/>
  <c r="M664" i="7"/>
  <c r="L664" i="7"/>
  <c r="Q664" i="7" s="1"/>
  <c r="K664" i="7"/>
  <c r="H664" i="7"/>
  <c r="J664" i="7" s="1"/>
  <c r="C664" i="7"/>
  <c r="B664" i="7"/>
  <c r="A664" i="7"/>
  <c r="R663" i="7"/>
  <c r="M663" i="7"/>
  <c r="L663" i="7"/>
  <c r="K663" i="7"/>
  <c r="H663" i="7"/>
  <c r="C663" i="7"/>
  <c r="F663" i="7" s="1"/>
  <c r="B663" i="7"/>
  <c r="N663" i="7" s="1"/>
  <c r="A663" i="7"/>
  <c r="R662" i="7"/>
  <c r="M662" i="7"/>
  <c r="Q662" i="7" s="1"/>
  <c r="L662" i="7"/>
  <c r="K662" i="7"/>
  <c r="H662" i="7"/>
  <c r="E662" i="7"/>
  <c r="C662" i="7"/>
  <c r="B662" i="7"/>
  <c r="O662" i="7" s="1"/>
  <c r="A662" i="7"/>
  <c r="R661" i="7"/>
  <c r="M661" i="7"/>
  <c r="L661" i="7"/>
  <c r="K661" i="7"/>
  <c r="H661" i="7"/>
  <c r="C661" i="7"/>
  <c r="B661" i="7"/>
  <c r="N661" i="7" s="1"/>
  <c r="A661" i="7"/>
  <c r="M660" i="7"/>
  <c r="L660" i="7"/>
  <c r="K660" i="7"/>
  <c r="H660" i="7"/>
  <c r="C660" i="7"/>
  <c r="D660" i="7" s="1"/>
  <c r="B660" i="7"/>
  <c r="A660" i="7"/>
  <c r="R660" i="7" s="1"/>
  <c r="M659" i="7"/>
  <c r="L659" i="7"/>
  <c r="K659" i="7"/>
  <c r="J659" i="7"/>
  <c r="H659" i="7"/>
  <c r="I659" i="7" s="1"/>
  <c r="C659" i="7"/>
  <c r="D659" i="7" s="1"/>
  <c r="B659" i="7"/>
  <c r="A659" i="7"/>
  <c r="R659" i="7" s="1"/>
  <c r="M658" i="7"/>
  <c r="L658" i="7"/>
  <c r="Q658" i="7" s="1"/>
  <c r="K658" i="7"/>
  <c r="H658" i="7"/>
  <c r="J658" i="7" s="1"/>
  <c r="C658" i="7"/>
  <c r="B658" i="7"/>
  <c r="N658" i="7" s="1"/>
  <c r="A658" i="7"/>
  <c r="R658" i="7" s="1"/>
  <c r="M657" i="7"/>
  <c r="L657" i="7"/>
  <c r="Q657" i="7" s="1"/>
  <c r="K657" i="7"/>
  <c r="H657" i="7"/>
  <c r="I657" i="7" s="1"/>
  <c r="C657" i="7"/>
  <c r="D657" i="7" s="1"/>
  <c r="B657" i="7"/>
  <c r="A657" i="7"/>
  <c r="R657" i="7" s="1"/>
  <c r="M656" i="7"/>
  <c r="L656" i="7"/>
  <c r="Q656" i="7" s="1"/>
  <c r="K656" i="7"/>
  <c r="H656" i="7"/>
  <c r="F656" i="7"/>
  <c r="C656" i="7"/>
  <c r="D656" i="7" s="1"/>
  <c r="B656" i="7"/>
  <c r="O656" i="7" s="1"/>
  <c r="A656" i="7"/>
  <c r="R656" i="7" s="1"/>
  <c r="M655" i="7"/>
  <c r="L655" i="7"/>
  <c r="K655" i="7"/>
  <c r="H655" i="7"/>
  <c r="C655" i="7"/>
  <c r="B655" i="7"/>
  <c r="A655" i="7"/>
  <c r="R655" i="7" s="1"/>
  <c r="M654" i="7"/>
  <c r="L654" i="7"/>
  <c r="K654" i="7"/>
  <c r="H654" i="7"/>
  <c r="C654" i="7"/>
  <c r="B654" i="7"/>
  <c r="N654" i="7" s="1"/>
  <c r="A654" i="7"/>
  <c r="R654" i="7" s="1"/>
  <c r="P653" i="7"/>
  <c r="N653" i="7"/>
  <c r="M653" i="7"/>
  <c r="L653" i="7"/>
  <c r="K653" i="7"/>
  <c r="H653" i="7"/>
  <c r="C653" i="7"/>
  <c r="D653" i="7" s="1"/>
  <c r="B653" i="7"/>
  <c r="O653" i="7" s="1"/>
  <c r="A653" i="7"/>
  <c r="R653" i="7" s="1"/>
  <c r="M652" i="7"/>
  <c r="L652" i="7"/>
  <c r="Q652" i="7" s="1"/>
  <c r="K652" i="7"/>
  <c r="H652" i="7"/>
  <c r="J652" i="7" s="1"/>
  <c r="F652" i="7"/>
  <c r="D652" i="7"/>
  <c r="C652" i="7"/>
  <c r="B652" i="7"/>
  <c r="A652" i="7"/>
  <c r="R652" i="7" s="1"/>
  <c r="M651" i="7"/>
  <c r="L651" i="7"/>
  <c r="K651" i="7"/>
  <c r="H651" i="7"/>
  <c r="I651" i="7" s="1"/>
  <c r="C651" i="7"/>
  <c r="F651" i="7" s="1"/>
  <c r="B651" i="7"/>
  <c r="A651" i="7"/>
  <c r="R651" i="7" s="1"/>
  <c r="M650" i="7"/>
  <c r="L650" i="7"/>
  <c r="K650" i="7"/>
  <c r="H650" i="7"/>
  <c r="C650" i="7"/>
  <c r="B650" i="7"/>
  <c r="O650" i="7" s="1"/>
  <c r="A650" i="7"/>
  <c r="R650" i="7" s="1"/>
  <c r="P649" i="7"/>
  <c r="O649" i="7"/>
  <c r="M649" i="7"/>
  <c r="L649" i="7"/>
  <c r="K649" i="7"/>
  <c r="H649" i="7"/>
  <c r="C649" i="7"/>
  <c r="B649" i="7"/>
  <c r="N649" i="7" s="1"/>
  <c r="A649" i="7"/>
  <c r="R649" i="7" s="1"/>
  <c r="M648" i="7"/>
  <c r="L648" i="7"/>
  <c r="Q648" i="7" s="1"/>
  <c r="K648" i="7"/>
  <c r="H648" i="7"/>
  <c r="I648" i="7" s="1"/>
  <c r="G648" i="7"/>
  <c r="C648" i="7"/>
  <c r="F648" i="7" s="1"/>
  <c r="B648" i="7"/>
  <c r="O648" i="7" s="1"/>
  <c r="A648" i="7"/>
  <c r="R648" i="7" s="1"/>
  <c r="M647" i="7"/>
  <c r="L647" i="7"/>
  <c r="K647" i="7"/>
  <c r="H647" i="7"/>
  <c r="I647" i="7" s="1"/>
  <c r="C647" i="7"/>
  <c r="B647" i="7"/>
  <c r="A647" i="7"/>
  <c r="R647" i="7" s="1"/>
  <c r="M646" i="7"/>
  <c r="L646" i="7"/>
  <c r="Q646" i="7" s="1"/>
  <c r="K646" i="7"/>
  <c r="H646" i="7"/>
  <c r="C646" i="7"/>
  <c r="B646" i="7"/>
  <c r="A646" i="7"/>
  <c r="R646" i="7" s="1"/>
  <c r="R645" i="7"/>
  <c r="M645" i="7"/>
  <c r="L645" i="7"/>
  <c r="K645" i="7"/>
  <c r="J645" i="7"/>
  <c r="H645" i="7"/>
  <c r="I645" i="7" s="1"/>
  <c r="F645" i="7"/>
  <c r="C645" i="7"/>
  <c r="D645" i="7" s="1"/>
  <c r="B645" i="7"/>
  <c r="A645" i="7"/>
  <c r="R644" i="7"/>
  <c r="P644" i="7"/>
  <c r="M644" i="7"/>
  <c r="L644" i="7"/>
  <c r="K644" i="7"/>
  <c r="J644" i="7"/>
  <c r="H644" i="7"/>
  <c r="I644" i="7" s="1"/>
  <c r="F644" i="7"/>
  <c r="D644" i="7"/>
  <c r="C644" i="7"/>
  <c r="B644" i="7"/>
  <c r="O644" i="7" s="1"/>
  <c r="A644" i="7"/>
  <c r="R643" i="7"/>
  <c r="M643" i="7"/>
  <c r="L643" i="7"/>
  <c r="Q643" i="7" s="1"/>
  <c r="K643" i="7"/>
  <c r="H643" i="7"/>
  <c r="I643" i="7" s="1"/>
  <c r="C643" i="7"/>
  <c r="B643" i="7"/>
  <c r="O643" i="7" s="1"/>
  <c r="A643" i="7"/>
  <c r="M642" i="7"/>
  <c r="L642" i="7"/>
  <c r="K642" i="7"/>
  <c r="H642" i="7"/>
  <c r="I642" i="7" s="1"/>
  <c r="C642" i="7"/>
  <c r="G642" i="7" s="1"/>
  <c r="B642" i="7"/>
  <c r="N642" i="7" s="1"/>
  <c r="A642" i="7"/>
  <c r="R642" i="7" s="1"/>
  <c r="R641" i="7"/>
  <c r="M641" i="7"/>
  <c r="L641" i="7"/>
  <c r="Q641" i="7" s="1"/>
  <c r="K641" i="7"/>
  <c r="H641" i="7"/>
  <c r="I641" i="7" s="1"/>
  <c r="C641" i="7"/>
  <c r="F641" i="7" s="1"/>
  <c r="B641" i="7"/>
  <c r="A641" i="7"/>
  <c r="M640" i="7"/>
  <c r="L640" i="7"/>
  <c r="Q640" i="7" s="1"/>
  <c r="K640" i="7"/>
  <c r="H640" i="7"/>
  <c r="J640" i="7" s="1"/>
  <c r="C640" i="7"/>
  <c r="B640" i="7"/>
  <c r="O640" i="7" s="1"/>
  <c r="A640" i="7"/>
  <c r="R640" i="7" s="1"/>
  <c r="M639" i="7"/>
  <c r="L639" i="7"/>
  <c r="K639" i="7"/>
  <c r="H639" i="7"/>
  <c r="C639" i="7"/>
  <c r="F639" i="7" s="1"/>
  <c r="B639" i="7"/>
  <c r="A639" i="7"/>
  <c r="R639" i="7" s="1"/>
  <c r="M638" i="7"/>
  <c r="L638" i="7"/>
  <c r="K638" i="7"/>
  <c r="H638" i="7"/>
  <c r="J638" i="7" s="1"/>
  <c r="C638" i="7"/>
  <c r="B638" i="7"/>
  <c r="N638" i="7" s="1"/>
  <c r="A638" i="7"/>
  <c r="R638" i="7" s="1"/>
  <c r="M637" i="7"/>
  <c r="L637" i="7"/>
  <c r="K637" i="7"/>
  <c r="J637" i="7"/>
  <c r="H637" i="7"/>
  <c r="I637" i="7" s="1"/>
  <c r="C637" i="7"/>
  <c r="F637" i="7" s="1"/>
  <c r="B637" i="7"/>
  <c r="A637" i="7"/>
  <c r="R637" i="7" s="1"/>
  <c r="M636" i="7"/>
  <c r="L636" i="7"/>
  <c r="K636" i="7"/>
  <c r="H636" i="7"/>
  <c r="J636" i="7" s="1"/>
  <c r="C636" i="7"/>
  <c r="F636" i="7" s="1"/>
  <c r="B636" i="7"/>
  <c r="P636" i="7" s="1"/>
  <c r="A636" i="7"/>
  <c r="R636" i="7" s="1"/>
  <c r="M635" i="7"/>
  <c r="L635" i="7"/>
  <c r="K635" i="7"/>
  <c r="H635" i="7"/>
  <c r="C635" i="7"/>
  <c r="F635" i="7" s="1"/>
  <c r="B635" i="7"/>
  <c r="A635" i="7"/>
  <c r="R635" i="7" s="1"/>
  <c r="O634" i="7"/>
  <c r="M634" i="7"/>
  <c r="L634" i="7"/>
  <c r="K634" i="7"/>
  <c r="H634" i="7"/>
  <c r="C634" i="7"/>
  <c r="E634" i="7" s="1"/>
  <c r="B634" i="7"/>
  <c r="P634" i="7" s="1"/>
  <c r="A634" i="7"/>
  <c r="R634" i="7" s="1"/>
  <c r="O633" i="7"/>
  <c r="M633" i="7"/>
  <c r="L633" i="7"/>
  <c r="K633" i="7"/>
  <c r="J633" i="7"/>
  <c r="H633" i="7"/>
  <c r="I633" i="7" s="1"/>
  <c r="C633" i="7"/>
  <c r="B633" i="7"/>
  <c r="P633" i="7" s="1"/>
  <c r="A633" i="7"/>
  <c r="R633" i="7" s="1"/>
  <c r="M632" i="7"/>
  <c r="L632" i="7"/>
  <c r="K632" i="7"/>
  <c r="H632" i="7"/>
  <c r="J632" i="7" s="1"/>
  <c r="C632" i="7"/>
  <c r="E632" i="7" s="1"/>
  <c r="B632" i="7"/>
  <c r="A632" i="7"/>
  <c r="R632" i="7" s="1"/>
  <c r="M631" i="7"/>
  <c r="L631" i="7"/>
  <c r="K631" i="7"/>
  <c r="H631" i="7"/>
  <c r="C631" i="7"/>
  <c r="B631" i="7"/>
  <c r="A631" i="7"/>
  <c r="R631" i="7" s="1"/>
  <c r="O630" i="7"/>
  <c r="M630" i="7"/>
  <c r="L630" i="7"/>
  <c r="K630" i="7"/>
  <c r="J630" i="7"/>
  <c r="H630" i="7"/>
  <c r="I630" i="7" s="1"/>
  <c r="C630" i="7"/>
  <c r="B630" i="7"/>
  <c r="P630" i="7" s="1"/>
  <c r="A630" i="7"/>
  <c r="R630" i="7" s="1"/>
  <c r="P629" i="7"/>
  <c r="N629" i="7"/>
  <c r="M629" i="7"/>
  <c r="L629" i="7"/>
  <c r="K629" i="7"/>
  <c r="I629" i="7"/>
  <c r="H629" i="7"/>
  <c r="J629" i="7" s="1"/>
  <c r="E629" i="7"/>
  <c r="C629" i="7"/>
  <c r="B629" i="7"/>
  <c r="O629" i="7" s="1"/>
  <c r="A629" i="7"/>
  <c r="R629" i="7" s="1"/>
  <c r="M628" i="7"/>
  <c r="L628" i="7"/>
  <c r="K628" i="7"/>
  <c r="H628" i="7"/>
  <c r="J628" i="7" s="1"/>
  <c r="G628" i="7"/>
  <c r="F628" i="7"/>
  <c r="D628" i="7"/>
  <c r="C628" i="7"/>
  <c r="E628" i="7" s="1"/>
  <c r="B628" i="7"/>
  <c r="N628" i="7" s="1"/>
  <c r="A628" i="7"/>
  <c r="R628" i="7" s="1"/>
  <c r="R627" i="7"/>
  <c r="Q627" i="7"/>
  <c r="M627" i="7"/>
  <c r="L627" i="7"/>
  <c r="K627" i="7"/>
  <c r="H627" i="7"/>
  <c r="F627" i="7"/>
  <c r="C627" i="7"/>
  <c r="B627" i="7"/>
  <c r="O627" i="7" s="1"/>
  <c r="A627" i="7"/>
  <c r="R626" i="7"/>
  <c r="M626" i="7"/>
  <c r="L626" i="7"/>
  <c r="Q626" i="7" s="1"/>
  <c r="K626" i="7"/>
  <c r="J626" i="7"/>
  <c r="H626" i="7"/>
  <c r="I626" i="7" s="1"/>
  <c r="C626" i="7"/>
  <c r="B626" i="7"/>
  <c r="A626" i="7"/>
  <c r="M625" i="7"/>
  <c r="L625" i="7"/>
  <c r="Q625" i="7" s="1"/>
  <c r="K625" i="7"/>
  <c r="H625" i="7"/>
  <c r="J625" i="7" s="1"/>
  <c r="C625" i="7"/>
  <c r="B625" i="7"/>
  <c r="A625" i="7"/>
  <c r="R625" i="7" s="1"/>
  <c r="M624" i="7"/>
  <c r="L624" i="7"/>
  <c r="K624" i="7"/>
  <c r="H624" i="7"/>
  <c r="C624" i="7"/>
  <c r="B624" i="7"/>
  <c r="A624" i="7"/>
  <c r="R624" i="7" s="1"/>
  <c r="M623" i="7"/>
  <c r="L623" i="7"/>
  <c r="K623" i="7"/>
  <c r="H623" i="7"/>
  <c r="C623" i="7"/>
  <c r="B623" i="7"/>
  <c r="N623" i="7" s="1"/>
  <c r="A623" i="7"/>
  <c r="R623" i="7" s="1"/>
  <c r="R622" i="7"/>
  <c r="M622" i="7"/>
  <c r="L622" i="7"/>
  <c r="Q622" i="7" s="1"/>
  <c r="K622" i="7"/>
  <c r="H622" i="7"/>
  <c r="J622" i="7" s="1"/>
  <c r="D622" i="7"/>
  <c r="C622" i="7"/>
  <c r="F622" i="7" s="1"/>
  <c r="B622" i="7"/>
  <c r="A622" i="7"/>
  <c r="M621" i="7"/>
  <c r="L621" i="7"/>
  <c r="Q621" i="7" s="1"/>
  <c r="K621" i="7"/>
  <c r="H621" i="7"/>
  <c r="I621" i="7" s="1"/>
  <c r="C621" i="7"/>
  <c r="D621" i="7" s="1"/>
  <c r="B621" i="7"/>
  <c r="A621" i="7"/>
  <c r="R621" i="7" s="1"/>
  <c r="Q620" i="7"/>
  <c r="M620" i="7"/>
  <c r="L620" i="7"/>
  <c r="K620" i="7"/>
  <c r="H620" i="7"/>
  <c r="I620" i="7" s="1"/>
  <c r="C620" i="7"/>
  <c r="B620" i="7"/>
  <c r="P620" i="7" s="1"/>
  <c r="A620" i="7"/>
  <c r="R620" i="7" s="1"/>
  <c r="P619" i="7"/>
  <c r="N619" i="7"/>
  <c r="M619" i="7"/>
  <c r="L619" i="7"/>
  <c r="K619" i="7"/>
  <c r="H619" i="7"/>
  <c r="J619" i="7" s="1"/>
  <c r="C619" i="7"/>
  <c r="B619" i="7"/>
  <c r="O619" i="7" s="1"/>
  <c r="A619" i="7"/>
  <c r="R619" i="7" s="1"/>
  <c r="R618" i="7"/>
  <c r="M618" i="7"/>
  <c r="L618" i="7"/>
  <c r="Q618" i="7" s="1"/>
  <c r="K618" i="7"/>
  <c r="H618" i="7"/>
  <c r="G618" i="7"/>
  <c r="D618" i="7"/>
  <c r="C618" i="7"/>
  <c r="E618" i="7" s="1"/>
  <c r="B618" i="7"/>
  <c r="O618" i="7" s="1"/>
  <c r="A618" i="7"/>
  <c r="M617" i="7"/>
  <c r="L617" i="7"/>
  <c r="Q617" i="7" s="1"/>
  <c r="K617" i="7"/>
  <c r="H617" i="7"/>
  <c r="I617" i="7" s="1"/>
  <c r="C617" i="7"/>
  <c r="B617" i="7"/>
  <c r="O617" i="7" s="1"/>
  <c r="A617" i="7"/>
  <c r="R617" i="7" s="1"/>
  <c r="M616" i="7"/>
  <c r="L616" i="7"/>
  <c r="Q616" i="7" s="1"/>
  <c r="K616" i="7"/>
  <c r="H616" i="7"/>
  <c r="C616" i="7"/>
  <c r="B616" i="7"/>
  <c r="A616" i="7"/>
  <c r="R616" i="7" s="1"/>
  <c r="M615" i="7"/>
  <c r="L615" i="7"/>
  <c r="K615" i="7"/>
  <c r="H615" i="7"/>
  <c r="C615" i="7"/>
  <c r="B615" i="7"/>
  <c r="A615" i="7"/>
  <c r="R615" i="7" s="1"/>
  <c r="M614" i="7"/>
  <c r="L614" i="7"/>
  <c r="K614" i="7"/>
  <c r="J614" i="7"/>
  <c r="I614" i="7"/>
  <c r="H614" i="7"/>
  <c r="G614" i="7"/>
  <c r="E614" i="7"/>
  <c r="D614" i="7"/>
  <c r="C614" i="7"/>
  <c r="F614" i="7" s="1"/>
  <c r="B614" i="7"/>
  <c r="O614" i="7" s="1"/>
  <c r="A614" i="7"/>
  <c r="R614" i="7" s="1"/>
  <c r="M613" i="7"/>
  <c r="L613" i="7"/>
  <c r="K613" i="7"/>
  <c r="J613" i="7"/>
  <c r="H613" i="7"/>
  <c r="I613" i="7" s="1"/>
  <c r="C613" i="7"/>
  <c r="B613" i="7"/>
  <c r="P613" i="7" s="1"/>
  <c r="A613" i="7"/>
  <c r="R613" i="7" s="1"/>
  <c r="M612" i="7"/>
  <c r="L612" i="7"/>
  <c r="K612" i="7"/>
  <c r="H612" i="7"/>
  <c r="C612" i="7"/>
  <c r="B612" i="7"/>
  <c r="A612" i="7"/>
  <c r="R612" i="7" s="1"/>
  <c r="P611" i="7"/>
  <c r="N611" i="7"/>
  <c r="M611" i="7"/>
  <c r="L611" i="7"/>
  <c r="K611" i="7"/>
  <c r="J611" i="7"/>
  <c r="I611" i="7"/>
  <c r="H611" i="7"/>
  <c r="C611" i="7"/>
  <c r="B611" i="7"/>
  <c r="O611" i="7" s="1"/>
  <c r="A611" i="7"/>
  <c r="R611" i="7" s="1"/>
  <c r="R610" i="7"/>
  <c r="N610" i="7"/>
  <c r="M610" i="7"/>
  <c r="L610" i="7"/>
  <c r="K610" i="7"/>
  <c r="J610" i="7"/>
  <c r="I610" i="7"/>
  <c r="H610" i="7"/>
  <c r="C610" i="7"/>
  <c r="E610" i="7" s="1"/>
  <c r="B610" i="7"/>
  <c r="P610" i="7" s="1"/>
  <c r="A610" i="7"/>
  <c r="R609" i="7"/>
  <c r="P609" i="7"/>
  <c r="O609" i="7"/>
  <c r="M609" i="7"/>
  <c r="L609" i="7"/>
  <c r="K609" i="7"/>
  <c r="I609" i="7"/>
  <c r="H609" i="7"/>
  <c r="J609" i="7" s="1"/>
  <c r="C609" i="7"/>
  <c r="E609" i="7" s="1"/>
  <c r="B609" i="7"/>
  <c r="N609" i="7" s="1"/>
  <c r="A609" i="7"/>
  <c r="P608" i="7"/>
  <c r="N608" i="7"/>
  <c r="M608" i="7"/>
  <c r="L608" i="7"/>
  <c r="Q608" i="7" s="1"/>
  <c r="K608" i="7"/>
  <c r="H608" i="7"/>
  <c r="F608" i="7"/>
  <c r="D608" i="7"/>
  <c r="C608" i="7"/>
  <c r="G608" i="7" s="1"/>
  <c r="B608" i="7"/>
  <c r="O608" i="7" s="1"/>
  <c r="A608" i="7"/>
  <c r="R608" i="7" s="1"/>
  <c r="O607" i="7"/>
  <c r="M607" i="7"/>
  <c r="L607" i="7"/>
  <c r="Q607" i="7" s="1"/>
  <c r="K607" i="7"/>
  <c r="H607" i="7"/>
  <c r="I607" i="7" s="1"/>
  <c r="F607" i="7"/>
  <c r="D607" i="7"/>
  <c r="C607" i="7"/>
  <c r="G607" i="7" s="1"/>
  <c r="B607" i="7"/>
  <c r="P607" i="7" s="1"/>
  <c r="A607" i="7"/>
  <c r="R607" i="7" s="1"/>
  <c r="M606" i="7"/>
  <c r="L606" i="7"/>
  <c r="K606" i="7"/>
  <c r="H606" i="7"/>
  <c r="I606" i="7" s="1"/>
  <c r="C606" i="7"/>
  <c r="G606" i="7" s="1"/>
  <c r="B606" i="7"/>
  <c r="A606" i="7"/>
  <c r="R606" i="7" s="1"/>
  <c r="M605" i="7"/>
  <c r="L605" i="7"/>
  <c r="K605" i="7"/>
  <c r="H605" i="7"/>
  <c r="J605" i="7" s="1"/>
  <c r="C605" i="7"/>
  <c r="F605" i="7" s="1"/>
  <c r="B605" i="7"/>
  <c r="A605" i="7"/>
  <c r="R605" i="7" s="1"/>
  <c r="M604" i="7"/>
  <c r="L604" i="7"/>
  <c r="Q604" i="7" s="1"/>
  <c r="K604" i="7"/>
  <c r="H604" i="7"/>
  <c r="J604" i="7" s="1"/>
  <c r="C604" i="7"/>
  <c r="F604" i="7" s="1"/>
  <c r="B604" i="7"/>
  <c r="O604" i="7" s="1"/>
  <c r="A604" i="7"/>
  <c r="R604" i="7" s="1"/>
  <c r="M603" i="7"/>
  <c r="L603" i="7"/>
  <c r="Q603" i="7" s="1"/>
  <c r="K603" i="7"/>
  <c r="H603" i="7"/>
  <c r="I603" i="7" s="1"/>
  <c r="E603" i="7"/>
  <c r="C603" i="7"/>
  <c r="B603" i="7"/>
  <c r="A603" i="7"/>
  <c r="R603" i="7" s="1"/>
  <c r="P602" i="7"/>
  <c r="O602" i="7"/>
  <c r="M602" i="7"/>
  <c r="L602" i="7"/>
  <c r="K602" i="7"/>
  <c r="J602" i="7"/>
  <c r="H602" i="7"/>
  <c r="I602" i="7" s="1"/>
  <c r="C602" i="7"/>
  <c r="E602" i="7" s="1"/>
  <c r="B602" i="7"/>
  <c r="N602" i="7" s="1"/>
  <c r="A602" i="7"/>
  <c r="R602" i="7" s="1"/>
  <c r="M601" i="7"/>
  <c r="L601" i="7"/>
  <c r="K601" i="7"/>
  <c r="H601" i="7"/>
  <c r="J601" i="7" s="1"/>
  <c r="F601" i="7"/>
  <c r="D601" i="7"/>
  <c r="C601" i="7"/>
  <c r="B601" i="7"/>
  <c r="O601" i="7" s="1"/>
  <c r="A601" i="7"/>
  <c r="R601" i="7" s="1"/>
  <c r="M600" i="7"/>
  <c r="L600" i="7"/>
  <c r="K600" i="7"/>
  <c r="H600" i="7"/>
  <c r="G600" i="7"/>
  <c r="E600" i="7"/>
  <c r="D600" i="7"/>
  <c r="C600" i="7"/>
  <c r="F600" i="7" s="1"/>
  <c r="B600" i="7"/>
  <c r="O600" i="7" s="1"/>
  <c r="A600" i="7"/>
  <c r="R600" i="7" s="1"/>
  <c r="M599" i="7"/>
  <c r="L599" i="7"/>
  <c r="K599" i="7"/>
  <c r="H599" i="7"/>
  <c r="C599" i="7"/>
  <c r="B599" i="7"/>
  <c r="A599" i="7"/>
  <c r="R599" i="7" s="1"/>
  <c r="P598" i="7"/>
  <c r="M598" i="7"/>
  <c r="L598" i="7"/>
  <c r="K598" i="7"/>
  <c r="H598" i="7"/>
  <c r="C598" i="7"/>
  <c r="B598" i="7"/>
  <c r="O598" i="7" s="1"/>
  <c r="A598" i="7"/>
  <c r="R598" i="7" s="1"/>
  <c r="M597" i="7"/>
  <c r="L597" i="7"/>
  <c r="K597" i="7"/>
  <c r="H597" i="7"/>
  <c r="I597" i="7" s="1"/>
  <c r="C597" i="7"/>
  <c r="G597" i="7" s="1"/>
  <c r="B597" i="7"/>
  <c r="A597" i="7"/>
  <c r="R597" i="7" s="1"/>
  <c r="M596" i="7"/>
  <c r="L596" i="7"/>
  <c r="K596" i="7"/>
  <c r="H596" i="7"/>
  <c r="J596" i="7" s="1"/>
  <c r="G596" i="7"/>
  <c r="F596" i="7"/>
  <c r="E596" i="7"/>
  <c r="D596" i="7"/>
  <c r="C596" i="7"/>
  <c r="B596" i="7"/>
  <c r="O596" i="7" s="1"/>
  <c r="A596" i="7"/>
  <c r="R596" i="7" s="1"/>
  <c r="M595" i="7"/>
  <c r="L595" i="7"/>
  <c r="Q595" i="7" s="1"/>
  <c r="K595" i="7"/>
  <c r="H595" i="7"/>
  <c r="I595" i="7" s="1"/>
  <c r="C595" i="7"/>
  <c r="G595" i="7" s="1"/>
  <c r="B595" i="7"/>
  <c r="A595" i="7"/>
  <c r="R595" i="7" s="1"/>
  <c r="R594" i="7"/>
  <c r="M594" i="7"/>
  <c r="L594" i="7"/>
  <c r="K594" i="7"/>
  <c r="H594" i="7"/>
  <c r="F594" i="7"/>
  <c r="E594" i="7"/>
  <c r="D594" i="7"/>
  <c r="C594" i="7"/>
  <c r="G594" i="7" s="1"/>
  <c r="B594" i="7"/>
  <c r="O594" i="7" s="1"/>
  <c r="A594" i="7"/>
  <c r="P593" i="7"/>
  <c r="O593" i="7"/>
  <c r="M593" i="7"/>
  <c r="L593" i="7"/>
  <c r="K593" i="7"/>
  <c r="H593" i="7"/>
  <c r="I593" i="7" s="1"/>
  <c r="F593" i="7"/>
  <c r="C593" i="7"/>
  <c r="G593" i="7" s="1"/>
  <c r="B593" i="7"/>
  <c r="N593" i="7" s="1"/>
  <c r="A593" i="7"/>
  <c r="R593" i="7" s="1"/>
  <c r="M592" i="7"/>
  <c r="L592" i="7"/>
  <c r="Q592" i="7" s="1"/>
  <c r="K592" i="7"/>
  <c r="H592" i="7"/>
  <c r="C592" i="7"/>
  <c r="B592" i="7"/>
  <c r="O592" i="7" s="1"/>
  <c r="A592" i="7"/>
  <c r="R592" i="7" s="1"/>
  <c r="M591" i="7"/>
  <c r="L591" i="7"/>
  <c r="K591" i="7"/>
  <c r="H591" i="7"/>
  <c r="I591" i="7" s="1"/>
  <c r="C591" i="7"/>
  <c r="G591" i="7" s="1"/>
  <c r="B591" i="7"/>
  <c r="A591" i="7"/>
  <c r="R591" i="7" s="1"/>
  <c r="M590" i="7"/>
  <c r="L590" i="7"/>
  <c r="K590" i="7"/>
  <c r="H590" i="7"/>
  <c r="F590" i="7"/>
  <c r="E590" i="7"/>
  <c r="D590" i="7"/>
  <c r="C590" i="7"/>
  <c r="G590" i="7" s="1"/>
  <c r="B590" i="7"/>
  <c r="A590" i="7"/>
  <c r="R590" i="7" s="1"/>
  <c r="O589" i="7"/>
  <c r="M589" i="7"/>
  <c r="L589" i="7"/>
  <c r="Q589" i="7" s="1"/>
  <c r="K589" i="7"/>
  <c r="H589" i="7"/>
  <c r="I589" i="7" s="1"/>
  <c r="C589" i="7"/>
  <c r="G589" i="7" s="1"/>
  <c r="B589" i="7"/>
  <c r="A589" i="7"/>
  <c r="R589" i="7" s="1"/>
  <c r="M588" i="7"/>
  <c r="Q588" i="7" s="1"/>
  <c r="L588" i="7"/>
  <c r="K588" i="7"/>
  <c r="I588" i="7"/>
  <c r="H588" i="7"/>
  <c r="J588" i="7" s="1"/>
  <c r="C588" i="7"/>
  <c r="E588" i="7" s="1"/>
  <c r="B588" i="7"/>
  <c r="O588" i="7" s="1"/>
  <c r="A588" i="7"/>
  <c r="R588" i="7" s="1"/>
  <c r="M587" i="7"/>
  <c r="L587" i="7"/>
  <c r="K587" i="7"/>
  <c r="H587" i="7"/>
  <c r="I587" i="7" s="1"/>
  <c r="C587" i="7"/>
  <c r="G587" i="7" s="1"/>
  <c r="B587" i="7"/>
  <c r="P587" i="7" s="1"/>
  <c r="A587" i="7"/>
  <c r="R587" i="7" s="1"/>
  <c r="M586" i="7"/>
  <c r="L586" i="7"/>
  <c r="K586" i="7"/>
  <c r="J586" i="7"/>
  <c r="I586" i="7"/>
  <c r="H586" i="7"/>
  <c r="C586" i="7"/>
  <c r="F586" i="7" s="1"/>
  <c r="B586" i="7"/>
  <c r="O586" i="7" s="1"/>
  <c r="A586" i="7"/>
  <c r="R586" i="7" s="1"/>
  <c r="R585" i="7"/>
  <c r="Q585" i="7"/>
  <c r="M585" i="7"/>
  <c r="L585" i="7"/>
  <c r="K585" i="7"/>
  <c r="H585" i="7"/>
  <c r="I585" i="7" s="1"/>
  <c r="C585" i="7"/>
  <c r="G585" i="7" s="1"/>
  <c r="B585" i="7"/>
  <c r="A585" i="7"/>
  <c r="R584" i="7"/>
  <c r="P584" i="7"/>
  <c r="M584" i="7"/>
  <c r="L584" i="7"/>
  <c r="K584" i="7"/>
  <c r="H584" i="7"/>
  <c r="I584" i="7" s="1"/>
  <c r="C584" i="7"/>
  <c r="B584" i="7"/>
  <c r="O584" i="7" s="1"/>
  <c r="A584" i="7"/>
  <c r="R583" i="7"/>
  <c r="P583" i="7"/>
  <c r="O583" i="7"/>
  <c r="M583" i="7"/>
  <c r="L583" i="7"/>
  <c r="K583" i="7"/>
  <c r="H583" i="7"/>
  <c r="I583" i="7" s="1"/>
  <c r="C583" i="7"/>
  <c r="B583" i="7"/>
  <c r="N583" i="7" s="1"/>
  <c r="A583" i="7"/>
  <c r="R582" i="7"/>
  <c r="P582" i="7"/>
  <c r="M582" i="7"/>
  <c r="L582" i="7"/>
  <c r="K582" i="7"/>
  <c r="J582" i="7"/>
  <c r="H582" i="7"/>
  <c r="I582" i="7" s="1"/>
  <c r="C582" i="7"/>
  <c r="B582" i="7"/>
  <c r="O582" i="7" s="1"/>
  <c r="A582" i="7"/>
  <c r="R581" i="7"/>
  <c r="P581" i="7"/>
  <c r="O581" i="7"/>
  <c r="M581" i="7"/>
  <c r="L581" i="7"/>
  <c r="K581" i="7"/>
  <c r="H581" i="7"/>
  <c r="I581" i="7" s="1"/>
  <c r="C581" i="7"/>
  <c r="G581" i="7" s="1"/>
  <c r="B581" i="7"/>
  <c r="N581" i="7" s="1"/>
  <c r="A581" i="7"/>
  <c r="M580" i="7"/>
  <c r="L580" i="7"/>
  <c r="K580" i="7"/>
  <c r="H580" i="7"/>
  <c r="J580" i="7" s="1"/>
  <c r="C580" i="7"/>
  <c r="D580" i="7" s="1"/>
  <c r="B580" i="7"/>
  <c r="O580" i="7" s="1"/>
  <c r="A580" i="7"/>
  <c r="R580" i="7" s="1"/>
  <c r="M579" i="7"/>
  <c r="L579" i="7"/>
  <c r="K579" i="7"/>
  <c r="H579" i="7"/>
  <c r="I579" i="7" s="1"/>
  <c r="C579" i="7"/>
  <c r="G579" i="7" s="1"/>
  <c r="B579" i="7"/>
  <c r="O579" i="7" s="1"/>
  <c r="A579" i="7"/>
  <c r="R579" i="7" s="1"/>
  <c r="M578" i="7"/>
  <c r="L578" i="7"/>
  <c r="K578" i="7"/>
  <c r="I578" i="7"/>
  <c r="H578" i="7"/>
  <c r="J578" i="7" s="1"/>
  <c r="C578" i="7"/>
  <c r="B578" i="7"/>
  <c r="O578" i="7" s="1"/>
  <c r="A578" i="7"/>
  <c r="R578" i="7" s="1"/>
  <c r="M577" i="7"/>
  <c r="L577" i="7"/>
  <c r="Q577" i="7" s="1"/>
  <c r="K577" i="7"/>
  <c r="H577" i="7"/>
  <c r="I577" i="7" s="1"/>
  <c r="C577" i="7"/>
  <c r="G577" i="7" s="1"/>
  <c r="B577" i="7"/>
  <c r="A577" i="7"/>
  <c r="R577" i="7" s="1"/>
  <c r="R576" i="7"/>
  <c r="M576" i="7"/>
  <c r="L576" i="7"/>
  <c r="Q576" i="7" s="1"/>
  <c r="K576" i="7"/>
  <c r="H576" i="7"/>
  <c r="G576" i="7"/>
  <c r="F576" i="7"/>
  <c r="E576" i="7"/>
  <c r="D576" i="7"/>
  <c r="C576" i="7"/>
  <c r="B576" i="7"/>
  <c r="O576" i="7" s="1"/>
  <c r="A576" i="7"/>
  <c r="M575" i="7"/>
  <c r="L575" i="7"/>
  <c r="K575" i="7"/>
  <c r="H575" i="7"/>
  <c r="I575" i="7" s="1"/>
  <c r="F575" i="7"/>
  <c r="C575" i="7"/>
  <c r="G575" i="7" s="1"/>
  <c r="B575" i="7"/>
  <c r="A575" i="7"/>
  <c r="R575" i="7" s="1"/>
  <c r="Q574" i="7"/>
  <c r="M574" i="7"/>
  <c r="L574" i="7"/>
  <c r="K574" i="7"/>
  <c r="H574" i="7"/>
  <c r="C574" i="7"/>
  <c r="E574" i="7" s="1"/>
  <c r="B574" i="7"/>
  <c r="A574" i="7"/>
  <c r="R574" i="7" s="1"/>
  <c r="M573" i="7"/>
  <c r="L573" i="7"/>
  <c r="K573" i="7"/>
  <c r="H573" i="7"/>
  <c r="I573" i="7" s="1"/>
  <c r="C573" i="7"/>
  <c r="G573" i="7" s="1"/>
  <c r="B573" i="7"/>
  <c r="A573" i="7"/>
  <c r="R573" i="7" s="1"/>
  <c r="R572" i="7"/>
  <c r="M572" i="7"/>
  <c r="L572" i="7"/>
  <c r="K572" i="7"/>
  <c r="J572" i="7"/>
  <c r="I572" i="7"/>
  <c r="H572" i="7"/>
  <c r="C572" i="7"/>
  <c r="E572" i="7" s="1"/>
  <c r="B572" i="7"/>
  <c r="O572" i="7" s="1"/>
  <c r="A572" i="7"/>
  <c r="M571" i="7"/>
  <c r="L571" i="7"/>
  <c r="K571" i="7"/>
  <c r="H571" i="7"/>
  <c r="I571" i="7" s="1"/>
  <c r="C571" i="7"/>
  <c r="D571" i="7" s="1"/>
  <c r="B571" i="7"/>
  <c r="A571" i="7"/>
  <c r="R571" i="7" s="1"/>
  <c r="M570" i="7"/>
  <c r="L570" i="7"/>
  <c r="K570" i="7"/>
  <c r="H570" i="7"/>
  <c r="C570" i="7"/>
  <c r="B570" i="7"/>
  <c r="O570" i="7" s="1"/>
  <c r="A570" i="7"/>
  <c r="R570" i="7" s="1"/>
  <c r="R569" i="7"/>
  <c r="M569" i="7"/>
  <c r="Q569" i="7" s="1"/>
  <c r="L569" i="7"/>
  <c r="K569" i="7"/>
  <c r="H569" i="7"/>
  <c r="I569" i="7" s="1"/>
  <c r="C569" i="7"/>
  <c r="B569" i="7"/>
  <c r="O569" i="7" s="1"/>
  <c r="A569" i="7"/>
  <c r="M568" i="7"/>
  <c r="L568" i="7"/>
  <c r="Q568" i="7" s="1"/>
  <c r="K568" i="7"/>
  <c r="H568" i="7"/>
  <c r="I568" i="7" s="1"/>
  <c r="F568" i="7"/>
  <c r="E568" i="7"/>
  <c r="D568" i="7"/>
  <c r="C568" i="7"/>
  <c r="G568" i="7" s="1"/>
  <c r="B568" i="7"/>
  <c r="O568" i="7" s="1"/>
  <c r="A568" i="7"/>
  <c r="R568" i="7" s="1"/>
  <c r="M567" i="7"/>
  <c r="Q567" i="7" s="1"/>
  <c r="L567" i="7"/>
  <c r="K567" i="7"/>
  <c r="H567" i="7"/>
  <c r="I567" i="7" s="1"/>
  <c r="C567" i="7"/>
  <c r="B567" i="7"/>
  <c r="A567" i="7"/>
  <c r="R567" i="7" s="1"/>
  <c r="M566" i="7"/>
  <c r="L566" i="7"/>
  <c r="K566" i="7"/>
  <c r="J566" i="7"/>
  <c r="H566" i="7"/>
  <c r="I566" i="7" s="1"/>
  <c r="C566" i="7"/>
  <c r="F566" i="7" s="1"/>
  <c r="B566" i="7"/>
  <c r="O566" i="7" s="1"/>
  <c r="A566" i="7"/>
  <c r="R566" i="7" s="1"/>
  <c r="M565" i="7"/>
  <c r="L565" i="7"/>
  <c r="K565" i="7"/>
  <c r="H565" i="7"/>
  <c r="C565" i="7"/>
  <c r="D565" i="7" s="1"/>
  <c r="B565" i="7"/>
  <c r="A565" i="7"/>
  <c r="R565" i="7" s="1"/>
  <c r="M564" i="7"/>
  <c r="L564" i="7"/>
  <c r="Q564" i="7" s="1"/>
  <c r="K564" i="7"/>
  <c r="H564" i="7"/>
  <c r="I564" i="7" s="1"/>
  <c r="C564" i="7"/>
  <c r="B564" i="7"/>
  <c r="O564" i="7" s="1"/>
  <c r="A564" i="7"/>
  <c r="R564" i="7" s="1"/>
  <c r="R563" i="7"/>
  <c r="P563" i="7"/>
  <c r="O563" i="7"/>
  <c r="M563" i="7"/>
  <c r="L563" i="7"/>
  <c r="K563" i="7"/>
  <c r="H563" i="7"/>
  <c r="C563" i="7"/>
  <c r="B563" i="7"/>
  <c r="N563" i="7" s="1"/>
  <c r="A563" i="7"/>
  <c r="R562" i="7"/>
  <c r="P562" i="7"/>
  <c r="M562" i="7"/>
  <c r="L562" i="7"/>
  <c r="Q562" i="7" s="1"/>
  <c r="K562" i="7"/>
  <c r="J562" i="7"/>
  <c r="H562" i="7"/>
  <c r="I562" i="7" s="1"/>
  <c r="C562" i="7"/>
  <c r="B562" i="7"/>
  <c r="O562" i="7" s="1"/>
  <c r="A562" i="7"/>
  <c r="P561" i="7"/>
  <c r="O561" i="7"/>
  <c r="M561" i="7"/>
  <c r="Q561" i="7" s="1"/>
  <c r="L561" i="7"/>
  <c r="K561" i="7"/>
  <c r="H561" i="7"/>
  <c r="I561" i="7" s="1"/>
  <c r="C561" i="7"/>
  <c r="B561" i="7"/>
  <c r="N561" i="7" s="1"/>
  <c r="A561" i="7"/>
  <c r="R561" i="7" s="1"/>
  <c r="M560" i="7"/>
  <c r="L560" i="7"/>
  <c r="Q560" i="7" s="1"/>
  <c r="K560" i="7"/>
  <c r="H560" i="7"/>
  <c r="J560" i="7" s="1"/>
  <c r="E560" i="7"/>
  <c r="C560" i="7"/>
  <c r="B560" i="7"/>
  <c r="N560" i="7" s="1"/>
  <c r="A560" i="7"/>
  <c r="R560" i="7" s="1"/>
  <c r="M559" i="7"/>
  <c r="L559" i="7"/>
  <c r="K559" i="7"/>
  <c r="H559" i="7"/>
  <c r="C559" i="7"/>
  <c r="B559" i="7"/>
  <c r="A559" i="7"/>
  <c r="R559" i="7" s="1"/>
  <c r="R558" i="7"/>
  <c r="M558" i="7"/>
  <c r="L558" i="7"/>
  <c r="K558" i="7"/>
  <c r="H558" i="7"/>
  <c r="C558" i="7"/>
  <c r="G558" i="7" s="1"/>
  <c r="B558" i="7"/>
  <c r="A558" i="7"/>
  <c r="M557" i="7"/>
  <c r="L557" i="7"/>
  <c r="K557" i="7"/>
  <c r="H557" i="7"/>
  <c r="C557" i="7"/>
  <c r="D557" i="7" s="1"/>
  <c r="B557" i="7"/>
  <c r="A557" i="7"/>
  <c r="R557" i="7" s="1"/>
  <c r="Q556" i="7"/>
  <c r="M556" i="7"/>
  <c r="L556" i="7"/>
  <c r="K556" i="7"/>
  <c r="H556" i="7"/>
  <c r="C556" i="7"/>
  <c r="B556" i="7"/>
  <c r="A556" i="7"/>
  <c r="R556" i="7" s="1"/>
  <c r="Q555" i="7"/>
  <c r="M555" i="7"/>
  <c r="L555" i="7"/>
  <c r="K555" i="7"/>
  <c r="I555" i="7"/>
  <c r="H555" i="7"/>
  <c r="J555" i="7" s="1"/>
  <c r="C555" i="7"/>
  <c r="B555" i="7"/>
  <c r="A555" i="7"/>
  <c r="R555" i="7" s="1"/>
  <c r="M554" i="7"/>
  <c r="L554" i="7"/>
  <c r="K554" i="7"/>
  <c r="H554" i="7"/>
  <c r="J554" i="7" s="1"/>
  <c r="C554" i="7"/>
  <c r="B554" i="7"/>
  <c r="A554" i="7"/>
  <c r="R554" i="7" s="1"/>
  <c r="M553" i="7"/>
  <c r="L553" i="7"/>
  <c r="K553" i="7"/>
  <c r="H553" i="7"/>
  <c r="C553" i="7"/>
  <c r="B553" i="7"/>
  <c r="P553" i="7" s="1"/>
  <c r="A553" i="7"/>
  <c r="R553" i="7" s="1"/>
  <c r="R552" i="7"/>
  <c r="Q552" i="7"/>
  <c r="M552" i="7"/>
  <c r="L552" i="7"/>
  <c r="K552" i="7"/>
  <c r="J552" i="7"/>
  <c r="H552" i="7"/>
  <c r="I552" i="7" s="1"/>
  <c r="C552" i="7"/>
  <c r="D552" i="7" s="1"/>
  <c r="B552" i="7"/>
  <c r="P552" i="7" s="1"/>
  <c r="A552" i="7"/>
  <c r="P551" i="7"/>
  <c r="M551" i="7"/>
  <c r="L551" i="7"/>
  <c r="K551" i="7"/>
  <c r="J551" i="7"/>
  <c r="H551" i="7"/>
  <c r="I551" i="7" s="1"/>
  <c r="C551" i="7"/>
  <c r="B551" i="7"/>
  <c r="A551" i="7"/>
  <c r="R551" i="7" s="1"/>
  <c r="M550" i="7"/>
  <c r="L550" i="7"/>
  <c r="K550" i="7"/>
  <c r="J550" i="7"/>
  <c r="I550" i="7"/>
  <c r="H550" i="7"/>
  <c r="C550" i="7"/>
  <c r="B550" i="7"/>
  <c r="A550" i="7"/>
  <c r="R550" i="7" s="1"/>
  <c r="P549" i="7"/>
  <c r="O549" i="7"/>
  <c r="M549" i="7"/>
  <c r="L549" i="7"/>
  <c r="Q549" i="7" s="1"/>
  <c r="K549" i="7"/>
  <c r="H549" i="7"/>
  <c r="J549" i="7" s="1"/>
  <c r="C549" i="7"/>
  <c r="B549" i="7"/>
  <c r="N549" i="7" s="1"/>
  <c r="A549" i="7"/>
  <c r="R549" i="7" s="1"/>
  <c r="M548" i="7"/>
  <c r="L548" i="7"/>
  <c r="K548" i="7"/>
  <c r="H548" i="7"/>
  <c r="J548" i="7" s="1"/>
  <c r="C548" i="7"/>
  <c r="G548" i="7" s="1"/>
  <c r="B548" i="7"/>
  <c r="N548" i="7" s="1"/>
  <c r="A548" i="7"/>
  <c r="R548" i="7" s="1"/>
  <c r="M547" i="7"/>
  <c r="L547" i="7"/>
  <c r="K547" i="7"/>
  <c r="H547" i="7"/>
  <c r="F547" i="7"/>
  <c r="C547" i="7"/>
  <c r="D547" i="7" s="1"/>
  <c r="B547" i="7"/>
  <c r="A547" i="7"/>
  <c r="R547" i="7" s="1"/>
  <c r="M546" i="7"/>
  <c r="L546" i="7"/>
  <c r="Q546" i="7" s="1"/>
  <c r="K546" i="7"/>
  <c r="H546" i="7"/>
  <c r="J546" i="7" s="1"/>
  <c r="C546" i="7"/>
  <c r="B546" i="7"/>
  <c r="A546" i="7"/>
  <c r="R546" i="7" s="1"/>
  <c r="M545" i="7"/>
  <c r="L545" i="7"/>
  <c r="K545" i="7"/>
  <c r="H545" i="7"/>
  <c r="C545" i="7"/>
  <c r="D545" i="7" s="1"/>
  <c r="B545" i="7"/>
  <c r="P545" i="7" s="1"/>
  <c r="A545" i="7"/>
  <c r="R545" i="7" s="1"/>
  <c r="R544" i="7"/>
  <c r="M544" i="7"/>
  <c r="L544" i="7"/>
  <c r="Q544" i="7" s="1"/>
  <c r="K544" i="7"/>
  <c r="H544" i="7"/>
  <c r="J544" i="7" s="1"/>
  <c r="C544" i="7"/>
  <c r="B544" i="7"/>
  <c r="A544" i="7"/>
  <c r="R543" i="7"/>
  <c r="M543" i="7"/>
  <c r="L543" i="7"/>
  <c r="Q543" i="7" s="1"/>
  <c r="K543" i="7"/>
  <c r="H543" i="7"/>
  <c r="J543" i="7" s="1"/>
  <c r="C543" i="7"/>
  <c r="B543" i="7"/>
  <c r="P543" i="7" s="1"/>
  <c r="A543" i="7"/>
  <c r="M542" i="7"/>
  <c r="L542" i="7"/>
  <c r="Q542" i="7" s="1"/>
  <c r="K542" i="7"/>
  <c r="H542" i="7"/>
  <c r="J542" i="7" s="1"/>
  <c r="C542" i="7"/>
  <c r="B542" i="7"/>
  <c r="A542" i="7"/>
  <c r="R542" i="7" s="1"/>
  <c r="M541" i="7"/>
  <c r="L541" i="7"/>
  <c r="K541" i="7"/>
  <c r="H541" i="7"/>
  <c r="I541" i="7" s="1"/>
  <c r="C541" i="7"/>
  <c r="D541" i="7" s="1"/>
  <c r="B541" i="7"/>
  <c r="P541" i="7" s="1"/>
  <c r="A541" i="7"/>
  <c r="R541" i="7" s="1"/>
  <c r="M540" i="7"/>
  <c r="L540" i="7"/>
  <c r="K540" i="7"/>
  <c r="H540" i="7"/>
  <c r="J540" i="7" s="1"/>
  <c r="C540" i="7"/>
  <c r="B540" i="7"/>
  <c r="A540" i="7"/>
  <c r="R540" i="7" s="1"/>
  <c r="R539" i="7"/>
  <c r="M539" i="7"/>
  <c r="L539" i="7"/>
  <c r="Q539" i="7" s="1"/>
  <c r="K539" i="7"/>
  <c r="H539" i="7"/>
  <c r="J539" i="7" s="1"/>
  <c r="C539" i="7"/>
  <c r="B539" i="7"/>
  <c r="P539" i="7" s="1"/>
  <c r="A539" i="7"/>
  <c r="M538" i="7"/>
  <c r="L538" i="7"/>
  <c r="Q538" i="7" s="1"/>
  <c r="K538" i="7"/>
  <c r="H538" i="7"/>
  <c r="J538" i="7" s="1"/>
  <c r="C538" i="7"/>
  <c r="E538" i="7" s="1"/>
  <c r="B538" i="7"/>
  <c r="A538" i="7"/>
  <c r="R538" i="7" s="1"/>
  <c r="M537" i="7"/>
  <c r="L537" i="7"/>
  <c r="K537" i="7"/>
  <c r="H537" i="7"/>
  <c r="J537" i="7" s="1"/>
  <c r="G537" i="7"/>
  <c r="F537" i="7"/>
  <c r="D537" i="7"/>
  <c r="C537" i="7"/>
  <c r="E537" i="7" s="1"/>
  <c r="B537" i="7"/>
  <c r="P537" i="7" s="1"/>
  <c r="A537" i="7"/>
  <c r="R537" i="7" s="1"/>
  <c r="M536" i="7"/>
  <c r="L536" i="7"/>
  <c r="K536" i="7"/>
  <c r="H536" i="7"/>
  <c r="J536" i="7" s="1"/>
  <c r="C536" i="7"/>
  <c r="B536" i="7"/>
  <c r="A536" i="7"/>
  <c r="R536" i="7" s="1"/>
  <c r="R535" i="7"/>
  <c r="M535" i="7"/>
  <c r="L535" i="7"/>
  <c r="Q535" i="7" s="1"/>
  <c r="K535" i="7"/>
  <c r="H535" i="7"/>
  <c r="I535" i="7" s="1"/>
  <c r="G535" i="7"/>
  <c r="F535" i="7"/>
  <c r="E535" i="7"/>
  <c r="C535" i="7"/>
  <c r="D535" i="7" s="1"/>
  <c r="B535" i="7"/>
  <c r="P535" i="7" s="1"/>
  <c r="A535" i="7"/>
  <c r="M534" i="7"/>
  <c r="L534" i="7"/>
  <c r="K534" i="7"/>
  <c r="H534" i="7"/>
  <c r="J534" i="7" s="1"/>
  <c r="C534" i="7"/>
  <c r="B534" i="7"/>
  <c r="N534" i="7" s="1"/>
  <c r="A534" i="7"/>
  <c r="R534" i="7" s="1"/>
  <c r="M533" i="7"/>
  <c r="L533" i="7"/>
  <c r="K533" i="7"/>
  <c r="H533" i="7"/>
  <c r="C533" i="7"/>
  <c r="G533" i="7" s="1"/>
  <c r="B533" i="7"/>
  <c r="P533" i="7" s="1"/>
  <c r="A533" i="7"/>
  <c r="R533" i="7" s="1"/>
  <c r="M532" i="7"/>
  <c r="L532" i="7"/>
  <c r="K532" i="7"/>
  <c r="H532" i="7"/>
  <c r="J532" i="7" s="1"/>
  <c r="C532" i="7"/>
  <c r="B532" i="7"/>
  <c r="A532" i="7"/>
  <c r="R532" i="7" s="1"/>
  <c r="M531" i="7"/>
  <c r="L531" i="7"/>
  <c r="Q531" i="7" s="1"/>
  <c r="K531" i="7"/>
  <c r="J531" i="7"/>
  <c r="I531" i="7"/>
  <c r="H531" i="7"/>
  <c r="C531" i="7"/>
  <c r="B531" i="7"/>
  <c r="P531" i="7" s="1"/>
  <c r="A531" i="7"/>
  <c r="R531" i="7" s="1"/>
  <c r="M530" i="7"/>
  <c r="L530" i="7"/>
  <c r="K530" i="7"/>
  <c r="H530" i="7"/>
  <c r="J530" i="7" s="1"/>
  <c r="C530" i="7"/>
  <c r="B530" i="7"/>
  <c r="N530" i="7" s="1"/>
  <c r="A530" i="7"/>
  <c r="R530" i="7" s="1"/>
  <c r="M529" i="7"/>
  <c r="L529" i="7"/>
  <c r="Q529" i="7" s="1"/>
  <c r="K529" i="7"/>
  <c r="J529" i="7"/>
  <c r="I529" i="7"/>
  <c r="H529" i="7"/>
  <c r="C529" i="7"/>
  <c r="B529" i="7"/>
  <c r="P529" i="7" s="1"/>
  <c r="A529" i="7"/>
  <c r="R529" i="7" s="1"/>
  <c r="P528" i="7"/>
  <c r="O528" i="7"/>
  <c r="M528" i="7"/>
  <c r="L528" i="7"/>
  <c r="K528" i="7"/>
  <c r="H528" i="7"/>
  <c r="J528" i="7" s="1"/>
  <c r="C528" i="7"/>
  <c r="B528" i="7"/>
  <c r="N528" i="7" s="1"/>
  <c r="A528" i="7"/>
  <c r="R528" i="7" s="1"/>
  <c r="R527" i="7"/>
  <c r="M527" i="7"/>
  <c r="L527" i="7"/>
  <c r="Q527" i="7" s="1"/>
  <c r="K527" i="7"/>
  <c r="H527" i="7"/>
  <c r="I527" i="7" s="1"/>
  <c r="G527" i="7"/>
  <c r="E527" i="7"/>
  <c r="D527" i="7"/>
  <c r="C527" i="7"/>
  <c r="F527" i="7" s="1"/>
  <c r="B527" i="7"/>
  <c r="P527" i="7" s="1"/>
  <c r="A527" i="7"/>
  <c r="P526" i="7"/>
  <c r="O526" i="7"/>
  <c r="M526" i="7"/>
  <c r="L526" i="7"/>
  <c r="Q526" i="7" s="1"/>
  <c r="K526" i="7"/>
  <c r="H526" i="7"/>
  <c r="J526" i="7" s="1"/>
  <c r="G526" i="7"/>
  <c r="F526" i="7"/>
  <c r="E526" i="7"/>
  <c r="C526" i="7"/>
  <c r="D526" i="7" s="1"/>
  <c r="B526" i="7"/>
  <c r="N526" i="7" s="1"/>
  <c r="A526" i="7"/>
  <c r="R526" i="7" s="1"/>
  <c r="M525" i="7"/>
  <c r="L525" i="7"/>
  <c r="K525" i="7"/>
  <c r="H525" i="7"/>
  <c r="I525" i="7" s="1"/>
  <c r="G525" i="7"/>
  <c r="F525" i="7"/>
  <c r="E525" i="7"/>
  <c r="C525" i="7"/>
  <c r="D525" i="7" s="1"/>
  <c r="B525" i="7"/>
  <c r="P525" i="7" s="1"/>
  <c r="A525" i="7"/>
  <c r="R525" i="7" s="1"/>
  <c r="R524" i="7"/>
  <c r="P524" i="7"/>
  <c r="O524" i="7"/>
  <c r="M524" i="7"/>
  <c r="L524" i="7"/>
  <c r="K524" i="7"/>
  <c r="H524" i="7"/>
  <c r="J524" i="7" s="1"/>
  <c r="C524" i="7"/>
  <c r="B524" i="7"/>
  <c r="N524" i="7" s="1"/>
  <c r="A524" i="7"/>
  <c r="M523" i="7"/>
  <c r="L523" i="7"/>
  <c r="Q523" i="7" s="1"/>
  <c r="K523" i="7"/>
  <c r="H523" i="7"/>
  <c r="I523" i="7" s="1"/>
  <c r="G523" i="7"/>
  <c r="F523" i="7"/>
  <c r="E523" i="7"/>
  <c r="D523" i="7"/>
  <c r="C523" i="7"/>
  <c r="B523" i="7"/>
  <c r="P523" i="7" s="1"/>
  <c r="A523" i="7"/>
  <c r="R523" i="7" s="1"/>
  <c r="P522" i="7"/>
  <c r="O522" i="7"/>
  <c r="M522" i="7"/>
  <c r="L522" i="7"/>
  <c r="Q522" i="7" s="1"/>
  <c r="K522" i="7"/>
  <c r="H522" i="7"/>
  <c r="J522" i="7" s="1"/>
  <c r="G522" i="7"/>
  <c r="C522" i="7"/>
  <c r="D522" i="7" s="1"/>
  <c r="B522" i="7"/>
  <c r="N522" i="7" s="1"/>
  <c r="A522" i="7"/>
  <c r="R522" i="7" s="1"/>
  <c r="M521" i="7"/>
  <c r="L521" i="7"/>
  <c r="Q521" i="7" s="1"/>
  <c r="K521" i="7"/>
  <c r="H521" i="7"/>
  <c r="J521" i="7" s="1"/>
  <c r="C521" i="7"/>
  <c r="B521" i="7"/>
  <c r="P521" i="7" s="1"/>
  <c r="A521" i="7"/>
  <c r="R521" i="7" s="1"/>
  <c r="M520" i="7"/>
  <c r="Q520" i="7" s="1"/>
  <c r="L520" i="7"/>
  <c r="K520" i="7"/>
  <c r="H520" i="7"/>
  <c r="D520" i="7"/>
  <c r="C520" i="7"/>
  <c r="G520" i="7" s="1"/>
  <c r="B520" i="7"/>
  <c r="P520" i="7" s="1"/>
  <c r="A520" i="7"/>
  <c r="R520" i="7" s="1"/>
  <c r="M519" i="7"/>
  <c r="L519" i="7"/>
  <c r="K519" i="7"/>
  <c r="H519" i="7"/>
  <c r="J519" i="7" s="1"/>
  <c r="C519" i="7"/>
  <c r="B519" i="7"/>
  <c r="A519" i="7"/>
  <c r="R519" i="7" s="1"/>
  <c r="M518" i="7"/>
  <c r="L518" i="7"/>
  <c r="K518" i="7"/>
  <c r="J518" i="7"/>
  <c r="H518" i="7"/>
  <c r="I518" i="7" s="1"/>
  <c r="C518" i="7"/>
  <c r="E518" i="7" s="1"/>
  <c r="B518" i="7"/>
  <c r="N518" i="7" s="1"/>
  <c r="A518" i="7"/>
  <c r="R518" i="7" s="1"/>
  <c r="M517" i="7"/>
  <c r="L517" i="7"/>
  <c r="K517" i="7"/>
  <c r="H517" i="7"/>
  <c r="J517" i="7" s="1"/>
  <c r="G517" i="7"/>
  <c r="F517" i="7"/>
  <c r="C517" i="7"/>
  <c r="D517" i="7" s="1"/>
  <c r="B517" i="7"/>
  <c r="A517" i="7"/>
  <c r="R517" i="7" s="1"/>
  <c r="M516" i="7"/>
  <c r="L516" i="7"/>
  <c r="K516" i="7"/>
  <c r="H516" i="7"/>
  <c r="I516" i="7" s="1"/>
  <c r="C516" i="7"/>
  <c r="B516" i="7"/>
  <c r="P516" i="7" s="1"/>
  <c r="A516" i="7"/>
  <c r="R516" i="7" s="1"/>
  <c r="M515" i="7"/>
  <c r="L515" i="7"/>
  <c r="K515" i="7"/>
  <c r="H515" i="7"/>
  <c r="J515" i="7" s="1"/>
  <c r="C515" i="7"/>
  <c r="B515" i="7"/>
  <c r="A515" i="7"/>
  <c r="R515" i="7" s="1"/>
  <c r="R514" i="7"/>
  <c r="O514" i="7"/>
  <c r="M514" i="7"/>
  <c r="L514" i="7"/>
  <c r="K514" i="7"/>
  <c r="H514" i="7"/>
  <c r="I514" i="7" s="1"/>
  <c r="C514" i="7"/>
  <c r="B514" i="7"/>
  <c r="N514" i="7" s="1"/>
  <c r="A514" i="7"/>
  <c r="R513" i="7"/>
  <c r="P513" i="7"/>
  <c r="M513" i="7"/>
  <c r="L513" i="7"/>
  <c r="Q513" i="7" s="1"/>
  <c r="K513" i="7"/>
  <c r="H513" i="7"/>
  <c r="I513" i="7" s="1"/>
  <c r="D513" i="7"/>
  <c r="C513" i="7"/>
  <c r="B513" i="7"/>
  <c r="O513" i="7" s="1"/>
  <c r="A513" i="7"/>
  <c r="M512" i="7"/>
  <c r="L512" i="7"/>
  <c r="K512" i="7"/>
  <c r="H512" i="7"/>
  <c r="I512" i="7" s="1"/>
  <c r="C512" i="7"/>
  <c r="B512" i="7"/>
  <c r="A512" i="7"/>
  <c r="R512" i="7" s="1"/>
  <c r="M511" i="7"/>
  <c r="L511" i="7"/>
  <c r="K511" i="7"/>
  <c r="H511" i="7"/>
  <c r="J511" i="7" s="1"/>
  <c r="C511" i="7"/>
  <c r="E511" i="7" s="1"/>
  <c r="B511" i="7"/>
  <c r="O511" i="7" s="1"/>
  <c r="A511" i="7"/>
  <c r="R511" i="7" s="1"/>
  <c r="M510" i="7"/>
  <c r="L510" i="7"/>
  <c r="K510" i="7"/>
  <c r="H510" i="7"/>
  <c r="I510" i="7" s="1"/>
  <c r="C510" i="7"/>
  <c r="B510" i="7"/>
  <c r="P510" i="7" s="1"/>
  <c r="A510" i="7"/>
  <c r="R510" i="7" s="1"/>
  <c r="M509" i="7"/>
  <c r="L509" i="7"/>
  <c r="Q509" i="7" s="1"/>
  <c r="K509" i="7"/>
  <c r="H509" i="7"/>
  <c r="J509" i="7" s="1"/>
  <c r="C509" i="7"/>
  <c r="G509" i="7" s="1"/>
  <c r="B509" i="7"/>
  <c r="O509" i="7" s="1"/>
  <c r="A509" i="7"/>
  <c r="R509" i="7" s="1"/>
  <c r="M508" i="7"/>
  <c r="L508" i="7"/>
  <c r="Q508" i="7" s="1"/>
  <c r="K508" i="7"/>
  <c r="H508" i="7"/>
  <c r="I508" i="7" s="1"/>
  <c r="C508" i="7"/>
  <c r="G508" i="7" s="1"/>
  <c r="B508" i="7"/>
  <c r="P508" i="7" s="1"/>
  <c r="A508" i="7"/>
  <c r="R508" i="7" s="1"/>
  <c r="M507" i="7"/>
  <c r="L507" i="7"/>
  <c r="K507" i="7"/>
  <c r="H507" i="7"/>
  <c r="J507" i="7" s="1"/>
  <c r="C507" i="7"/>
  <c r="D507" i="7" s="1"/>
  <c r="B507" i="7"/>
  <c r="A507" i="7"/>
  <c r="R507" i="7" s="1"/>
  <c r="M506" i="7"/>
  <c r="L506" i="7"/>
  <c r="Q506" i="7" s="1"/>
  <c r="K506" i="7"/>
  <c r="H506" i="7"/>
  <c r="I506" i="7" s="1"/>
  <c r="C506" i="7"/>
  <c r="E506" i="7" s="1"/>
  <c r="B506" i="7"/>
  <c r="A506" i="7"/>
  <c r="R506" i="7" s="1"/>
  <c r="M505" i="7"/>
  <c r="L505" i="7"/>
  <c r="K505" i="7"/>
  <c r="H505" i="7"/>
  <c r="J505" i="7" s="1"/>
  <c r="C505" i="7"/>
  <c r="G505" i="7" s="1"/>
  <c r="B505" i="7"/>
  <c r="O505" i="7" s="1"/>
  <c r="A505" i="7"/>
  <c r="R505" i="7" s="1"/>
  <c r="M504" i="7"/>
  <c r="L504" i="7"/>
  <c r="K504" i="7"/>
  <c r="H504" i="7"/>
  <c r="C504" i="7"/>
  <c r="D504" i="7" s="1"/>
  <c r="B504" i="7"/>
  <c r="A504" i="7"/>
  <c r="R504" i="7" s="1"/>
  <c r="M503" i="7"/>
  <c r="L503" i="7"/>
  <c r="K503" i="7"/>
  <c r="H503" i="7"/>
  <c r="J503" i="7" s="1"/>
  <c r="C503" i="7"/>
  <c r="D503" i="7" s="1"/>
  <c r="B503" i="7"/>
  <c r="O503" i="7" s="1"/>
  <c r="A503" i="7"/>
  <c r="R503" i="7" s="1"/>
  <c r="M502" i="7"/>
  <c r="L502" i="7"/>
  <c r="K502" i="7"/>
  <c r="H502" i="7"/>
  <c r="I502" i="7" s="1"/>
  <c r="C502" i="7"/>
  <c r="E502" i="7" s="1"/>
  <c r="B502" i="7"/>
  <c r="A502" i="7"/>
  <c r="R502" i="7" s="1"/>
  <c r="M501" i="7"/>
  <c r="L501" i="7"/>
  <c r="K501" i="7"/>
  <c r="H501" i="7"/>
  <c r="I501" i="7" s="1"/>
  <c r="C501" i="7"/>
  <c r="B501" i="7"/>
  <c r="O501" i="7" s="1"/>
  <c r="A501" i="7"/>
  <c r="R501" i="7" s="1"/>
  <c r="M500" i="7"/>
  <c r="L500" i="7"/>
  <c r="K500" i="7"/>
  <c r="H500" i="7"/>
  <c r="C500" i="7"/>
  <c r="B500" i="7"/>
  <c r="N500" i="7" s="1"/>
  <c r="A500" i="7"/>
  <c r="R500" i="7" s="1"/>
  <c r="M499" i="7"/>
  <c r="L499" i="7"/>
  <c r="K499" i="7"/>
  <c r="H499" i="7"/>
  <c r="J499" i="7" s="1"/>
  <c r="G499" i="7"/>
  <c r="E499" i="7"/>
  <c r="D499" i="7"/>
  <c r="C499" i="7"/>
  <c r="F499" i="7" s="1"/>
  <c r="B499" i="7"/>
  <c r="O499" i="7" s="1"/>
  <c r="A499" i="7"/>
  <c r="R499" i="7" s="1"/>
  <c r="M498" i="7"/>
  <c r="L498" i="7"/>
  <c r="K498" i="7"/>
  <c r="H498" i="7"/>
  <c r="I498" i="7" s="1"/>
  <c r="C498" i="7"/>
  <c r="F498" i="7" s="1"/>
  <c r="B498" i="7"/>
  <c r="P498" i="7" s="1"/>
  <c r="A498" i="7"/>
  <c r="R498" i="7" s="1"/>
  <c r="M497" i="7"/>
  <c r="Q497" i="7" s="1"/>
  <c r="L497" i="7"/>
  <c r="K497" i="7"/>
  <c r="H497" i="7"/>
  <c r="J497" i="7" s="1"/>
  <c r="C497" i="7"/>
  <c r="E497" i="7" s="1"/>
  <c r="B497" i="7"/>
  <c r="A497" i="7"/>
  <c r="R497" i="7" s="1"/>
  <c r="M496" i="7"/>
  <c r="L496" i="7"/>
  <c r="K496" i="7"/>
  <c r="H496" i="7"/>
  <c r="I496" i="7" s="1"/>
  <c r="C496" i="7"/>
  <c r="B496" i="7"/>
  <c r="A496" i="7"/>
  <c r="R496" i="7" s="1"/>
  <c r="M495" i="7"/>
  <c r="L495" i="7"/>
  <c r="K495" i="7"/>
  <c r="J495" i="7"/>
  <c r="H495" i="7"/>
  <c r="I495" i="7" s="1"/>
  <c r="C495" i="7"/>
  <c r="B495" i="7"/>
  <c r="N495" i="7" s="1"/>
  <c r="A495" i="7"/>
  <c r="R495" i="7" s="1"/>
  <c r="M494" i="7"/>
  <c r="L494" i="7"/>
  <c r="K494" i="7"/>
  <c r="H494" i="7"/>
  <c r="C494" i="7"/>
  <c r="B494" i="7"/>
  <c r="A494" i="7"/>
  <c r="R494" i="7" s="1"/>
  <c r="Q493" i="7"/>
  <c r="M493" i="7"/>
  <c r="L493" i="7"/>
  <c r="K493" i="7"/>
  <c r="H493" i="7"/>
  <c r="C493" i="7"/>
  <c r="B493" i="7"/>
  <c r="A493" i="7"/>
  <c r="R493" i="7" s="1"/>
  <c r="M492" i="7"/>
  <c r="L492" i="7"/>
  <c r="Q492" i="7" s="1"/>
  <c r="K492" i="7"/>
  <c r="H492" i="7"/>
  <c r="I492" i="7" s="1"/>
  <c r="D492" i="7"/>
  <c r="C492" i="7"/>
  <c r="B492" i="7"/>
  <c r="A492" i="7"/>
  <c r="R492" i="7" s="1"/>
  <c r="M491" i="7"/>
  <c r="L491" i="7"/>
  <c r="Q491" i="7" s="1"/>
  <c r="K491" i="7"/>
  <c r="H491" i="7"/>
  <c r="I491" i="7" s="1"/>
  <c r="C491" i="7"/>
  <c r="B491" i="7"/>
  <c r="N491" i="7" s="1"/>
  <c r="A491" i="7"/>
  <c r="R491" i="7" s="1"/>
  <c r="M490" i="7"/>
  <c r="L490" i="7"/>
  <c r="K490" i="7"/>
  <c r="H490" i="7"/>
  <c r="J490" i="7" s="1"/>
  <c r="C490" i="7"/>
  <c r="G490" i="7" s="1"/>
  <c r="B490" i="7"/>
  <c r="A490" i="7"/>
  <c r="R490" i="7" s="1"/>
  <c r="R489" i="7"/>
  <c r="O489" i="7"/>
  <c r="M489" i="7"/>
  <c r="L489" i="7"/>
  <c r="K489" i="7"/>
  <c r="H489" i="7"/>
  <c r="C489" i="7"/>
  <c r="B489" i="7"/>
  <c r="P489" i="7" s="1"/>
  <c r="A489" i="7"/>
  <c r="M488" i="7"/>
  <c r="L488" i="7"/>
  <c r="K488" i="7"/>
  <c r="H488" i="7"/>
  <c r="I488" i="7" s="1"/>
  <c r="F488" i="7"/>
  <c r="E488" i="7"/>
  <c r="C488" i="7"/>
  <c r="G488" i="7" s="1"/>
  <c r="B488" i="7"/>
  <c r="O488" i="7" s="1"/>
  <c r="A488" i="7"/>
  <c r="R488" i="7" s="1"/>
  <c r="M487" i="7"/>
  <c r="L487" i="7"/>
  <c r="K487" i="7"/>
  <c r="H487" i="7"/>
  <c r="I487" i="7" s="1"/>
  <c r="C487" i="7"/>
  <c r="D487" i="7" s="1"/>
  <c r="B487" i="7"/>
  <c r="N487" i="7" s="1"/>
  <c r="A487" i="7"/>
  <c r="R487" i="7" s="1"/>
  <c r="M486" i="7"/>
  <c r="L486" i="7"/>
  <c r="K486" i="7"/>
  <c r="H486" i="7"/>
  <c r="J486" i="7" s="1"/>
  <c r="C486" i="7"/>
  <c r="G486" i="7" s="1"/>
  <c r="B486" i="7"/>
  <c r="O486" i="7" s="1"/>
  <c r="A486" i="7"/>
  <c r="R486" i="7" s="1"/>
  <c r="M485" i="7"/>
  <c r="L485" i="7"/>
  <c r="Q485" i="7" s="1"/>
  <c r="K485" i="7"/>
  <c r="J485" i="7"/>
  <c r="H485" i="7"/>
  <c r="I485" i="7" s="1"/>
  <c r="C485" i="7"/>
  <c r="B485" i="7"/>
  <c r="A485" i="7"/>
  <c r="R485" i="7" s="1"/>
  <c r="R484" i="7"/>
  <c r="M484" i="7"/>
  <c r="L484" i="7"/>
  <c r="K484" i="7"/>
  <c r="H484" i="7"/>
  <c r="C484" i="7"/>
  <c r="G484" i="7" s="1"/>
  <c r="B484" i="7"/>
  <c r="A484" i="7"/>
  <c r="M483" i="7"/>
  <c r="L483" i="7"/>
  <c r="K483" i="7"/>
  <c r="H483" i="7"/>
  <c r="C483" i="7"/>
  <c r="G483" i="7" s="1"/>
  <c r="B483" i="7"/>
  <c r="N483" i="7" s="1"/>
  <c r="A483" i="7"/>
  <c r="R483" i="7" s="1"/>
  <c r="M482" i="7"/>
  <c r="L482" i="7"/>
  <c r="K482" i="7"/>
  <c r="H482" i="7"/>
  <c r="I482" i="7" s="1"/>
  <c r="D482" i="7"/>
  <c r="C482" i="7"/>
  <c r="E482" i="7" s="1"/>
  <c r="B482" i="7"/>
  <c r="A482" i="7"/>
  <c r="R482" i="7" s="1"/>
  <c r="M481" i="7"/>
  <c r="L481" i="7"/>
  <c r="Q481" i="7" s="1"/>
  <c r="K481" i="7"/>
  <c r="H481" i="7"/>
  <c r="I481" i="7" s="1"/>
  <c r="E481" i="7"/>
  <c r="C481" i="7"/>
  <c r="G481" i="7" s="1"/>
  <c r="B481" i="7"/>
  <c r="P481" i="7" s="1"/>
  <c r="A481" i="7"/>
  <c r="R481" i="7" s="1"/>
  <c r="R480" i="7"/>
  <c r="M480" i="7"/>
  <c r="L480" i="7"/>
  <c r="Q480" i="7" s="1"/>
  <c r="K480" i="7"/>
  <c r="H480" i="7"/>
  <c r="F480" i="7"/>
  <c r="E480" i="7"/>
  <c r="D480" i="7"/>
  <c r="C480" i="7"/>
  <c r="G480" i="7" s="1"/>
  <c r="B480" i="7"/>
  <c r="O480" i="7" s="1"/>
  <c r="A480" i="7"/>
  <c r="O479" i="7"/>
  <c r="N479" i="7"/>
  <c r="M479" i="7"/>
  <c r="L479" i="7"/>
  <c r="K479" i="7"/>
  <c r="H479" i="7"/>
  <c r="I479" i="7" s="1"/>
  <c r="F479" i="7"/>
  <c r="D479" i="7"/>
  <c r="C479" i="7"/>
  <c r="G479" i="7" s="1"/>
  <c r="B479" i="7"/>
  <c r="P479" i="7" s="1"/>
  <c r="A479" i="7"/>
  <c r="R479" i="7" s="1"/>
  <c r="R478" i="7"/>
  <c r="P478" i="7"/>
  <c r="M478" i="7"/>
  <c r="L478" i="7"/>
  <c r="K478" i="7"/>
  <c r="H478" i="7"/>
  <c r="J478" i="7" s="1"/>
  <c r="F478" i="7"/>
  <c r="E478" i="7"/>
  <c r="D478" i="7"/>
  <c r="C478" i="7"/>
  <c r="G478" i="7" s="1"/>
  <c r="B478" i="7"/>
  <c r="O478" i="7" s="1"/>
  <c r="A478" i="7"/>
  <c r="R477" i="7"/>
  <c r="O477" i="7"/>
  <c r="M477" i="7"/>
  <c r="L477" i="7"/>
  <c r="Q477" i="7" s="1"/>
  <c r="K477" i="7"/>
  <c r="H477" i="7"/>
  <c r="I477" i="7" s="1"/>
  <c r="C477" i="7"/>
  <c r="G477" i="7" s="1"/>
  <c r="B477" i="7"/>
  <c r="P477" i="7" s="1"/>
  <c r="A477" i="7"/>
  <c r="M476" i="7"/>
  <c r="L476" i="7"/>
  <c r="Q476" i="7" s="1"/>
  <c r="K476" i="7"/>
  <c r="H476" i="7"/>
  <c r="J476" i="7" s="1"/>
  <c r="C476" i="7"/>
  <c r="G476" i="7" s="1"/>
  <c r="B476" i="7"/>
  <c r="O476" i="7" s="1"/>
  <c r="A476" i="7"/>
  <c r="R476" i="7" s="1"/>
  <c r="M475" i="7"/>
  <c r="L475" i="7"/>
  <c r="K475" i="7"/>
  <c r="H475" i="7"/>
  <c r="I475" i="7" s="1"/>
  <c r="F475" i="7"/>
  <c r="E475" i="7"/>
  <c r="C475" i="7"/>
  <c r="G475" i="7" s="1"/>
  <c r="B475" i="7"/>
  <c r="P475" i="7" s="1"/>
  <c r="A475" i="7"/>
  <c r="R475" i="7" s="1"/>
  <c r="M474" i="7"/>
  <c r="L474" i="7"/>
  <c r="Q474" i="7" s="1"/>
  <c r="K474" i="7"/>
  <c r="H474" i="7"/>
  <c r="I474" i="7" s="1"/>
  <c r="C474" i="7"/>
  <c r="B474" i="7"/>
  <c r="A474" i="7"/>
  <c r="R474" i="7" s="1"/>
  <c r="Q473" i="7"/>
  <c r="M473" i="7"/>
  <c r="L473" i="7"/>
  <c r="K473" i="7"/>
  <c r="H473" i="7"/>
  <c r="I473" i="7" s="1"/>
  <c r="C473" i="7"/>
  <c r="B473" i="7"/>
  <c r="A473" i="7"/>
  <c r="R473" i="7" s="1"/>
  <c r="M472" i="7"/>
  <c r="L472" i="7"/>
  <c r="K472" i="7"/>
  <c r="H472" i="7"/>
  <c r="C472" i="7"/>
  <c r="B472" i="7"/>
  <c r="O472" i="7" s="1"/>
  <c r="A472" i="7"/>
  <c r="R472" i="7" s="1"/>
  <c r="M471" i="7"/>
  <c r="L471" i="7"/>
  <c r="K471" i="7"/>
  <c r="H471" i="7"/>
  <c r="I471" i="7" s="1"/>
  <c r="C471" i="7"/>
  <c r="G471" i="7" s="1"/>
  <c r="B471" i="7"/>
  <c r="A471" i="7"/>
  <c r="R471" i="7" s="1"/>
  <c r="M470" i="7"/>
  <c r="L470" i="7"/>
  <c r="K470" i="7"/>
  <c r="H470" i="7"/>
  <c r="J470" i="7" s="1"/>
  <c r="C470" i="7"/>
  <c r="G470" i="7" s="1"/>
  <c r="B470" i="7"/>
  <c r="A470" i="7"/>
  <c r="R470" i="7" s="1"/>
  <c r="M469" i="7"/>
  <c r="L469" i="7"/>
  <c r="K469" i="7"/>
  <c r="H469" i="7"/>
  <c r="C469" i="7"/>
  <c r="G469" i="7" s="1"/>
  <c r="B469" i="7"/>
  <c r="O469" i="7" s="1"/>
  <c r="A469" i="7"/>
  <c r="R469" i="7" s="1"/>
  <c r="P468" i="7"/>
  <c r="M468" i="7"/>
  <c r="L468" i="7"/>
  <c r="Q468" i="7" s="1"/>
  <c r="K468" i="7"/>
  <c r="H468" i="7"/>
  <c r="J468" i="7" s="1"/>
  <c r="C468" i="7"/>
  <c r="B468" i="7"/>
  <c r="O468" i="7" s="1"/>
  <c r="A468" i="7"/>
  <c r="R468" i="7" s="1"/>
  <c r="M467" i="7"/>
  <c r="L467" i="7"/>
  <c r="K467" i="7"/>
  <c r="H467" i="7"/>
  <c r="C467" i="7"/>
  <c r="G467" i="7" s="1"/>
  <c r="B467" i="7"/>
  <c r="P467" i="7" s="1"/>
  <c r="A467" i="7"/>
  <c r="R467" i="7" s="1"/>
  <c r="M466" i="7"/>
  <c r="L466" i="7"/>
  <c r="K466" i="7"/>
  <c r="J466" i="7"/>
  <c r="H466" i="7"/>
  <c r="I466" i="7" s="1"/>
  <c r="C466" i="7"/>
  <c r="E466" i="7" s="1"/>
  <c r="B466" i="7"/>
  <c r="A466" i="7"/>
  <c r="R466" i="7" s="1"/>
  <c r="M465" i="7"/>
  <c r="L465" i="7"/>
  <c r="K465" i="7"/>
  <c r="H465" i="7"/>
  <c r="C465" i="7"/>
  <c r="B465" i="7"/>
  <c r="A465" i="7"/>
  <c r="R465" i="7" s="1"/>
  <c r="M464" i="7"/>
  <c r="L464" i="7"/>
  <c r="Q464" i="7" s="1"/>
  <c r="K464" i="7"/>
  <c r="H464" i="7"/>
  <c r="C464" i="7"/>
  <c r="G464" i="7" s="1"/>
  <c r="B464" i="7"/>
  <c r="A464" i="7"/>
  <c r="R464" i="7" s="1"/>
  <c r="R463" i="7"/>
  <c r="N463" i="7"/>
  <c r="M463" i="7"/>
  <c r="L463" i="7"/>
  <c r="K463" i="7"/>
  <c r="H463" i="7"/>
  <c r="C463" i="7"/>
  <c r="G463" i="7" s="1"/>
  <c r="B463" i="7"/>
  <c r="P463" i="7" s="1"/>
  <c r="A463" i="7"/>
  <c r="P462" i="7"/>
  <c r="M462" i="7"/>
  <c r="L462" i="7"/>
  <c r="Q462" i="7" s="1"/>
  <c r="K462" i="7"/>
  <c r="H462" i="7"/>
  <c r="F462" i="7"/>
  <c r="E462" i="7"/>
  <c r="C462" i="7"/>
  <c r="G462" i="7" s="1"/>
  <c r="B462" i="7"/>
  <c r="O462" i="7" s="1"/>
  <c r="A462" i="7"/>
  <c r="R462" i="7" s="1"/>
  <c r="R461" i="7"/>
  <c r="O461" i="7"/>
  <c r="N461" i="7"/>
  <c r="M461" i="7"/>
  <c r="L461" i="7"/>
  <c r="Q461" i="7" s="1"/>
  <c r="K461" i="7"/>
  <c r="H461" i="7"/>
  <c r="I461" i="7" s="1"/>
  <c r="C461" i="7"/>
  <c r="G461" i="7" s="1"/>
  <c r="B461" i="7"/>
  <c r="P461" i="7" s="1"/>
  <c r="A461" i="7"/>
  <c r="M460" i="7"/>
  <c r="L460" i="7"/>
  <c r="Q460" i="7" s="1"/>
  <c r="K460" i="7"/>
  <c r="H460" i="7"/>
  <c r="C460" i="7"/>
  <c r="G460" i="7" s="1"/>
  <c r="B460" i="7"/>
  <c r="A460" i="7"/>
  <c r="R460" i="7" s="1"/>
  <c r="M459" i="7"/>
  <c r="L459" i="7"/>
  <c r="K459" i="7"/>
  <c r="H459" i="7"/>
  <c r="I459" i="7" s="1"/>
  <c r="C459" i="7"/>
  <c r="G459" i="7" s="1"/>
  <c r="B459" i="7"/>
  <c r="N459" i="7" s="1"/>
  <c r="A459" i="7"/>
  <c r="R459" i="7" s="1"/>
  <c r="M458" i="7"/>
  <c r="L458" i="7"/>
  <c r="Q458" i="7" s="1"/>
  <c r="K458" i="7"/>
  <c r="H458" i="7"/>
  <c r="I458" i="7" s="1"/>
  <c r="C458" i="7"/>
  <c r="B458" i="7"/>
  <c r="A458" i="7"/>
  <c r="R458" i="7" s="1"/>
  <c r="R457" i="7"/>
  <c r="M457" i="7"/>
  <c r="L457" i="7"/>
  <c r="K457" i="7"/>
  <c r="H457" i="7"/>
  <c r="I457" i="7" s="1"/>
  <c r="C457" i="7"/>
  <c r="G457" i="7" s="1"/>
  <c r="B457" i="7"/>
  <c r="P457" i="7" s="1"/>
  <c r="A457" i="7"/>
  <c r="M456" i="7"/>
  <c r="L456" i="7"/>
  <c r="Q456" i="7" s="1"/>
  <c r="K456" i="7"/>
  <c r="H456" i="7"/>
  <c r="J456" i="7" s="1"/>
  <c r="C456" i="7"/>
  <c r="B456" i="7"/>
  <c r="A456" i="7"/>
  <c r="R456" i="7" s="1"/>
  <c r="M455" i="7"/>
  <c r="L455" i="7"/>
  <c r="Q455" i="7" s="1"/>
  <c r="K455" i="7"/>
  <c r="H455" i="7"/>
  <c r="I455" i="7" s="1"/>
  <c r="F455" i="7"/>
  <c r="C455" i="7"/>
  <c r="G455" i="7" s="1"/>
  <c r="B455" i="7"/>
  <c r="A455" i="7"/>
  <c r="R455" i="7" s="1"/>
  <c r="M454" i="7"/>
  <c r="L454" i="7"/>
  <c r="K454" i="7"/>
  <c r="H454" i="7"/>
  <c r="J454" i="7" s="1"/>
  <c r="C454" i="7"/>
  <c r="D454" i="7" s="1"/>
  <c r="B454" i="7"/>
  <c r="O454" i="7" s="1"/>
  <c r="A454" i="7"/>
  <c r="R454" i="7" s="1"/>
  <c r="R453" i="7"/>
  <c r="O453" i="7"/>
  <c r="M453" i="7"/>
  <c r="L453" i="7"/>
  <c r="Q453" i="7" s="1"/>
  <c r="K453" i="7"/>
  <c r="H453" i="7"/>
  <c r="C453" i="7"/>
  <c r="G453" i="7" s="1"/>
  <c r="B453" i="7"/>
  <c r="P453" i="7" s="1"/>
  <c r="A453" i="7"/>
  <c r="R452" i="7"/>
  <c r="Q452" i="7"/>
  <c r="P452" i="7"/>
  <c r="M452" i="7"/>
  <c r="L452" i="7"/>
  <c r="K452" i="7"/>
  <c r="H452" i="7"/>
  <c r="J452" i="7" s="1"/>
  <c r="F452" i="7"/>
  <c r="D452" i="7"/>
  <c r="C452" i="7"/>
  <c r="G452" i="7" s="1"/>
  <c r="B452" i="7"/>
  <c r="O452" i="7" s="1"/>
  <c r="A452" i="7"/>
  <c r="R451" i="7"/>
  <c r="M451" i="7"/>
  <c r="L451" i="7"/>
  <c r="K451" i="7"/>
  <c r="H451" i="7"/>
  <c r="C451" i="7"/>
  <c r="E451" i="7" s="1"/>
  <c r="B451" i="7"/>
  <c r="P451" i="7" s="1"/>
  <c r="A451" i="7"/>
  <c r="M450" i="7"/>
  <c r="L450" i="7"/>
  <c r="K450" i="7"/>
  <c r="H450" i="7"/>
  <c r="J450" i="7" s="1"/>
  <c r="C450" i="7"/>
  <c r="E450" i="7" s="1"/>
  <c r="B450" i="7"/>
  <c r="A450" i="7"/>
  <c r="R450" i="7" s="1"/>
  <c r="M449" i="7"/>
  <c r="Q449" i="7" s="1"/>
  <c r="L449" i="7"/>
  <c r="K449" i="7"/>
  <c r="H449" i="7"/>
  <c r="C449" i="7"/>
  <c r="D449" i="7" s="1"/>
  <c r="B449" i="7"/>
  <c r="P449" i="7" s="1"/>
  <c r="A449" i="7"/>
  <c r="R449" i="7" s="1"/>
  <c r="R448" i="7"/>
  <c r="M448" i="7"/>
  <c r="L448" i="7"/>
  <c r="K448" i="7"/>
  <c r="H448" i="7"/>
  <c r="J448" i="7" s="1"/>
  <c r="C448" i="7"/>
  <c r="B448" i="7"/>
  <c r="N448" i="7" s="1"/>
  <c r="A448" i="7"/>
  <c r="M447" i="7"/>
  <c r="L447" i="7"/>
  <c r="Q447" i="7" s="1"/>
  <c r="K447" i="7"/>
  <c r="H447" i="7"/>
  <c r="I447" i="7" s="1"/>
  <c r="D447" i="7"/>
  <c r="C447" i="7"/>
  <c r="G447" i="7" s="1"/>
  <c r="B447" i="7"/>
  <c r="O447" i="7" s="1"/>
  <c r="A447" i="7"/>
  <c r="R447" i="7" s="1"/>
  <c r="M446" i="7"/>
  <c r="L446" i="7"/>
  <c r="K446" i="7"/>
  <c r="H446" i="7"/>
  <c r="J446" i="7" s="1"/>
  <c r="C446" i="7"/>
  <c r="B446" i="7"/>
  <c r="A446" i="7"/>
  <c r="R446" i="7" s="1"/>
  <c r="M445" i="7"/>
  <c r="L445" i="7"/>
  <c r="K445" i="7"/>
  <c r="H445" i="7"/>
  <c r="C445" i="7"/>
  <c r="D445" i="7" s="1"/>
  <c r="B445" i="7"/>
  <c r="A445" i="7"/>
  <c r="R445" i="7" s="1"/>
  <c r="R444" i="7"/>
  <c r="O444" i="7"/>
  <c r="M444" i="7"/>
  <c r="L444" i="7"/>
  <c r="K444" i="7"/>
  <c r="I444" i="7"/>
  <c r="H444" i="7"/>
  <c r="J444" i="7" s="1"/>
  <c r="C444" i="7"/>
  <c r="B444" i="7"/>
  <c r="N444" i="7" s="1"/>
  <c r="A444" i="7"/>
  <c r="P443" i="7"/>
  <c r="M443" i="7"/>
  <c r="L443" i="7"/>
  <c r="Q443" i="7" s="1"/>
  <c r="K443" i="7"/>
  <c r="J443" i="7"/>
  <c r="H443" i="7"/>
  <c r="I443" i="7" s="1"/>
  <c r="C443" i="7"/>
  <c r="B443" i="7"/>
  <c r="A443" i="7"/>
  <c r="R443" i="7" s="1"/>
  <c r="M442" i="7"/>
  <c r="L442" i="7"/>
  <c r="K442" i="7"/>
  <c r="H442" i="7"/>
  <c r="F442" i="7"/>
  <c r="E442" i="7"/>
  <c r="D442" i="7"/>
  <c r="C442" i="7"/>
  <c r="G442" i="7" s="1"/>
  <c r="B442" i="7"/>
  <c r="A442" i="7"/>
  <c r="R442" i="7" s="1"/>
  <c r="R441" i="7"/>
  <c r="M441" i="7"/>
  <c r="L441" i="7"/>
  <c r="K441" i="7"/>
  <c r="H441" i="7"/>
  <c r="J441" i="7" s="1"/>
  <c r="F441" i="7"/>
  <c r="E441" i="7"/>
  <c r="C441" i="7"/>
  <c r="G441" i="7" s="1"/>
  <c r="B441" i="7"/>
  <c r="P441" i="7" s="1"/>
  <c r="A441" i="7"/>
  <c r="P440" i="7"/>
  <c r="O440" i="7"/>
  <c r="M440" i="7"/>
  <c r="L440" i="7"/>
  <c r="K440" i="7"/>
  <c r="H440" i="7"/>
  <c r="I440" i="7" s="1"/>
  <c r="F440" i="7"/>
  <c r="C440" i="7"/>
  <c r="B440" i="7"/>
  <c r="N440" i="7" s="1"/>
  <c r="A440" i="7"/>
  <c r="R440" i="7" s="1"/>
  <c r="R439" i="7"/>
  <c r="P439" i="7"/>
  <c r="M439" i="7"/>
  <c r="L439" i="7"/>
  <c r="K439" i="7"/>
  <c r="H439" i="7"/>
  <c r="I439" i="7" s="1"/>
  <c r="C439" i="7"/>
  <c r="G439" i="7" s="1"/>
  <c r="B439" i="7"/>
  <c r="O439" i="7" s="1"/>
  <c r="A439" i="7"/>
  <c r="O438" i="7"/>
  <c r="M438" i="7"/>
  <c r="L438" i="7"/>
  <c r="Q438" i="7" s="1"/>
  <c r="K438" i="7"/>
  <c r="H438" i="7"/>
  <c r="J438" i="7" s="1"/>
  <c r="C438" i="7"/>
  <c r="B438" i="7"/>
  <c r="A438" i="7"/>
  <c r="R438" i="7" s="1"/>
  <c r="M437" i="7"/>
  <c r="L437" i="7"/>
  <c r="Q437" i="7" s="1"/>
  <c r="K437" i="7"/>
  <c r="H437" i="7"/>
  <c r="J437" i="7" s="1"/>
  <c r="F437" i="7"/>
  <c r="D437" i="7"/>
  <c r="C437" i="7"/>
  <c r="G437" i="7" s="1"/>
  <c r="B437" i="7"/>
  <c r="A437" i="7"/>
  <c r="R437" i="7" s="1"/>
  <c r="M436" i="7"/>
  <c r="L436" i="7"/>
  <c r="K436" i="7"/>
  <c r="H436" i="7"/>
  <c r="J436" i="7" s="1"/>
  <c r="C436" i="7"/>
  <c r="B436" i="7"/>
  <c r="A436" i="7"/>
  <c r="R436" i="7" s="1"/>
  <c r="R435" i="7"/>
  <c r="M435" i="7"/>
  <c r="L435" i="7"/>
  <c r="K435" i="7"/>
  <c r="H435" i="7"/>
  <c r="J435" i="7" s="1"/>
  <c r="C435" i="7"/>
  <c r="B435" i="7"/>
  <c r="P435" i="7" s="1"/>
  <c r="A435" i="7"/>
  <c r="R434" i="7"/>
  <c r="M434" i="7"/>
  <c r="L434" i="7"/>
  <c r="K434" i="7"/>
  <c r="H434" i="7"/>
  <c r="C434" i="7"/>
  <c r="G434" i="7" s="1"/>
  <c r="B434" i="7"/>
  <c r="A434" i="7"/>
  <c r="M433" i="7"/>
  <c r="L433" i="7"/>
  <c r="K433" i="7"/>
  <c r="H433" i="7"/>
  <c r="I433" i="7" s="1"/>
  <c r="F433" i="7"/>
  <c r="E433" i="7"/>
  <c r="D433" i="7"/>
  <c r="C433" i="7"/>
  <c r="G433" i="7" s="1"/>
  <c r="B433" i="7"/>
  <c r="P433" i="7" s="1"/>
  <c r="A433" i="7"/>
  <c r="R433" i="7" s="1"/>
  <c r="R432" i="7"/>
  <c r="M432" i="7"/>
  <c r="L432" i="7"/>
  <c r="K432" i="7"/>
  <c r="H432" i="7"/>
  <c r="J432" i="7" s="1"/>
  <c r="F432" i="7"/>
  <c r="D432" i="7"/>
  <c r="C432" i="7"/>
  <c r="G432" i="7" s="1"/>
  <c r="B432" i="7"/>
  <c r="A432" i="7"/>
  <c r="P431" i="7"/>
  <c r="M431" i="7"/>
  <c r="L431" i="7"/>
  <c r="Q431" i="7" s="1"/>
  <c r="K431" i="7"/>
  <c r="H431" i="7"/>
  <c r="I431" i="7" s="1"/>
  <c r="C431" i="7"/>
  <c r="B431" i="7"/>
  <c r="O431" i="7" s="1"/>
  <c r="A431" i="7"/>
  <c r="R431" i="7" s="1"/>
  <c r="M430" i="7"/>
  <c r="L430" i="7"/>
  <c r="Q430" i="7" s="1"/>
  <c r="K430" i="7"/>
  <c r="H430" i="7"/>
  <c r="C430" i="7"/>
  <c r="G430" i="7" s="1"/>
  <c r="B430" i="7"/>
  <c r="A430" i="7"/>
  <c r="R430" i="7" s="1"/>
  <c r="N429" i="7"/>
  <c r="M429" i="7"/>
  <c r="L429" i="7"/>
  <c r="K429" i="7"/>
  <c r="H429" i="7"/>
  <c r="I429" i="7" s="1"/>
  <c r="F429" i="7"/>
  <c r="C429" i="7"/>
  <c r="G429" i="7" s="1"/>
  <c r="B429" i="7"/>
  <c r="P429" i="7" s="1"/>
  <c r="A429" i="7"/>
  <c r="R429" i="7" s="1"/>
  <c r="M428" i="7"/>
  <c r="L428" i="7"/>
  <c r="Q428" i="7" s="1"/>
  <c r="K428" i="7"/>
  <c r="I428" i="7"/>
  <c r="H428" i="7"/>
  <c r="J428" i="7" s="1"/>
  <c r="C428" i="7"/>
  <c r="B428" i="7"/>
  <c r="A428" i="7"/>
  <c r="R428" i="7" s="1"/>
  <c r="M427" i="7"/>
  <c r="L427" i="7"/>
  <c r="Q427" i="7" s="1"/>
  <c r="K427" i="7"/>
  <c r="J427" i="7"/>
  <c r="I427" i="7"/>
  <c r="H427" i="7"/>
  <c r="C427" i="7"/>
  <c r="B427" i="7"/>
  <c r="A427" i="7"/>
  <c r="R427" i="7" s="1"/>
  <c r="P426" i="7"/>
  <c r="O426" i="7"/>
  <c r="M426" i="7"/>
  <c r="L426" i="7"/>
  <c r="K426" i="7"/>
  <c r="H426" i="7"/>
  <c r="C426" i="7"/>
  <c r="G426" i="7" s="1"/>
  <c r="B426" i="7"/>
  <c r="N426" i="7" s="1"/>
  <c r="A426" i="7"/>
  <c r="R426" i="7" s="1"/>
  <c r="M425" i="7"/>
  <c r="L425" i="7"/>
  <c r="Q425" i="7" s="1"/>
  <c r="K425" i="7"/>
  <c r="H425" i="7"/>
  <c r="I425" i="7" s="1"/>
  <c r="C425" i="7"/>
  <c r="B425" i="7"/>
  <c r="A425" i="7"/>
  <c r="R425" i="7" s="1"/>
  <c r="M424" i="7"/>
  <c r="L424" i="7"/>
  <c r="K424" i="7"/>
  <c r="H424" i="7"/>
  <c r="J424" i="7" s="1"/>
  <c r="C424" i="7"/>
  <c r="G424" i="7" s="1"/>
  <c r="B424" i="7"/>
  <c r="A424" i="7"/>
  <c r="R424" i="7" s="1"/>
  <c r="Q423" i="7"/>
  <c r="M423" i="7"/>
  <c r="L423" i="7"/>
  <c r="K423" i="7"/>
  <c r="H423" i="7"/>
  <c r="I423" i="7" s="1"/>
  <c r="C423" i="7"/>
  <c r="B423" i="7"/>
  <c r="A423" i="7"/>
  <c r="R423" i="7" s="1"/>
  <c r="Q422" i="7"/>
  <c r="M422" i="7"/>
  <c r="L422" i="7"/>
  <c r="K422" i="7"/>
  <c r="H422" i="7"/>
  <c r="J422" i="7" s="1"/>
  <c r="C422" i="7"/>
  <c r="B422" i="7"/>
  <c r="A422" i="7"/>
  <c r="R422" i="7" s="1"/>
  <c r="R421" i="7"/>
  <c r="Q421" i="7"/>
  <c r="M421" i="7"/>
  <c r="L421" i="7"/>
  <c r="K421" i="7"/>
  <c r="H421" i="7"/>
  <c r="C421" i="7"/>
  <c r="B421" i="7"/>
  <c r="P421" i="7" s="1"/>
  <c r="A421" i="7"/>
  <c r="Q420" i="7"/>
  <c r="P420" i="7"/>
  <c r="O420" i="7"/>
  <c r="M420" i="7"/>
  <c r="L420" i="7"/>
  <c r="K420" i="7"/>
  <c r="H420" i="7"/>
  <c r="J420" i="7" s="1"/>
  <c r="C420" i="7"/>
  <c r="G420" i="7" s="1"/>
  <c r="B420" i="7"/>
  <c r="N420" i="7" s="1"/>
  <c r="A420" i="7"/>
  <c r="R420" i="7" s="1"/>
  <c r="R419" i="7"/>
  <c r="M419" i="7"/>
  <c r="L419" i="7"/>
  <c r="Q419" i="7" s="1"/>
  <c r="K419" i="7"/>
  <c r="H419" i="7"/>
  <c r="J419" i="7" s="1"/>
  <c r="G419" i="7"/>
  <c r="C419" i="7"/>
  <c r="F419" i="7" s="1"/>
  <c r="B419" i="7"/>
  <c r="N419" i="7" s="1"/>
  <c r="A419" i="7"/>
  <c r="R418" i="7"/>
  <c r="P418" i="7"/>
  <c r="O418" i="7"/>
  <c r="M418" i="7"/>
  <c r="L418" i="7"/>
  <c r="K418" i="7"/>
  <c r="H418" i="7"/>
  <c r="J418" i="7" s="1"/>
  <c r="C418" i="7"/>
  <c r="B418" i="7"/>
  <c r="N418" i="7" s="1"/>
  <c r="A418" i="7"/>
  <c r="R417" i="7"/>
  <c r="O417" i="7"/>
  <c r="M417" i="7"/>
  <c r="L417" i="7"/>
  <c r="K417" i="7"/>
  <c r="H417" i="7"/>
  <c r="J417" i="7" s="1"/>
  <c r="E417" i="7"/>
  <c r="C417" i="7"/>
  <c r="B417" i="7"/>
  <c r="P417" i="7" s="1"/>
  <c r="A417" i="7"/>
  <c r="M416" i="7"/>
  <c r="L416" i="7"/>
  <c r="Q416" i="7" s="1"/>
  <c r="K416" i="7"/>
  <c r="J416" i="7"/>
  <c r="H416" i="7"/>
  <c r="I416" i="7" s="1"/>
  <c r="C416" i="7"/>
  <c r="D416" i="7" s="1"/>
  <c r="B416" i="7"/>
  <c r="A416" i="7"/>
  <c r="R416" i="7" s="1"/>
  <c r="M415" i="7"/>
  <c r="L415" i="7"/>
  <c r="K415" i="7"/>
  <c r="H415" i="7"/>
  <c r="I415" i="7" s="1"/>
  <c r="C415" i="7"/>
  <c r="B415" i="7"/>
  <c r="A415" i="7"/>
  <c r="R415" i="7" s="1"/>
  <c r="M414" i="7"/>
  <c r="Q414" i="7" s="1"/>
  <c r="L414" i="7"/>
  <c r="K414" i="7"/>
  <c r="H414" i="7"/>
  <c r="C414" i="7"/>
  <c r="B414" i="7"/>
  <c r="A414" i="7"/>
  <c r="R414" i="7" s="1"/>
  <c r="R413" i="7"/>
  <c r="M413" i="7"/>
  <c r="L413" i="7"/>
  <c r="Q413" i="7" s="1"/>
  <c r="K413" i="7"/>
  <c r="J413" i="7"/>
  <c r="I413" i="7"/>
  <c r="H413" i="7"/>
  <c r="G413" i="7"/>
  <c r="F413" i="7"/>
  <c r="C413" i="7"/>
  <c r="E413" i="7" s="1"/>
  <c r="B413" i="7"/>
  <c r="P413" i="7" s="1"/>
  <c r="A413" i="7"/>
  <c r="M412" i="7"/>
  <c r="L412" i="7"/>
  <c r="Q412" i="7" s="1"/>
  <c r="K412" i="7"/>
  <c r="H412" i="7"/>
  <c r="J412" i="7" s="1"/>
  <c r="C412" i="7"/>
  <c r="B412" i="7"/>
  <c r="A412" i="7"/>
  <c r="R412" i="7" s="1"/>
  <c r="Q411" i="7"/>
  <c r="M411" i="7"/>
  <c r="L411" i="7"/>
  <c r="K411" i="7"/>
  <c r="H411" i="7"/>
  <c r="I411" i="7" s="1"/>
  <c r="G411" i="7"/>
  <c r="F411" i="7"/>
  <c r="E411" i="7"/>
  <c r="D411" i="7"/>
  <c r="C411" i="7"/>
  <c r="B411" i="7"/>
  <c r="A411" i="7"/>
  <c r="R411" i="7" s="1"/>
  <c r="M410" i="7"/>
  <c r="L410" i="7"/>
  <c r="Q410" i="7" s="1"/>
  <c r="K410" i="7"/>
  <c r="H410" i="7"/>
  <c r="I410" i="7" s="1"/>
  <c r="C410" i="7"/>
  <c r="B410" i="7"/>
  <c r="A410" i="7"/>
  <c r="R410" i="7" s="1"/>
  <c r="R409" i="7"/>
  <c r="M409" i="7"/>
  <c r="L409" i="7"/>
  <c r="K409" i="7"/>
  <c r="H409" i="7"/>
  <c r="C409" i="7"/>
  <c r="D409" i="7" s="1"/>
  <c r="B409" i="7"/>
  <c r="A409" i="7"/>
  <c r="P408" i="7"/>
  <c r="O408" i="7"/>
  <c r="M408" i="7"/>
  <c r="L408" i="7"/>
  <c r="K408" i="7"/>
  <c r="H408" i="7"/>
  <c r="J408" i="7" s="1"/>
  <c r="C408" i="7"/>
  <c r="F408" i="7" s="1"/>
  <c r="B408" i="7"/>
  <c r="N408" i="7" s="1"/>
  <c r="A408" i="7"/>
  <c r="R408" i="7" s="1"/>
  <c r="O407" i="7"/>
  <c r="N407" i="7"/>
  <c r="M407" i="7"/>
  <c r="L407" i="7"/>
  <c r="Q407" i="7" s="1"/>
  <c r="K407" i="7"/>
  <c r="J407" i="7"/>
  <c r="H407" i="7"/>
  <c r="I407" i="7" s="1"/>
  <c r="C407" i="7"/>
  <c r="B407" i="7"/>
  <c r="P407" i="7" s="1"/>
  <c r="A407" i="7"/>
  <c r="R407" i="7" s="1"/>
  <c r="M406" i="7"/>
  <c r="L406" i="7"/>
  <c r="Q406" i="7" s="1"/>
  <c r="K406" i="7"/>
  <c r="H406" i="7"/>
  <c r="C406" i="7"/>
  <c r="G406" i="7" s="1"/>
  <c r="B406" i="7"/>
  <c r="N406" i="7" s="1"/>
  <c r="A406" i="7"/>
  <c r="R406" i="7" s="1"/>
  <c r="O405" i="7"/>
  <c r="M405" i="7"/>
  <c r="L405" i="7"/>
  <c r="Q405" i="7" s="1"/>
  <c r="K405" i="7"/>
  <c r="H405" i="7"/>
  <c r="J405" i="7" s="1"/>
  <c r="C405" i="7"/>
  <c r="B405" i="7"/>
  <c r="P405" i="7" s="1"/>
  <c r="A405" i="7"/>
  <c r="R405" i="7" s="1"/>
  <c r="M404" i="7"/>
  <c r="L404" i="7"/>
  <c r="K404" i="7"/>
  <c r="H404" i="7"/>
  <c r="J404" i="7" s="1"/>
  <c r="C404" i="7"/>
  <c r="B404" i="7"/>
  <c r="A404" i="7"/>
  <c r="R404" i="7" s="1"/>
  <c r="M403" i="7"/>
  <c r="L403" i="7"/>
  <c r="K403" i="7"/>
  <c r="H403" i="7"/>
  <c r="C403" i="7"/>
  <c r="G403" i="7" s="1"/>
  <c r="B403" i="7"/>
  <c r="O403" i="7" s="1"/>
  <c r="A403" i="7"/>
  <c r="R403" i="7" s="1"/>
  <c r="M402" i="7"/>
  <c r="L402" i="7"/>
  <c r="K402" i="7"/>
  <c r="H402" i="7"/>
  <c r="C402" i="7"/>
  <c r="E402" i="7" s="1"/>
  <c r="B402" i="7"/>
  <c r="N402" i="7" s="1"/>
  <c r="A402" i="7"/>
  <c r="R402" i="7" s="1"/>
  <c r="M401" i="7"/>
  <c r="L401" i="7"/>
  <c r="Q401" i="7" s="1"/>
  <c r="K401" i="7"/>
  <c r="J401" i="7"/>
  <c r="I401" i="7"/>
  <c r="H401" i="7"/>
  <c r="C401" i="7"/>
  <c r="B401" i="7"/>
  <c r="A401" i="7"/>
  <c r="R401" i="7" s="1"/>
  <c r="M400" i="7"/>
  <c r="L400" i="7"/>
  <c r="K400" i="7"/>
  <c r="H400" i="7"/>
  <c r="J400" i="7" s="1"/>
  <c r="F400" i="7"/>
  <c r="C400" i="7"/>
  <c r="D400" i="7" s="1"/>
  <c r="B400" i="7"/>
  <c r="A400" i="7"/>
  <c r="R400" i="7" s="1"/>
  <c r="M399" i="7"/>
  <c r="L399" i="7"/>
  <c r="K399" i="7"/>
  <c r="H399" i="7"/>
  <c r="C399" i="7"/>
  <c r="G399" i="7" s="1"/>
  <c r="B399" i="7"/>
  <c r="O399" i="7" s="1"/>
  <c r="A399" i="7"/>
  <c r="R399" i="7" s="1"/>
  <c r="M398" i="7"/>
  <c r="L398" i="7"/>
  <c r="K398" i="7"/>
  <c r="H398" i="7"/>
  <c r="I398" i="7" s="1"/>
  <c r="C398" i="7"/>
  <c r="B398" i="7"/>
  <c r="A398" i="7"/>
  <c r="R398" i="7" s="1"/>
  <c r="R397" i="7"/>
  <c r="M397" i="7"/>
  <c r="L397" i="7"/>
  <c r="Q397" i="7" s="1"/>
  <c r="K397" i="7"/>
  <c r="H397" i="7"/>
  <c r="J397" i="7" s="1"/>
  <c r="G397" i="7"/>
  <c r="C397" i="7"/>
  <c r="B397" i="7"/>
  <c r="A397" i="7"/>
  <c r="M396" i="7"/>
  <c r="L396" i="7"/>
  <c r="K396" i="7"/>
  <c r="H396" i="7"/>
  <c r="F396" i="7"/>
  <c r="D396" i="7"/>
  <c r="C396" i="7"/>
  <c r="G396" i="7" s="1"/>
  <c r="B396" i="7"/>
  <c r="P396" i="7" s="1"/>
  <c r="A396" i="7"/>
  <c r="R396" i="7" s="1"/>
  <c r="M395" i="7"/>
  <c r="L395" i="7"/>
  <c r="Q395" i="7" s="1"/>
  <c r="K395" i="7"/>
  <c r="H395" i="7"/>
  <c r="I395" i="7" s="1"/>
  <c r="C395" i="7"/>
  <c r="D395" i="7" s="1"/>
  <c r="B395" i="7"/>
  <c r="N395" i="7" s="1"/>
  <c r="A395" i="7"/>
  <c r="R395" i="7" s="1"/>
  <c r="R394" i="7"/>
  <c r="M394" i="7"/>
  <c r="L394" i="7"/>
  <c r="K394" i="7"/>
  <c r="H394" i="7"/>
  <c r="C394" i="7"/>
  <c r="E394" i="7" s="1"/>
  <c r="B394" i="7"/>
  <c r="P394" i="7" s="1"/>
  <c r="A394" i="7"/>
  <c r="R393" i="7"/>
  <c r="P393" i="7"/>
  <c r="M393" i="7"/>
  <c r="Q393" i="7" s="1"/>
  <c r="L393" i="7"/>
  <c r="K393" i="7"/>
  <c r="H393" i="7"/>
  <c r="J393" i="7" s="1"/>
  <c r="C393" i="7"/>
  <c r="G393" i="7" s="1"/>
  <c r="B393" i="7"/>
  <c r="A393" i="7"/>
  <c r="M392" i="7"/>
  <c r="L392" i="7"/>
  <c r="K392" i="7"/>
  <c r="H392" i="7"/>
  <c r="I392" i="7" s="1"/>
  <c r="F392" i="7"/>
  <c r="C392" i="7"/>
  <c r="G392" i="7" s="1"/>
  <c r="B392" i="7"/>
  <c r="A392" i="7"/>
  <c r="R392" i="7" s="1"/>
  <c r="R391" i="7"/>
  <c r="M391" i="7"/>
  <c r="L391" i="7"/>
  <c r="Q391" i="7" s="1"/>
  <c r="K391" i="7"/>
  <c r="H391" i="7"/>
  <c r="I391" i="7" s="1"/>
  <c r="F391" i="7"/>
  <c r="E391" i="7"/>
  <c r="C391" i="7"/>
  <c r="G391" i="7" s="1"/>
  <c r="B391" i="7"/>
  <c r="A391" i="7"/>
  <c r="M390" i="7"/>
  <c r="L390" i="7"/>
  <c r="K390" i="7"/>
  <c r="H390" i="7"/>
  <c r="C390" i="7"/>
  <c r="E390" i="7" s="1"/>
  <c r="B390" i="7"/>
  <c r="A390" i="7"/>
  <c r="R390" i="7" s="1"/>
  <c r="M389" i="7"/>
  <c r="L389" i="7"/>
  <c r="Q389" i="7" s="1"/>
  <c r="K389" i="7"/>
  <c r="H389" i="7"/>
  <c r="J389" i="7" s="1"/>
  <c r="C389" i="7"/>
  <c r="B389" i="7"/>
  <c r="P389" i="7" s="1"/>
  <c r="A389" i="7"/>
  <c r="R389" i="7" s="1"/>
  <c r="M388" i="7"/>
  <c r="L388" i="7"/>
  <c r="K388" i="7"/>
  <c r="H388" i="7"/>
  <c r="J388" i="7" s="1"/>
  <c r="C388" i="7"/>
  <c r="E388" i="7" s="1"/>
  <c r="B388" i="7"/>
  <c r="O388" i="7" s="1"/>
  <c r="A388" i="7"/>
  <c r="R388" i="7" s="1"/>
  <c r="M387" i="7"/>
  <c r="L387" i="7"/>
  <c r="K387" i="7"/>
  <c r="H387" i="7"/>
  <c r="I387" i="7" s="1"/>
  <c r="C387" i="7"/>
  <c r="B387" i="7"/>
  <c r="P387" i="7" s="1"/>
  <c r="A387" i="7"/>
  <c r="R387" i="7" s="1"/>
  <c r="R386" i="7"/>
  <c r="P386" i="7"/>
  <c r="N386" i="7"/>
  <c r="M386" i="7"/>
  <c r="L386" i="7"/>
  <c r="Q386" i="7" s="1"/>
  <c r="K386" i="7"/>
  <c r="H386" i="7"/>
  <c r="J386" i="7" s="1"/>
  <c r="C386" i="7"/>
  <c r="F386" i="7" s="1"/>
  <c r="B386" i="7"/>
  <c r="O386" i="7" s="1"/>
  <c r="A386" i="7"/>
  <c r="M385" i="7"/>
  <c r="L385" i="7"/>
  <c r="Q385" i="7" s="1"/>
  <c r="K385" i="7"/>
  <c r="H385" i="7"/>
  <c r="J385" i="7" s="1"/>
  <c r="G385" i="7"/>
  <c r="C385" i="7"/>
  <c r="E385" i="7" s="1"/>
  <c r="B385" i="7"/>
  <c r="P385" i="7" s="1"/>
  <c r="A385" i="7"/>
  <c r="R385" i="7" s="1"/>
  <c r="R384" i="7"/>
  <c r="M384" i="7"/>
  <c r="L384" i="7"/>
  <c r="K384" i="7"/>
  <c r="H384" i="7"/>
  <c r="J384" i="7" s="1"/>
  <c r="C384" i="7"/>
  <c r="B384" i="7"/>
  <c r="O384" i="7" s="1"/>
  <c r="A384" i="7"/>
  <c r="M383" i="7"/>
  <c r="L383" i="7"/>
  <c r="K383" i="7"/>
  <c r="H383" i="7"/>
  <c r="C383" i="7"/>
  <c r="B383" i="7"/>
  <c r="A383" i="7"/>
  <c r="R383" i="7" s="1"/>
  <c r="M382" i="7"/>
  <c r="L382" i="7"/>
  <c r="K382" i="7"/>
  <c r="J382" i="7"/>
  <c r="H382" i="7"/>
  <c r="I382" i="7" s="1"/>
  <c r="C382" i="7"/>
  <c r="G382" i="7" s="1"/>
  <c r="B382" i="7"/>
  <c r="A382" i="7"/>
  <c r="R382" i="7" s="1"/>
  <c r="M381" i="7"/>
  <c r="L381" i="7"/>
  <c r="Q381" i="7" s="1"/>
  <c r="K381" i="7"/>
  <c r="H381" i="7"/>
  <c r="J381" i="7" s="1"/>
  <c r="C381" i="7"/>
  <c r="B381" i="7"/>
  <c r="A381" i="7"/>
  <c r="R381" i="7" s="1"/>
  <c r="M380" i="7"/>
  <c r="L380" i="7"/>
  <c r="K380" i="7"/>
  <c r="H380" i="7"/>
  <c r="C380" i="7"/>
  <c r="D380" i="7" s="1"/>
  <c r="B380" i="7"/>
  <c r="P380" i="7" s="1"/>
  <c r="A380" i="7"/>
  <c r="R380" i="7" s="1"/>
  <c r="M379" i="7"/>
  <c r="L379" i="7"/>
  <c r="K379" i="7"/>
  <c r="H379" i="7"/>
  <c r="E379" i="7"/>
  <c r="C379" i="7"/>
  <c r="B379" i="7"/>
  <c r="A379" i="7"/>
  <c r="R379" i="7" s="1"/>
  <c r="M378" i="7"/>
  <c r="L378" i="7"/>
  <c r="K378" i="7"/>
  <c r="H378" i="7"/>
  <c r="J378" i="7" s="1"/>
  <c r="C378" i="7"/>
  <c r="B378" i="7"/>
  <c r="N378" i="7" s="1"/>
  <c r="A378" i="7"/>
  <c r="R378" i="7" s="1"/>
  <c r="M377" i="7"/>
  <c r="Q377" i="7" s="1"/>
  <c r="L377" i="7"/>
  <c r="K377" i="7"/>
  <c r="H377" i="7"/>
  <c r="J377" i="7" s="1"/>
  <c r="G377" i="7"/>
  <c r="E377" i="7"/>
  <c r="C377" i="7"/>
  <c r="B377" i="7"/>
  <c r="P377" i="7" s="1"/>
  <c r="A377" i="7"/>
  <c r="R377" i="7" s="1"/>
  <c r="M376" i="7"/>
  <c r="L376" i="7"/>
  <c r="Q376" i="7" s="1"/>
  <c r="K376" i="7"/>
  <c r="H376" i="7"/>
  <c r="J376" i="7" s="1"/>
  <c r="G376" i="7"/>
  <c r="C376" i="7"/>
  <c r="F376" i="7" s="1"/>
  <c r="B376" i="7"/>
  <c r="A376" i="7"/>
  <c r="R376" i="7" s="1"/>
  <c r="M375" i="7"/>
  <c r="L375" i="7"/>
  <c r="K375" i="7"/>
  <c r="H375" i="7"/>
  <c r="C375" i="7"/>
  <c r="G375" i="7" s="1"/>
  <c r="B375" i="7"/>
  <c r="A375" i="7"/>
  <c r="R375" i="7" s="1"/>
  <c r="Q374" i="7"/>
  <c r="M374" i="7"/>
  <c r="L374" i="7"/>
  <c r="K374" i="7"/>
  <c r="H374" i="7"/>
  <c r="J374" i="7" s="1"/>
  <c r="C374" i="7"/>
  <c r="D374" i="7" s="1"/>
  <c r="B374" i="7"/>
  <c r="P374" i="7" s="1"/>
  <c r="A374" i="7"/>
  <c r="R374" i="7" s="1"/>
  <c r="M373" i="7"/>
  <c r="L373" i="7"/>
  <c r="K373" i="7"/>
  <c r="H373" i="7"/>
  <c r="J373" i="7" s="1"/>
  <c r="C373" i="7"/>
  <c r="B373" i="7"/>
  <c r="A373" i="7"/>
  <c r="R373" i="7" s="1"/>
  <c r="M372" i="7"/>
  <c r="Q372" i="7" s="1"/>
  <c r="L372" i="7"/>
  <c r="K372" i="7"/>
  <c r="H372" i="7"/>
  <c r="J372" i="7" s="1"/>
  <c r="C372" i="7"/>
  <c r="B372" i="7"/>
  <c r="A372" i="7"/>
  <c r="R372" i="7" s="1"/>
  <c r="M371" i="7"/>
  <c r="L371" i="7"/>
  <c r="Q371" i="7" s="1"/>
  <c r="K371" i="7"/>
  <c r="J371" i="7"/>
  <c r="H371" i="7"/>
  <c r="I371" i="7" s="1"/>
  <c r="C371" i="7"/>
  <c r="B371" i="7"/>
  <c r="O371" i="7" s="1"/>
  <c r="A371" i="7"/>
  <c r="R371" i="7" s="1"/>
  <c r="M370" i="7"/>
  <c r="L370" i="7"/>
  <c r="Q370" i="7" s="1"/>
  <c r="K370" i="7"/>
  <c r="H370" i="7"/>
  <c r="C370" i="7"/>
  <c r="B370" i="7"/>
  <c r="A370" i="7"/>
  <c r="R370" i="7" s="1"/>
  <c r="M369" i="7"/>
  <c r="L369" i="7"/>
  <c r="K369" i="7"/>
  <c r="H369" i="7"/>
  <c r="I369" i="7" s="1"/>
  <c r="C369" i="7"/>
  <c r="B369" i="7"/>
  <c r="P369" i="7" s="1"/>
  <c r="A369" i="7"/>
  <c r="R369" i="7" s="1"/>
  <c r="P368" i="7"/>
  <c r="O368" i="7"/>
  <c r="N368" i="7"/>
  <c r="M368" i="7"/>
  <c r="L368" i="7"/>
  <c r="K368" i="7"/>
  <c r="H368" i="7"/>
  <c r="C368" i="7"/>
  <c r="B368" i="7"/>
  <c r="A368" i="7"/>
  <c r="R368" i="7" s="1"/>
  <c r="M367" i="7"/>
  <c r="L367" i="7"/>
  <c r="Q367" i="7" s="1"/>
  <c r="K367" i="7"/>
  <c r="H367" i="7"/>
  <c r="J367" i="7" s="1"/>
  <c r="C367" i="7"/>
  <c r="E367" i="7" s="1"/>
  <c r="B367" i="7"/>
  <c r="A367" i="7"/>
  <c r="R367" i="7" s="1"/>
  <c r="M366" i="7"/>
  <c r="Q366" i="7" s="1"/>
  <c r="L366" i="7"/>
  <c r="K366" i="7"/>
  <c r="H366" i="7"/>
  <c r="J366" i="7" s="1"/>
  <c r="C366" i="7"/>
  <c r="B366" i="7"/>
  <c r="A366" i="7"/>
  <c r="R366" i="7" s="1"/>
  <c r="M365" i="7"/>
  <c r="L365" i="7"/>
  <c r="Q365" i="7" s="1"/>
  <c r="K365" i="7"/>
  <c r="H365" i="7"/>
  <c r="C365" i="7"/>
  <c r="F365" i="7" s="1"/>
  <c r="B365" i="7"/>
  <c r="P365" i="7" s="1"/>
  <c r="A365" i="7"/>
  <c r="R365" i="7" s="1"/>
  <c r="M364" i="7"/>
  <c r="L364" i="7"/>
  <c r="K364" i="7"/>
  <c r="H364" i="7"/>
  <c r="J364" i="7" s="1"/>
  <c r="C364" i="7"/>
  <c r="D364" i="7" s="1"/>
  <c r="B364" i="7"/>
  <c r="N364" i="7" s="1"/>
  <c r="A364" i="7"/>
  <c r="R364" i="7" s="1"/>
  <c r="M363" i="7"/>
  <c r="L363" i="7"/>
  <c r="K363" i="7"/>
  <c r="H363" i="7"/>
  <c r="I363" i="7" s="1"/>
  <c r="C363" i="7"/>
  <c r="F363" i="7" s="1"/>
  <c r="B363" i="7"/>
  <c r="A363" i="7"/>
  <c r="R363" i="7" s="1"/>
  <c r="M362" i="7"/>
  <c r="L362" i="7"/>
  <c r="Q362" i="7" s="1"/>
  <c r="K362" i="7"/>
  <c r="H362" i="7"/>
  <c r="J362" i="7" s="1"/>
  <c r="C362" i="7"/>
  <c r="B362" i="7"/>
  <c r="O362" i="7" s="1"/>
  <c r="A362" i="7"/>
  <c r="R362" i="7" s="1"/>
  <c r="P361" i="7"/>
  <c r="M361" i="7"/>
  <c r="L361" i="7"/>
  <c r="K361" i="7"/>
  <c r="H361" i="7"/>
  <c r="C361" i="7"/>
  <c r="G361" i="7" s="1"/>
  <c r="B361" i="7"/>
  <c r="O361" i="7" s="1"/>
  <c r="A361" i="7"/>
  <c r="R361" i="7" s="1"/>
  <c r="P360" i="7"/>
  <c r="O360" i="7"/>
  <c r="N360" i="7"/>
  <c r="M360" i="7"/>
  <c r="Q360" i="7" s="1"/>
  <c r="L360" i="7"/>
  <c r="K360" i="7"/>
  <c r="H360" i="7"/>
  <c r="J360" i="7" s="1"/>
  <c r="C360" i="7"/>
  <c r="B360" i="7"/>
  <c r="A360" i="7"/>
  <c r="R360" i="7" s="1"/>
  <c r="M359" i="7"/>
  <c r="L359" i="7"/>
  <c r="Q359" i="7" s="1"/>
  <c r="K359" i="7"/>
  <c r="J359" i="7"/>
  <c r="H359" i="7"/>
  <c r="I359" i="7" s="1"/>
  <c r="C359" i="7"/>
  <c r="E359" i="7" s="1"/>
  <c r="B359" i="7"/>
  <c r="O359" i="7" s="1"/>
  <c r="A359" i="7"/>
  <c r="R359" i="7" s="1"/>
  <c r="M358" i="7"/>
  <c r="L358" i="7"/>
  <c r="K358" i="7"/>
  <c r="J358" i="7"/>
  <c r="I358" i="7"/>
  <c r="H358" i="7"/>
  <c r="C358" i="7"/>
  <c r="G358" i="7" s="1"/>
  <c r="B358" i="7"/>
  <c r="P358" i="7" s="1"/>
  <c r="A358" i="7"/>
  <c r="R358" i="7" s="1"/>
  <c r="M357" i="7"/>
  <c r="L357" i="7"/>
  <c r="Q357" i="7" s="1"/>
  <c r="K357" i="7"/>
  <c r="H357" i="7"/>
  <c r="C357" i="7"/>
  <c r="F357" i="7" s="1"/>
  <c r="B357" i="7"/>
  <c r="A357" i="7"/>
  <c r="R357" i="7" s="1"/>
  <c r="Q356" i="7"/>
  <c r="M356" i="7"/>
  <c r="L356" i="7"/>
  <c r="K356" i="7"/>
  <c r="H356" i="7"/>
  <c r="C356" i="7"/>
  <c r="F356" i="7" s="1"/>
  <c r="B356" i="7"/>
  <c r="A356" i="7"/>
  <c r="R356" i="7" s="1"/>
  <c r="M355" i="7"/>
  <c r="L355" i="7"/>
  <c r="K355" i="7"/>
  <c r="H355" i="7"/>
  <c r="J355" i="7" s="1"/>
  <c r="C355" i="7"/>
  <c r="D355" i="7" s="1"/>
  <c r="B355" i="7"/>
  <c r="A355" i="7"/>
  <c r="R355" i="7" s="1"/>
  <c r="M354" i="7"/>
  <c r="L354" i="7"/>
  <c r="K354" i="7"/>
  <c r="H354" i="7"/>
  <c r="J354" i="7" s="1"/>
  <c r="C354" i="7"/>
  <c r="B354" i="7"/>
  <c r="A354" i="7"/>
  <c r="R354" i="7" s="1"/>
  <c r="P353" i="7"/>
  <c r="M353" i="7"/>
  <c r="L353" i="7"/>
  <c r="Q353" i="7" s="1"/>
  <c r="K353" i="7"/>
  <c r="H353" i="7"/>
  <c r="I353" i="7" s="1"/>
  <c r="C353" i="7"/>
  <c r="B353" i="7"/>
  <c r="O353" i="7" s="1"/>
  <c r="A353" i="7"/>
  <c r="R353" i="7" s="1"/>
  <c r="O352" i="7"/>
  <c r="M352" i="7"/>
  <c r="L352" i="7"/>
  <c r="K352" i="7"/>
  <c r="H352" i="7"/>
  <c r="J352" i="7" s="1"/>
  <c r="G352" i="7"/>
  <c r="F352" i="7"/>
  <c r="E352" i="7"/>
  <c r="D352" i="7"/>
  <c r="C352" i="7"/>
  <c r="B352" i="7"/>
  <c r="N352" i="7" s="1"/>
  <c r="A352" i="7"/>
  <c r="R352" i="7" s="1"/>
  <c r="P351" i="7"/>
  <c r="N351" i="7"/>
  <c r="M351" i="7"/>
  <c r="L351" i="7"/>
  <c r="K351" i="7"/>
  <c r="H351" i="7"/>
  <c r="J351" i="7" s="1"/>
  <c r="E351" i="7"/>
  <c r="D351" i="7"/>
  <c r="C351" i="7"/>
  <c r="F351" i="7" s="1"/>
  <c r="B351" i="7"/>
  <c r="O351" i="7" s="1"/>
  <c r="A351" i="7"/>
  <c r="R351" i="7" s="1"/>
  <c r="O350" i="7"/>
  <c r="M350" i="7"/>
  <c r="L350" i="7"/>
  <c r="K350" i="7"/>
  <c r="H350" i="7"/>
  <c r="J350" i="7" s="1"/>
  <c r="E350" i="7"/>
  <c r="C350" i="7"/>
  <c r="G350" i="7" s="1"/>
  <c r="B350" i="7"/>
  <c r="P350" i="7" s="1"/>
  <c r="A350" i="7"/>
  <c r="R350" i="7" s="1"/>
  <c r="M349" i="7"/>
  <c r="L349" i="7"/>
  <c r="Q349" i="7" s="1"/>
  <c r="K349" i="7"/>
  <c r="H349" i="7"/>
  <c r="J349" i="7" s="1"/>
  <c r="C349" i="7"/>
  <c r="E349" i="7" s="1"/>
  <c r="B349" i="7"/>
  <c r="A349" i="7"/>
  <c r="R349" i="7" s="1"/>
  <c r="M348" i="7"/>
  <c r="L348" i="7"/>
  <c r="K348" i="7"/>
  <c r="H348" i="7"/>
  <c r="J348" i="7" s="1"/>
  <c r="C348" i="7"/>
  <c r="G348" i="7" s="1"/>
  <c r="B348" i="7"/>
  <c r="A348" i="7"/>
  <c r="R348" i="7" s="1"/>
  <c r="M347" i="7"/>
  <c r="L347" i="7"/>
  <c r="Q347" i="7" s="1"/>
  <c r="K347" i="7"/>
  <c r="H347" i="7"/>
  <c r="J347" i="7" s="1"/>
  <c r="C347" i="7"/>
  <c r="E347" i="7" s="1"/>
  <c r="B347" i="7"/>
  <c r="A347" i="7"/>
  <c r="R347" i="7" s="1"/>
  <c r="M346" i="7"/>
  <c r="L346" i="7"/>
  <c r="K346" i="7"/>
  <c r="H346" i="7"/>
  <c r="J346" i="7" s="1"/>
  <c r="C346" i="7"/>
  <c r="G346" i="7" s="1"/>
  <c r="B346" i="7"/>
  <c r="A346" i="7"/>
  <c r="R346" i="7" s="1"/>
  <c r="M345" i="7"/>
  <c r="L345" i="7"/>
  <c r="K345" i="7"/>
  <c r="H345" i="7"/>
  <c r="C345" i="7"/>
  <c r="E345" i="7" s="1"/>
  <c r="B345" i="7"/>
  <c r="N345" i="7" s="1"/>
  <c r="A345" i="7"/>
  <c r="R345" i="7" s="1"/>
  <c r="M344" i="7"/>
  <c r="L344" i="7"/>
  <c r="K344" i="7"/>
  <c r="H344" i="7"/>
  <c r="J344" i="7" s="1"/>
  <c r="C344" i="7"/>
  <c r="B344" i="7"/>
  <c r="O344" i="7" s="1"/>
  <c r="A344" i="7"/>
  <c r="R344" i="7" s="1"/>
  <c r="M343" i="7"/>
  <c r="L343" i="7"/>
  <c r="K343" i="7"/>
  <c r="H343" i="7"/>
  <c r="I343" i="7" s="1"/>
  <c r="C343" i="7"/>
  <c r="B343" i="7"/>
  <c r="A343" i="7"/>
  <c r="R343" i="7" s="1"/>
  <c r="M342" i="7"/>
  <c r="L342" i="7"/>
  <c r="K342" i="7"/>
  <c r="H342" i="7"/>
  <c r="I342" i="7" s="1"/>
  <c r="C342" i="7"/>
  <c r="B342" i="7"/>
  <c r="P342" i="7" s="1"/>
  <c r="A342" i="7"/>
  <c r="R342" i="7" s="1"/>
  <c r="M341" i="7"/>
  <c r="L341" i="7"/>
  <c r="K341" i="7"/>
  <c r="H341" i="7"/>
  <c r="I341" i="7" s="1"/>
  <c r="C341" i="7"/>
  <c r="E341" i="7" s="1"/>
  <c r="B341" i="7"/>
  <c r="P341" i="7" s="1"/>
  <c r="A341" i="7"/>
  <c r="R341" i="7" s="1"/>
  <c r="R340" i="7"/>
  <c r="M340" i="7"/>
  <c r="L340" i="7"/>
  <c r="Q340" i="7" s="1"/>
  <c r="K340" i="7"/>
  <c r="H340" i="7"/>
  <c r="J340" i="7" s="1"/>
  <c r="C340" i="7"/>
  <c r="G340" i="7" s="1"/>
  <c r="B340" i="7"/>
  <c r="N340" i="7" s="1"/>
  <c r="A340" i="7"/>
  <c r="M339" i="7"/>
  <c r="L339" i="7"/>
  <c r="Q339" i="7" s="1"/>
  <c r="K339" i="7"/>
  <c r="H339" i="7"/>
  <c r="J339" i="7" s="1"/>
  <c r="C339" i="7"/>
  <c r="E339" i="7" s="1"/>
  <c r="B339" i="7"/>
  <c r="A339" i="7"/>
  <c r="R339" i="7" s="1"/>
  <c r="M338" i="7"/>
  <c r="L338" i="7"/>
  <c r="K338" i="7"/>
  <c r="H338" i="7"/>
  <c r="J338" i="7" s="1"/>
  <c r="C338" i="7"/>
  <c r="B338" i="7"/>
  <c r="A338" i="7"/>
  <c r="R338" i="7" s="1"/>
  <c r="M337" i="7"/>
  <c r="L337" i="7"/>
  <c r="Q337" i="7" s="1"/>
  <c r="K337" i="7"/>
  <c r="H337" i="7"/>
  <c r="J337" i="7" s="1"/>
  <c r="C337" i="7"/>
  <c r="E337" i="7" s="1"/>
  <c r="B337" i="7"/>
  <c r="A337" i="7"/>
  <c r="R337" i="7" s="1"/>
  <c r="M336" i="7"/>
  <c r="L336" i="7"/>
  <c r="K336" i="7"/>
  <c r="H336" i="7"/>
  <c r="I336" i="7" s="1"/>
  <c r="C336" i="7"/>
  <c r="G336" i="7" s="1"/>
  <c r="B336" i="7"/>
  <c r="A336" i="7"/>
  <c r="R336" i="7" s="1"/>
  <c r="M335" i="7"/>
  <c r="L335" i="7"/>
  <c r="K335" i="7"/>
  <c r="H335" i="7"/>
  <c r="C335" i="7"/>
  <c r="B335" i="7"/>
  <c r="A335" i="7"/>
  <c r="R335" i="7" s="1"/>
  <c r="R334" i="7"/>
  <c r="M334" i="7"/>
  <c r="L334" i="7"/>
  <c r="Q334" i="7" s="1"/>
  <c r="K334" i="7"/>
  <c r="J334" i="7"/>
  <c r="I334" i="7"/>
  <c r="H334" i="7"/>
  <c r="C334" i="7"/>
  <c r="B334" i="7"/>
  <c r="P334" i="7" s="1"/>
  <c r="A334" i="7"/>
  <c r="M333" i="7"/>
  <c r="L333" i="7"/>
  <c r="K333" i="7"/>
  <c r="H333" i="7"/>
  <c r="C333" i="7"/>
  <c r="B333" i="7"/>
  <c r="P333" i="7" s="1"/>
  <c r="A333" i="7"/>
  <c r="R333" i="7" s="1"/>
  <c r="M332" i="7"/>
  <c r="L332" i="7"/>
  <c r="K332" i="7"/>
  <c r="H332" i="7"/>
  <c r="J332" i="7" s="1"/>
  <c r="C332" i="7"/>
  <c r="G332" i="7" s="1"/>
  <c r="B332" i="7"/>
  <c r="N332" i="7" s="1"/>
  <c r="A332" i="7"/>
  <c r="R332" i="7" s="1"/>
  <c r="M331" i="7"/>
  <c r="L331" i="7"/>
  <c r="K331" i="7"/>
  <c r="H331" i="7"/>
  <c r="J331" i="7" s="1"/>
  <c r="C331" i="7"/>
  <c r="E331" i="7" s="1"/>
  <c r="B331" i="7"/>
  <c r="A331" i="7"/>
  <c r="R331" i="7" s="1"/>
  <c r="P330" i="7"/>
  <c r="M330" i="7"/>
  <c r="L330" i="7"/>
  <c r="Q330" i="7" s="1"/>
  <c r="K330" i="7"/>
  <c r="H330" i="7"/>
  <c r="I330" i="7" s="1"/>
  <c r="G330" i="7"/>
  <c r="E330" i="7"/>
  <c r="D330" i="7"/>
  <c r="C330" i="7"/>
  <c r="F330" i="7" s="1"/>
  <c r="B330" i="7"/>
  <c r="A330" i="7"/>
  <c r="R330" i="7" s="1"/>
  <c r="N329" i="7"/>
  <c r="M329" i="7"/>
  <c r="L329" i="7"/>
  <c r="K329" i="7"/>
  <c r="H329" i="7"/>
  <c r="C329" i="7"/>
  <c r="E329" i="7" s="1"/>
  <c r="B329" i="7"/>
  <c r="P329" i="7" s="1"/>
  <c r="A329" i="7"/>
  <c r="R329" i="7" s="1"/>
  <c r="M328" i="7"/>
  <c r="L328" i="7"/>
  <c r="Q328" i="7" s="1"/>
  <c r="K328" i="7"/>
  <c r="H328" i="7"/>
  <c r="I328" i="7" s="1"/>
  <c r="C328" i="7"/>
  <c r="G328" i="7" s="1"/>
  <c r="B328" i="7"/>
  <c r="A328" i="7"/>
  <c r="R328" i="7" s="1"/>
  <c r="O327" i="7"/>
  <c r="M327" i="7"/>
  <c r="L327" i="7"/>
  <c r="Q327" i="7" s="1"/>
  <c r="K327" i="7"/>
  <c r="H327" i="7"/>
  <c r="J327" i="7" s="1"/>
  <c r="C327" i="7"/>
  <c r="E327" i="7" s="1"/>
  <c r="B327" i="7"/>
  <c r="A327" i="7"/>
  <c r="R327" i="7" s="1"/>
  <c r="M326" i="7"/>
  <c r="L326" i="7"/>
  <c r="K326" i="7"/>
  <c r="H326" i="7"/>
  <c r="C326" i="7"/>
  <c r="G326" i="7" s="1"/>
  <c r="B326" i="7"/>
  <c r="A326" i="7"/>
  <c r="R326" i="7" s="1"/>
  <c r="M325" i="7"/>
  <c r="L325" i="7"/>
  <c r="K325" i="7"/>
  <c r="H325" i="7"/>
  <c r="I325" i="7" s="1"/>
  <c r="C325" i="7"/>
  <c r="E325" i="7" s="1"/>
  <c r="B325" i="7"/>
  <c r="A325" i="7"/>
  <c r="R325" i="7" s="1"/>
  <c r="R324" i="7"/>
  <c r="M324" i="7"/>
  <c r="L324" i="7"/>
  <c r="K324" i="7"/>
  <c r="H324" i="7"/>
  <c r="J324" i="7" s="1"/>
  <c r="C324" i="7"/>
  <c r="E324" i="7" s="1"/>
  <c r="B324" i="7"/>
  <c r="A324" i="7"/>
  <c r="M323" i="7"/>
  <c r="L323" i="7"/>
  <c r="K323" i="7"/>
  <c r="H323" i="7"/>
  <c r="J323" i="7" s="1"/>
  <c r="C323" i="7"/>
  <c r="E323" i="7" s="1"/>
  <c r="B323" i="7"/>
  <c r="A323" i="7"/>
  <c r="R323" i="7" s="1"/>
  <c r="M322" i="7"/>
  <c r="L322" i="7"/>
  <c r="K322" i="7"/>
  <c r="H322" i="7"/>
  <c r="C322" i="7"/>
  <c r="F322" i="7" s="1"/>
  <c r="B322" i="7"/>
  <c r="A322" i="7"/>
  <c r="R322" i="7" s="1"/>
  <c r="P321" i="7"/>
  <c r="M321" i="7"/>
  <c r="L321" i="7"/>
  <c r="K321" i="7"/>
  <c r="J321" i="7"/>
  <c r="H321" i="7"/>
  <c r="I321" i="7" s="1"/>
  <c r="C321" i="7"/>
  <c r="B321" i="7"/>
  <c r="O321" i="7" s="1"/>
  <c r="A321" i="7"/>
  <c r="R321" i="7" s="1"/>
  <c r="R320" i="7"/>
  <c r="M320" i="7"/>
  <c r="L320" i="7"/>
  <c r="Q320" i="7" s="1"/>
  <c r="K320" i="7"/>
  <c r="H320" i="7"/>
  <c r="J320" i="7" s="1"/>
  <c r="C320" i="7"/>
  <c r="B320" i="7"/>
  <c r="N320" i="7" s="1"/>
  <c r="A320" i="7"/>
  <c r="P319" i="7"/>
  <c r="N319" i="7"/>
  <c r="M319" i="7"/>
  <c r="L319" i="7"/>
  <c r="K319" i="7"/>
  <c r="H319" i="7"/>
  <c r="J319" i="7" s="1"/>
  <c r="C319" i="7"/>
  <c r="E319" i="7" s="1"/>
  <c r="B319" i="7"/>
  <c r="O319" i="7" s="1"/>
  <c r="A319" i="7"/>
  <c r="R319" i="7" s="1"/>
  <c r="M318" i="7"/>
  <c r="L318" i="7"/>
  <c r="Q318" i="7" s="1"/>
  <c r="K318" i="7"/>
  <c r="J318" i="7"/>
  <c r="I318" i="7"/>
  <c r="H318" i="7"/>
  <c r="C318" i="7"/>
  <c r="B318" i="7"/>
  <c r="A318" i="7"/>
  <c r="R318" i="7" s="1"/>
  <c r="R317" i="7"/>
  <c r="M317" i="7"/>
  <c r="L317" i="7"/>
  <c r="Q317" i="7" s="1"/>
  <c r="K317" i="7"/>
  <c r="J317" i="7"/>
  <c r="I317" i="7"/>
  <c r="H317" i="7"/>
  <c r="F317" i="7"/>
  <c r="C317" i="7"/>
  <c r="E317" i="7" s="1"/>
  <c r="B317" i="7"/>
  <c r="A317" i="7"/>
  <c r="M316" i="7"/>
  <c r="L316" i="7"/>
  <c r="K316" i="7"/>
  <c r="H316" i="7"/>
  <c r="I316" i="7" s="1"/>
  <c r="C316" i="7"/>
  <c r="E316" i="7" s="1"/>
  <c r="B316" i="7"/>
  <c r="A316" i="7"/>
  <c r="R316" i="7" s="1"/>
  <c r="M315" i="7"/>
  <c r="L315" i="7"/>
  <c r="Q315" i="7" s="1"/>
  <c r="K315" i="7"/>
  <c r="H315" i="7"/>
  <c r="I315" i="7" s="1"/>
  <c r="C315" i="7"/>
  <c r="E315" i="7" s="1"/>
  <c r="B315" i="7"/>
  <c r="O315" i="7" s="1"/>
  <c r="A315" i="7"/>
  <c r="R315" i="7" s="1"/>
  <c r="O314" i="7"/>
  <c r="M314" i="7"/>
  <c r="L314" i="7"/>
  <c r="Q314" i="7" s="1"/>
  <c r="K314" i="7"/>
  <c r="H314" i="7"/>
  <c r="J314" i="7" s="1"/>
  <c r="C314" i="7"/>
  <c r="E314" i="7" s="1"/>
  <c r="B314" i="7"/>
  <c r="P314" i="7" s="1"/>
  <c r="A314" i="7"/>
  <c r="R314" i="7" s="1"/>
  <c r="P313" i="7"/>
  <c r="N313" i="7"/>
  <c r="M313" i="7"/>
  <c r="L313" i="7"/>
  <c r="K313" i="7"/>
  <c r="H313" i="7"/>
  <c r="I313" i="7" s="1"/>
  <c r="F313" i="7"/>
  <c r="C313" i="7"/>
  <c r="E313" i="7" s="1"/>
  <c r="B313" i="7"/>
  <c r="O313" i="7" s="1"/>
  <c r="A313" i="7"/>
  <c r="R313" i="7" s="1"/>
  <c r="M312" i="7"/>
  <c r="L312" i="7"/>
  <c r="K312" i="7"/>
  <c r="H312" i="7"/>
  <c r="J312" i="7" s="1"/>
  <c r="C312" i="7"/>
  <c r="B312" i="7"/>
  <c r="A312" i="7"/>
  <c r="R312" i="7" s="1"/>
  <c r="M311" i="7"/>
  <c r="L311" i="7"/>
  <c r="K311" i="7"/>
  <c r="H311" i="7"/>
  <c r="C311" i="7"/>
  <c r="B311" i="7"/>
  <c r="A311" i="7"/>
  <c r="R311" i="7" s="1"/>
  <c r="M310" i="7"/>
  <c r="L310" i="7"/>
  <c r="K310" i="7"/>
  <c r="H310" i="7"/>
  <c r="J310" i="7" s="1"/>
  <c r="C310" i="7"/>
  <c r="B310" i="7"/>
  <c r="A310" i="7"/>
  <c r="R310" i="7" s="1"/>
  <c r="M309" i="7"/>
  <c r="L309" i="7"/>
  <c r="K309" i="7"/>
  <c r="H309" i="7"/>
  <c r="J309" i="7" s="1"/>
  <c r="C309" i="7"/>
  <c r="F309" i="7" s="1"/>
  <c r="B309" i="7"/>
  <c r="N309" i="7" s="1"/>
  <c r="A309" i="7"/>
  <c r="R309" i="7" s="1"/>
  <c r="M308" i="7"/>
  <c r="L308" i="7"/>
  <c r="Q308" i="7" s="1"/>
  <c r="K308" i="7"/>
  <c r="H308" i="7"/>
  <c r="J308" i="7" s="1"/>
  <c r="C308" i="7"/>
  <c r="B308" i="7"/>
  <c r="P308" i="7" s="1"/>
  <c r="A308" i="7"/>
  <c r="R308" i="7" s="1"/>
  <c r="P307" i="7"/>
  <c r="N307" i="7"/>
  <c r="M307" i="7"/>
  <c r="L307" i="7"/>
  <c r="Q307" i="7" s="1"/>
  <c r="K307" i="7"/>
  <c r="H307" i="7"/>
  <c r="C307" i="7"/>
  <c r="G307" i="7" s="1"/>
  <c r="B307" i="7"/>
  <c r="O307" i="7" s="1"/>
  <c r="A307" i="7"/>
  <c r="R307" i="7" s="1"/>
  <c r="O306" i="7"/>
  <c r="M306" i="7"/>
  <c r="L306" i="7"/>
  <c r="K306" i="7"/>
  <c r="H306" i="7"/>
  <c r="J306" i="7" s="1"/>
  <c r="G306" i="7"/>
  <c r="C306" i="7"/>
  <c r="F306" i="7" s="1"/>
  <c r="B306" i="7"/>
  <c r="N306" i="7" s="1"/>
  <c r="A306" i="7"/>
  <c r="R306" i="7" s="1"/>
  <c r="M305" i="7"/>
  <c r="L305" i="7"/>
  <c r="Q305" i="7" s="1"/>
  <c r="K305" i="7"/>
  <c r="H305" i="7"/>
  <c r="I305" i="7" s="1"/>
  <c r="C305" i="7"/>
  <c r="E305" i="7" s="1"/>
  <c r="B305" i="7"/>
  <c r="A305" i="7"/>
  <c r="R305" i="7" s="1"/>
  <c r="M304" i="7"/>
  <c r="L304" i="7"/>
  <c r="K304" i="7"/>
  <c r="H304" i="7"/>
  <c r="I304" i="7" s="1"/>
  <c r="C304" i="7"/>
  <c r="G304" i="7" s="1"/>
  <c r="B304" i="7"/>
  <c r="A304" i="7"/>
  <c r="R304" i="7" s="1"/>
  <c r="R303" i="7"/>
  <c r="P303" i="7"/>
  <c r="M303" i="7"/>
  <c r="L303" i="7"/>
  <c r="Q303" i="7" s="1"/>
  <c r="K303" i="7"/>
  <c r="J303" i="7"/>
  <c r="H303" i="7"/>
  <c r="I303" i="7" s="1"/>
  <c r="C303" i="7"/>
  <c r="B303" i="7"/>
  <c r="N303" i="7" s="1"/>
  <c r="A303" i="7"/>
  <c r="M302" i="7"/>
  <c r="L302" i="7"/>
  <c r="Q302" i="7" s="1"/>
  <c r="K302" i="7"/>
  <c r="H302" i="7"/>
  <c r="C302" i="7"/>
  <c r="E302" i="7" s="1"/>
  <c r="B302" i="7"/>
  <c r="A302" i="7"/>
  <c r="R302" i="7" s="1"/>
  <c r="M301" i="7"/>
  <c r="L301" i="7"/>
  <c r="Q301" i="7" s="1"/>
  <c r="K301" i="7"/>
  <c r="H301" i="7"/>
  <c r="C301" i="7"/>
  <c r="D301" i="7" s="1"/>
  <c r="B301" i="7"/>
  <c r="A301" i="7"/>
  <c r="R301" i="7" s="1"/>
  <c r="M300" i="7"/>
  <c r="L300" i="7"/>
  <c r="K300" i="7"/>
  <c r="H300" i="7"/>
  <c r="J300" i="7" s="1"/>
  <c r="C300" i="7"/>
  <c r="B300" i="7"/>
  <c r="P300" i="7" s="1"/>
  <c r="A300" i="7"/>
  <c r="R300" i="7" s="1"/>
  <c r="R299" i="7"/>
  <c r="M299" i="7"/>
  <c r="Q299" i="7" s="1"/>
  <c r="L299" i="7"/>
  <c r="K299" i="7"/>
  <c r="H299" i="7"/>
  <c r="J299" i="7" s="1"/>
  <c r="C299" i="7"/>
  <c r="D299" i="7" s="1"/>
  <c r="B299" i="7"/>
  <c r="P299" i="7" s="1"/>
  <c r="A299" i="7"/>
  <c r="M298" i="7"/>
  <c r="L298" i="7"/>
  <c r="Q298" i="7" s="1"/>
  <c r="K298" i="7"/>
  <c r="H298" i="7"/>
  <c r="J298" i="7" s="1"/>
  <c r="E298" i="7"/>
  <c r="C298" i="7"/>
  <c r="B298" i="7"/>
  <c r="A298" i="7"/>
  <c r="R298" i="7" s="1"/>
  <c r="R297" i="7"/>
  <c r="M297" i="7"/>
  <c r="L297" i="7"/>
  <c r="K297" i="7"/>
  <c r="H297" i="7"/>
  <c r="J297" i="7" s="1"/>
  <c r="C297" i="7"/>
  <c r="D297" i="7" s="1"/>
  <c r="B297" i="7"/>
  <c r="A297" i="7"/>
  <c r="O296" i="7"/>
  <c r="M296" i="7"/>
  <c r="L296" i="7"/>
  <c r="Q296" i="7" s="1"/>
  <c r="K296" i="7"/>
  <c r="H296" i="7"/>
  <c r="C296" i="7"/>
  <c r="E296" i="7" s="1"/>
  <c r="B296" i="7"/>
  <c r="P296" i="7" s="1"/>
  <c r="A296" i="7"/>
  <c r="R296" i="7" s="1"/>
  <c r="M295" i="7"/>
  <c r="L295" i="7"/>
  <c r="K295" i="7"/>
  <c r="H295" i="7"/>
  <c r="J295" i="7" s="1"/>
  <c r="C295" i="7"/>
  <c r="D295" i="7" s="1"/>
  <c r="B295" i="7"/>
  <c r="P295" i="7" s="1"/>
  <c r="A295" i="7"/>
  <c r="R295" i="7" s="1"/>
  <c r="M294" i="7"/>
  <c r="L294" i="7"/>
  <c r="K294" i="7"/>
  <c r="H294" i="7"/>
  <c r="C294" i="7"/>
  <c r="B294" i="7"/>
  <c r="A294" i="7"/>
  <c r="R294" i="7" s="1"/>
  <c r="Q293" i="7"/>
  <c r="O293" i="7"/>
  <c r="M293" i="7"/>
  <c r="L293" i="7"/>
  <c r="K293" i="7"/>
  <c r="H293" i="7"/>
  <c r="J293" i="7" s="1"/>
  <c r="C293" i="7"/>
  <c r="D293" i="7" s="1"/>
  <c r="B293" i="7"/>
  <c r="A293" i="7"/>
  <c r="R293" i="7" s="1"/>
  <c r="O292" i="7"/>
  <c r="M292" i="7"/>
  <c r="L292" i="7"/>
  <c r="Q292" i="7" s="1"/>
  <c r="K292" i="7"/>
  <c r="H292" i="7"/>
  <c r="J292" i="7" s="1"/>
  <c r="C292" i="7"/>
  <c r="E292" i="7" s="1"/>
  <c r="B292" i="7"/>
  <c r="P292" i="7" s="1"/>
  <c r="A292" i="7"/>
  <c r="R292" i="7" s="1"/>
  <c r="M291" i="7"/>
  <c r="L291" i="7"/>
  <c r="K291" i="7"/>
  <c r="H291" i="7"/>
  <c r="C291" i="7"/>
  <c r="F291" i="7" s="1"/>
  <c r="B291" i="7"/>
  <c r="A291" i="7"/>
  <c r="R291" i="7" s="1"/>
  <c r="M290" i="7"/>
  <c r="L290" i="7"/>
  <c r="Q290" i="7" s="1"/>
  <c r="K290" i="7"/>
  <c r="H290" i="7"/>
  <c r="J290" i="7" s="1"/>
  <c r="C290" i="7"/>
  <c r="E290" i="7" s="1"/>
  <c r="B290" i="7"/>
  <c r="A290" i="7"/>
  <c r="R290" i="7" s="1"/>
  <c r="O289" i="7"/>
  <c r="N289" i="7"/>
  <c r="M289" i="7"/>
  <c r="L289" i="7"/>
  <c r="Q289" i="7" s="1"/>
  <c r="K289" i="7"/>
  <c r="H289" i="7"/>
  <c r="C289" i="7"/>
  <c r="D289" i="7" s="1"/>
  <c r="B289" i="7"/>
  <c r="P289" i="7" s="1"/>
  <c r="A289" i="7"/>
  <c r="R289" i="7" s="1"/>
  <c r="M288" i="7"/>
  <c r="L288" i="7"/>
  <c r="Q288" i="7" s="1"/>
  <c r="K288" i="7"/>
  <c r="H288" i="7"/>
  <c r="J288" i="7" s="1"/>
  <c r="C288" i="7"/>
  <c r="B288" i="7"/>
  <c r="P288" i="7" s="1"/>
  <c r="A288" i="7"/>
  <c r="R288" i="7" s="1"/>
  <c r="M287" i="7"/>
  <c r="L287" i="7"/>
  <c r="Q287" i="7" s="1"/>
  <c r="K287" i="7"/>
  <c r="H287" i="7"/>
  <c r="J287" i="7" s="1"/>
  <c r="C287" i="7"/>
  <c r="D287" i="7" s="1"/>
  <c r="B287" i="7"/>
  <c r="P287" i="7" s="1"/>
  <c r="A287" i="7"/>
  <c r="R287" i="7" s="1"/>
  <c r="M286" i="7"/>
  <c r="L286" i="7"/>
  <c r="Q286" i="7" s="1"/>
  <c r="K286" i="7"/>
  <c r="H286" i="7"/>
  <c r="J286" i="7" s="1"/>
  <c r="C286" i="7"/>
  <c r="E286" i="7" s="1"/>
  <c r="B286" i="7"/>
  <c r="A286" i="7"/>
  <c r="R286" i="7" s="1"/>
  <c r="M285" i="7"/>
  <c r="L285" i="7"/>
  <c r="Q285" i="7" s="1"/>
  <c r="K285" i="7"/>
  <c r="H285" i="7"/>
  <c r="J285" i="7" s="1"/>
  <c r="C285" i="7"/>
  <c r="D285" i="7" s="1"/>
  <c r="B285" i="7"/>
  <c r="A285" i="7"/>
  <c r="R285" i="7" s="1"/>
  <c r="M284" i="7"/>
  <c r="L284" i="7"/>
  <c r="Q284" i="7" s="1"/>
  <c r="K284" i="7"/>
  <c r="H284" i="7"/>
  <c r="C284" i="7"/>
  <c r="E284" i="7" s="1"/>
  <c r="B284" i="7"/>
  <c r="A284" i="7"/>
  <c r="R284" i="7" s="1"/>
  <c r="R283" i="7"/>
  <c r="M283" i="7"/>
  <c r="L283" i="7"/>
  <c r="Q283" i="7" s="1"/>
  <c r="K283" i="7"/>
  <c r="I283" i="7"/>
  <c r="H283" i="7"/>
  <c r="J283" i="7" s="1"/>
  <c r="C283" i="7"/>
  <c r="D283" i="7" s="1"/>
  <c r="B283" i="7"/>
  <c r="P283" i="7" s="1"/>
  <c r="A283" i="7"/>
  <c r="O282" i="7"/>
  <c r="M282" i="7"/>
  <c r="L282" i="7"/>
  <c r="K282" i="7"/>
  <c r="H282" i="7"/>
  <c r="J282" i="7" s="1"/>
  <c r="C282" i="7"/>
  <c r="B282" i="7"/>
  <c r="P282" i="7" s="1"/>
  <c r="A282" i="7"/>
  <c r="R282" i="7" s="1"/>
  <c r="M281" i="7"/>
  <c r="L281" i="7"/>
  <c r="Q281" i="7" s="1"/>
  <c r="K281" i="7"/>
  <c r="H281" i="7"/>
  <c r="J281" i="7" s="1"/>
  <c r="C281" i="7"/>
  <c r="D281" i="7" s="1"/>
  <c r="B281" i="7"/>
  <c r="A281" i="7"/>
  <c r="R281" i="7" s="1"/>
  <c r="M280" i="7"/>
  <c r="L280" i="7"/>
  <c r="Q280" i="7" s="1"/>
  <c r="K280" i="7"/>
  <c r="H280" i="7"/>
  <c r="J280" i="7" s="1"/>
  <c r="C280" i="7"/>
  <c r="E280" i="7" s="1"/>
  <c r="B280" i="7"/>
  <c r="A280" i="7"/>
  <c r="R280" i="7" s="1"/>
  <c r="M279" i="7"/>
  <c r="L279" i="7"/>
  <c r="Q279" i="7" s="1"/>
  <c r="K279" i="7"/>
  <c r="I279" i="7"/>
  <c r="H279" i="7"/>
  <c r="J279" i="7" s="1"/>
  <c r="C279" i="7"/>
  <c r="B279" i="7"/>
  <c r="P279" i="7" s="1"/>
  <c r="A279" i="7"/>
  <c r="R279" i="7" s="1"/>
  <c r="M278" i="7"/>
  <c r="L278" i="7"/>
  <c r="K278" i="7"/>
  <c r="H278" i="7"/>
  <c r="J278" i="7" s="1"/>
  <c r="C278" i="7"/>
  <c r="E278" i="7" s="1"/>
  <c r="B278" i="7"/>
  <c r="A278" i="7"/>
  <c r="R278" i="7" s="1"/>
  <c r="M277" i="7"/>
  <c r="L277" i="7"/>
  <c r="Q277" i="7" s="1"/>
  <c r="K277" i="7"/>
  <c r="I277" i="7"/>
  <c r="H277" i="7"/>
  <c r="J277" i="7" s="1"/>
  <c r="C277" i="7"/>
  <c r="D277" i="7" s="1"/>
  <c r="B277" i="7"/>
  <c r="A277" i="7"/>
  <c r="R277" i="7" s="1"/>
  <c r="M276" i="7"/>
  <c r="L276" i="7"/>
  <c r="K276" i="7"/>
  <c r="H276" i="7"/>
  <c r="C276" i="7"/>
  <c r="B276" i="7"/>
  <c r="A276" i="7"/>
  <c r="R276" i="7" s="1"/>
  <c r="Q275" i="7"/>
  <c r="M275" i="7"/>
  <c r="L275" i="7"/>
  <c r="K275" i="7"/>
  <c r="H275" i="7"/>
  <c r="J275" i="7" s="1"/>
  <c r="C275" i="7"/>
  <c r="D275" i="7" s="1"/>
  <c r="B275" i="7"/>
  <c r="P275" i="7" s="1"/>
  <c r="A275" i="7"/>
  <c r="R275" i="7" s="1"/>
  <c r="M274" i="7"/>
  <c r="L274" i="7"/>
  <c r="K274" i="7"/>
  <c r="H274" i="7"/>
  <c r="J274" i="7" s="1"/>
  <c r="C274" i="7"/>
  <c r="E274" i="7" s="1"/>
  <c r="B274" i="7"/>
  <c r="A274" i="7"/>
  <c r="R274" i="7" s="1"/>
  <c r="M273" i="7"/>
  <c r="L273" i="7"/>
  <c r="K273" i="7"/>
  <c r="H273" i="7"/>
  <c r="J273" i="7" s="1"/>
  <c r="C273" i="7"/>
  <c r="D273" i="7" s="1"/>
  <c r="B273" i="7"/>
  <c r="O273" i="7" s="1"/>
  <c r="A273" i="7"/>
  <c r="R273" i="7" s="1"/>
  <c r="O272" i="7"/>
  <c r="M272" i="7"/>
  <c r="L272" i="7"/>
  <c r="K272" i="7"/>
  <c r="H272" i="7"/>
  <c r="J272" i="7" s="1"/>
  <c r="C272" i="7"/>
  <c r="F272" i="7" s="1"/>
  <c r="B272" i="7"/>
  <c r="P272" i="7" s="1"/>
  <c r="A272" i="7"/>
  <c r="R272" i="7" s="1"/>
  <c r="N271" i="7"/>
  <c r="M271" i="7"/>
  <c r="L271" i="7"/>
  <c r="K271" i="7"/>
  <c r="H271" i="7"/>
  <c r="J271" i="7" s="1"/>
  <c r="F271" i="7"/>
  <c r="E271" i="7"/>
  <c r="C271" i="7"/>
  <c r="D271" i="7" s="1"/>
  <c r="B271" i="7"/>
  <c r="P271" i="7" s="1"/>
  <c r="A271" i="7"/>
  <c r="R271" i="7" s="1"/>
  <c r="M270" i="7"/>
  <c r="L270" i="7"/>
  <c r="K270" i="7"/>
  <c r="H270" i="7"/>
  <c r="J270" i="7" s="1"/>
  <c r="C270" i="7"/>
  <c r="B270" i="7"/>
  <c r="A270" i="7"/>
  <c r="R270" i="7" s="1"/>
  <c r="M269" i="7"/>
  <c r="L269" i="7"/>
  <c r="K269" i="7"/>
  <c r="H269" i="7"/>
  <c r="J269" i="7" s="1"/>
  <c r="C269" i="7"/>
  <c r="D269" i="7" s="1"/>
  <c r="B269" i="7"/>
  <c r="A269" i="7"/>
  <c r="R269" i="7" s="1"/>
  <c r="O268" i="7"/>
  <c r="M268" i="7"/>
  <c r="L268" i="7"/>
  <c r="Q268" i="7" s="1"/>
  <c r="K268" i="7"/>
  <c r="H268" i="7"/>
  <c r="J268" i="7" s="1"/>
  <c r="C268" i="7"/>
  <c r="F268" i="7" s="1"/>
  <c r="B268" i="7"/>
  <c r="P268" i="7" s="1"/>
  <c r="A268" i="7"/>
  <c r="R268" i="7" s="1"/>
  <c r="M267" i="7"/>
  <c r="L267" i="7"/>
  <c r="Q267" i="7" s="1"/>
  <c r="K267" i="7"/>
  <c r="H267" i="7"/>
  <c r="C267" i="7"/>
  <c r="D267" i="7" s="1"/>
  <c r="B267" i="7"/>
  <c r="N267" i="7" s="1"/>
  <c r="A267" i="7"/>
  <c r="R267" i="7" s="1"/>
  <c r="M266" i="7"/>
  <c r="L266" i="7"/>
  <c r="K266" i="7"/>
  <c r="H266" i="7"/>
  <c r="J266" i="7" s="1"/>
  <c r="C266" i="7"/>
  <c r="F266" i="7" s="1"/>
  <c r="B266" i="7"/>
  <c r="A266" i="7"/>
  <c r="R266" i="7" s="1"/>
  <c r="R265" i="7"/>
  <c r="O265" i="7"/>
  <c r="M265" i="7"/>
  <c r="L265" i="7"/>
  <c r="K265" i="7"/>
  <c r="H265" i="7"/>
  <c r="C265" i="7"/>
  <c r="D265" i="7" s="1"/>
  <c r="B265" i="7"/>
  <c r="A265" i="7"/>
  <c r="O264" i="7"/>
  <c r="M264" i="7"/>
  <c r="L264" i="7"/>
  <c r="Q264" i="7" s="1"/>
  <c r="K264" i="7"/>
  <c r="H264" i="7"/>
  <c r="J264" i="7" s="1"/>
  <c r="F264" i="7"/>
  <c r="E264" i="7"/>
  <c r="C264" i="7"/>
  <c r="B264" i="7"/>
  <c r="P264" i="7" s="1"/>
  <c r="A264" i="7"/>
  <c r="R264" i="7" s="1"/>
  <c r="M263" i="7"/>
  <c r="L263" i="7"/>
  <c r="Q263" i="7" s="1"/>
  <c r="K263" i="7"/>
  <c r="H263" i="7"/>
  <c r="C263" i="7"/>
  <c r="D263" i="7" s="1"/>
  <c r="B263" i="7"/>
  <c r="A263" i="7"/>
  <c r="R263" i="7" s="1"/>
  <c r="M262" i="7"/>
  <c r="L262" i="7"/>
  <c r="K262" i="7"/>
  <c r="H262" i="7"/>
  <c r="J262" i="7" s="1"/>
  <c r="C262" i="7"/>
  <c r="F262" i="7" s="1"/>
  <c r="B262" i="7"/>
  <c r="A262" i="7"/>
  <c r="R262" i="7" s="1"/>
  <c r="M261" i="7"/>
  <c r="L261" i="7"/>
  <c r="Q261" i="7" s="1"/>
  <c r="K261" i="7"/>
  <c r="H261" i="7"/>
  <c r="C261" i="7"/>
  <c r="B261" i="7"/>
  <c r="P261" i="7" s="1"/>
  <c r="A261" i="7"/>
  <c r="R261" i="7" s="1"/>
  <c r="O260" i="7"/>
  <c r="M260" i="7"/>
  <c r="L260" i="7"/>
  <c r="Q260" i="7" s="1"/>
  <c r="K260" i="7"/>
  <c r="H260" i="7"/>
  <c r="J260" i="7" s="1"/>
  <c r="C260" i="7"/>
  <c r="B260" i="7"/>
  <c r="P260" i="7" s="1"/>
  <c r="A260" i="7"/>
  <c r="R260" i="7" s="1"/>
  <c r="M259" i="7"/>
  <c r="L259" i="7"/>
  <c r="K259" i="7"/>
  <c r="I259" i="7"/>
  <c r="H259" i="7"/>
  <c r="J259" i="7" s="1"/>
  <c r="C259" i="7"/>
  <c r="B259" i="7"/>
  <c r="A259" i="7"/>
  <c r="R259" i="7" s="1"/>
  <c r="M258" i="7"/>
  <c r="L258" i="7"/>
  <c r="Q258" i="7" s="1"/>
  <c r="K258" i="7"/>
  <c r="H258" i="7"/>
  <c r="J258" i="7" s="1"/>
  <c r="F258" i="7"/>
  <c r="C258" i="7"/>
  <c r="B258" i="7"/>
  <c r="A258" i="7"/>
  <c r="R258" i="7" s="1"/>
  <c r="M257" i="7"/>
  <c r="L257" i="7"/>
  <c r="K257" i="7"/>
  <c r="H257" i="7"/>
  <c r="J257" i="7" s="1"/>
  <c r="C257" i="7"/>
  <c r="B257" i="7"/>
  <c r="P257" i="7" s="1"/>
  <c r="A257" i="7"/>
  <c r="R257" i="7" s="1"/>
  <c r="R256" i="7"/>
  <c r="M256" i="7"/>
  <c r="L256" i="7"/>
  <c r="K256" i="7"/>
  <c r="H256" i="7"/>
  <c r="J256" i="7" s="1"/>
  <c r="C256" i="7"/>
  <c r="E256" i="7" s="1"/>
  <c r="B256" i="7"/>
  <c r="P256" i="7" s="1"/>
  <c r="A256" i="7"/>
  <c r="M255" i="7"/>
  <c r="L255" i="7"/>
  <c r="Q255" i="7" s="1"/>
  <c r="K255" i="7"/>
  <c r="H255" i="7"/>
  <c r="J255" i="7" s="1"/>
  <c r="C255" i="7"/>
  <c r="D255" i="7" s="1"/>
  <c r="B255" i="7"/>
  <c r="A255" i="7"/>
  <c r="R255" i="7" s="1"/>
  <c r="M254" i="7"/>
  <c r="L254" i="7"/>
  <c r="Q254" i="7" s="1"/>
  <c r="K254" i="7"/>
  <c r="H254" i="7"/>
  <c r="C254" i="7"/>
  <c r="F254" i="7" s="1"/>
  <c r="B254" i="7"/>
  <c r="N254" i="7" s="1"/>
  <c r="A254" i="7"/>
  <c r="R254" i="7" s="1"/>
  <c r="R253" i="7"/>
  <c r="M253" i="7"/>
  <c r="L253" i="7"/>
  <c r="K253" i="7"/>
  <c r="H253" i="7"/>
  <c r="J253" i="7" s="1"/>
  <c r="C253" i="7"/>
  <c r="B253" i="7"/>
  <c r="P253" i="7" s="1"/>
  <c r="A253" i="7"/>
  <c r="R252" i="7"/>
  <c r="M252" i="7"/>
  <c r="L252" i="7"/>
  <c r="K252" i="7"/>
  <c r="H252" i="7"/>
  <c r="J252" i="7" s="1"/>
  <c r="C252" i="7"/>
  <c r="F252" i="7" s="1"/>
  <c r="B252" i="7"/>
  <c r="P252" i="7" s="1"/>
  <c r="A252" i="7"/>
  <c r="R251" i="7"/>
  <c r="O251" i="7"/>
  <c r="N251" i="7"/>
  <c r="M251" i="7"/>
  <c r="L251" i="7"/>
  <c r="Q251" i="7" s="1"/>
  <c r="K251" i="7"/>
  <c r="H251" i="7"/>
  <c r="J251" i="7" s="1"/>
  <c r="F251" i="7"/>
  <c r="C251" i="7"/>
  <c r="D251" i="7" s="1"/>
  <c r="B251" i="7"/>
  <c r="P251" i="7" s="1"/>
  <c r="A251" i="7"/>
  <c r="M250" i="7"/>
  <c r="L250" i="7"/>
  <c r="K250" i="7"/>
  <c r="H250" i="7"/>
  <c r="J250" i="7" s="1"/>
  <c r="C250" i="7"/>
  <c r="B250" i="7"/>
  <c r="P250" i="7" s="1"/>
  <c r="A250" i="7"/>
  <c r="R250" i="7" s="1"/>
  <c r="R249" i="7"/>
  <c r="M249" i="7"/>
  <c r="L249" i="7"/>
  <c r="Q249" i="7" s="1"/>
  <c r="K249" i="7"/>
  <c r="H249" i="7"/>
  <c r="J249" i="7" s="1"/>
  <c r="C249" i="7"/>
  <c r="B249" i="7"/>
  <c r="A249" i="7"/>
  <c r="M248" i="7"/>
  <c r="L248" i="7"/>
  <c r="Q248" i="7" s="1"/>
  <c r="K248" i="7"/>
  <c r="H248" i="7"/>
  <c r="J248" i="7" s="1"/>
  <c r="C248" i="7"/>
  <c r="B248" i="7"/>
  <c r="P248" i="7" s="1"/>
  <c r="A248" i="7"/>
  <c r="R248" i="7" s="1"/>
  <c r="R247" i="7"/>
  <c r="M247" i="7"/>
  <c r="L247" i="7"/>
  <c r="K247" i="7"/>
  <c r="H247" i="7"/>
  <c r="J247" i="7" s="1"/>
  <c r="C247" i="7"/>
  <c r="D247" i="7" s="1"/>
  <c r="B247" i="7"/>
  <c r="A247" i="7"/>
  <c r="M246" i="7"/>
  <c r="L246" i="7"/>
  <c r="Q246" i="7" s="1"/>
  <c r="K246" i="7"/>
  <c r="H246" i="7"/>
  <c r="C246" i="7"/>
  <c r="F246" i="7" s="1"/>
  <c r="B246" i="7"/>
  <c r="A246" i="7"/>
  <c r="R246" i="7" s="1"/>
  <c r="M245" i="7"/>
  <c r="L245" i="7"/>
  <c r="K245" i="7"/>
  <c r="H245" i="7"/>
  <c r="J245" i="7" s="1"/>
  <c r="C245" i="7"/>
  <c r="B245" i="7"/>
  <c r="P245" i="7" s="1"/>
  <c r="A245" i="7"/>
  <c r="R245" i="7" s="1"/>
  <c r="O244" i="7"/>
  <c r="M244" i="7"/>
  <c r="L244" i="7"/>
  <c r="K244" i="7"/>
  <c r="H244" i="7"/>
  <c r="J244" i="7" s="1"/>
  <c r="C244" i="7"/>
  <c r="F244" i="7" s="1"/>
  <c r="B244" i="7"/>
  <c r="P244" i="7" s="1"/>
  <c r="A244" i="7"/>
  <c r="R244" i="7" s="1"/>
  <c r="R243" i="7"/>
  <c r="M243" i="7"/>
  <c r="L243" i="7"/>
  <c r="Q243" i="7" s="1"/>
  <c r="K243" i="7"/>
  <c r="H243" i="7"/>
  <c r="J243" i="7" s="1"/>
  <c r="C243" i="7"/>
  <c r="F243" i="7" s="1"/>
  <c r="B243" i="7"/>
  <c r="P243" i="7" s="1"/>
  <c r="A243" i="7"/>
  <c r="M242" i="7"/>
  <c r="L242" i="7"/>
  <c r="K242" i="7"/>
  <c r="H242" i="7"/>
  <c r="I242" i="7" s="1"/>
  <c r="C242" i="7"/>
  <c r="F242" i="7" s="1"/>
  <c r="B242" i="7"/>
  <c r="A242" i="7"/>
  <c r="R242" i="7" s="1"/>
  <c r="M241" i="7"/>
  <c r="L241" i="7"/>
  <c r="Q241" i="7" s="1"/>
  <c r="K241" i="7"/>
  <c r="H241" i="7"/>
  <c r="J241" i="7" s="1"/>
  <c r="C241" i="7"/>
  <c r="F241" i="7" s="1"/>
  <c r="B241" i="7"/>
  <c r="A241" i="7"/>
  <c r="R241" i="7" s="1"/>
  <c r="M240" i="7"/>
  <c r="L240" i="7"/>
  <c r="Q240" i="7" s="1"/>
  <c r="K240" i="7"/>
  <c r="I240" i="7"/>
  <c r="H240" i="7"/>
  <c r="J240" i="7" s="1"/>
  <c r="C240" i="7"/>
  <c r="B240" i="7"/>
  <c r="A240" i="7"/>
  <c r="R240" i="7" s="1"/>
  <c r="M239" i="7"/>
  <c r="L239" i="7"/>
  <c r="Q239" i="7" s="1"/>
  <c r="K239" i="7"/>
  <c r="H239" i="7"/>
  <c r="J239" i="7" s="1"/>
  <c r="C239" i="7"/>
  <c r="G239" i="7" s="1"/>
  <c r="B239" i="7"/>
  <c r="A239" i="7"/>
  <c r="R239" i="7" s="1"/>
  <c r="M238" i="7"/>
  <c r="Q238" i="7" s="1"/>
  <c r="L238" i="7"/>
  <c r="K238" i="7"/>
  <c r="H238" i="7"/>
  <c r="C238" i="7"/>
  <c r="F238" i="7" s="1"/>
  <c r="B238" i="7"/>
  <c r="A238" i="7"/>
  <c r="R238" i="7" s="1"/>
  <c r="Q237" i="7"/>
  <c r="M237" i="7"/>
  <c r="L237" i="7"/>
  <c r="K237" i="7"/>
  <c r="H237" i="7"/>
  <c r="J237" i="7" s="1"/>
  <c r="C237" i="7"/>
  <c r="B237" i="7"/>
  <c r="P237" i="7" s="1"/>
  <c r="A237" i="7"/>
  <c r="R237" i="7" s="1"/>
  <c r="M236" i="7"/>
  <c r="L236" i="7"/>
  <c r="K236" i="7"/>
  <c r="J236" i="7"/>
  <c r="H236" i="7"/>
  <c r="I236" i="7" s="1"/>
  <c r="C236" i="7"/>
  <c r="F236" i="7" s="1"/>
  <c r="B236" i="7"/>
  <c r="A236" i="7"/>
  <c r="R236" i="7" s="1"/>
  <c r="M235" i="7"/>
  <c r="L235" i="7"/>
  <c r="Q235" i="7" s="1"/>
  <c r="K235" i="7"/>
  <c r="H235" i="7"/>
  <c r="J235" i="7" s="1"/>
  <c r="C235" i="7"/>
  <c r="D235" i="7" s="1"/>
  <c r="B235" i="7"/>
  <c r="A235" i="7"/>
  <c r="R235" i="7" s="1"/>
  <c r="M234" i="7"/>
  <c r="L234" i="7"/>
  <c r="K234" i="7"/>
  <c r="H234" i="7"/>
  <c r="I234" i="7" s="1"/>
  <c r="C234" i="7"/>
  <c r="B234" i="7"/>
  <c r="A234" i="7"/>
  <c r="R234" i="7" s="1"/>
  <c r="M233" i="7"/>
  <c r="L233" i="7"/>
  <c r="Q233" i="7" s="1"/>
  <c r="K233" i="7"/>
  <c r="H233" i="7"/>
  <c r="C233" i="7"/>
  <c r="B233" i="7"/>
  <c r="A233" i="7"/>
  <c r="R233" i="7" s="1"/>
  <c r="M232" i="7"/>
  <c r="L232" i="7"/>
  <c r="K232" i="7"/>
  <c r="H232" i="7"/>
  <c r="J232" i="7" s="1"/>
  <c r="C232" i="7"/>
  <c r="E232" i="7" s="1"/>
  <c r="B232" i="7"/>
  <c r="A232" i="7"/>
  <c r="R232" i="7" s="1"/>
  <c r="M231" i="7"/>
  <c r="Q231" i="7" s="1"/>
  <c r="L231" i="7"/>
  <c r="K231" i="7"/>
  <c r="H231" i="7"/>
  <c r="J231" i="7" s="1"/>
  <c r="C231" i="7"/>
  <c r="B231" i="7"/>
  <c r="P231" i="7" s="1"/>
  <c r="A231" i="7"/>
  <c r="R231" i="7" s="1"/>
  <c r="O230" i="7"/>
  <c r="M230" i="7"/>
  <c r="L230" i="7"/>
  <c r="K230" i="7"/>
  <c r="H230" i="7"/>
  <c r="J230" i="7" s="1"/>
  <c r="F230" i="7"/>
  <c r="C230" i="7"/>
  <c r="E230" i="7" s="1"/>
  <c r="B230" i="7"/>
  <c r="A230" i="7"/>
  <c r="R230" i="7" s="1"/>
  <c r="N229" i="7"/>
  <c r="M229" i="7"/>
  <c r="L229" i="7"/>
  <c r="K229" i="7"/>
  <c r="H229" i="7"/>
  <c r="J229" i="7" s="1"/>
  <c r="G229" i="7"/>
  <c r="F229" i="7"/>
  <c r="E229" i="7"/>
  <c r="C229" i="7"/>
  <c r="D229" i="7" s="1"/>
  <c r="B229" i="7"/>
  <c r="P229" i="7" s="1"/>
  <c r="A229" i="7"/>
  <c r="R229" i="7" s="1"/>
  <c r="R228" i="7"/>
  <c r="O228" i="7"/>
  <c r="N228" i="7"/>
  <c r="M228" i="7"/>
  <c r="L228" i="7"/>
  <c r="Q228" i="7" s="1"/>
  <c r="K228" i="7"/>
  <c r="J228" i="7"/>
  <c r="I228" i="7"/>
  <c r="H228" i="7"/>
  <c r="C228" i="7"/>
  <c r="B228" i="7"/>
  <c r="P228" i="7" s="1"/>
  <c r="A228" i="7"/>
  <c r="R227" i="7"/>
  <c r="M227" i="7"/>
  <c r="L227" i="7"/>
  <c r="Q227" i="7" s="1"/>
  <c r="K227" i="7"/>
  <c r="H227" i="7"/>
  <c r="C227" i="7"/>
  <c r="F227" i="7" s="1"/>
  <c r="B227" i="7"/>
  <c r="P227" i="7" s="1"/>
  <c r="A227" i="7"/>
  <c r="R226" i="7"/>
  <c r="M226" i="7"/>
  <c r="L226" i="7"/>
  <c r="K226" i="7"/>
  <c r="J226" i="7"/>
  <c r="H226" i="7"/>
  <c r="I226" i="7" s="1"/>
  <c r="C226" i="7"/>
  <c r="B226" i="7"/>
  <c r="A226" i="7"/>
  <c r="M225" i="7"/>
  <c r="L225" i="7"/>
  <c r="Q225" i="7" s="1"/>
  <c r="K225" i="7"/>
  <c r="H225" i="7"/>
  <c r="J225" i="7" s="1"/>
  <c r="G225" i="7"/>
  <c r="D225" i="7"/>
  <c r="C225" i="7"/>
  <c r="F225" i="7" s="1"/>
  <c r="B225" i="7"/>
  <c r="P225" i="7" s="1"/>
  <c r="A225" i="7"/>
  <c r="R225" i="7" s="1"/>
  <c r="M224" i="7"/>
  <c r="L224" i="7"/>
  <c r="K224" i="7"/>
  <c r="H224" i="7"/>
  <c r="I224" i="7" s="1"/>
  <c r="C224" i="7"/>
  <c r="F224" i="7" s="1"/>
  <c r="B224" i="7"/>
  <c r="A224" i="7"/>
  <c r="R224" i="7" s="1"/>
  <c r="M223" i="7"/>
  <c r="L223" i="7"/>
  <c r="Q223" i="7" s="1"/>
  <c r="K223" i="7"/>
  <c r="H223" i="7"/>
  <c r="J223" i="7" s="1"/>
  <c r="G223" i="7"/>
  <c r="D223" i="7"/>
  <c r="C223" i="7"/>
  <c r="F223" i="7" s="1"/>
  <c r="B223" i="7"/>
  <c r="P223" i="7" s="1"/>
  <c r="A223" i="7"/>
  <c r="R223" i="7" s="1"/>
  <c r="M222" i="7"/>
  <c r="L222" i="7"/>
  <c r="K222" i="7"/>
  <c r="I222" i="7"/>
  <c r="H222" i="7"/>
  <c r="J222" i="7" s="1"/>
  <c r="C222" i="7"/>
  <c r="D222" i="7" s="1"/>
  <c r="B222" i="7"/>
  <c r="A222" i="7"/>
  <c r="R222" i="7" s="1"/>
  <c r="M221" i="7"/>
  <c r="L221" i="7"/>
  <c r="K221" i="7"/>
  <c r="H221" i="7"/>
  <c r="C221" i="7"/>
  <c r="B221" i="7"/>
  <c r="P221" i="7" s="1"/>
  <c r="A221" i="7"/>
  <c r="R221" i="7" s="1"/>
  <c r="N220" i="7"/>
  <c r="M220" i="7"/>
  <c r="L220" i="7"/>
  <c r="Q220" i="7" s="1"/>
  <c r="K220" i="7"/>
  <c r="H220" i="7"/>
  <c r="J220" i="7" s="1"/>
  <c r="C220" i="7"/>
  <c r="G220" i="7" s="1"/>
  <c r="B220" i="7"/>
  <c r="P220" i="7" s="1"/>
  <c r="A220" i="7"/>
  <c r="R220" i="7" s="1"/>
  <c r="P219" i="7"/>
  <c r="M219" i="7"/>
  <c r="L219" i="7"/>
  <c r="Q219" i="7" s="1"/>
  <c r="K219" i="7"/>
  <c r="H219" i="7"/>
  <c r="J219" i="7" s="1"/>
  <c r="F219" i="7"/>
  <c r="C219" i="7"/>
  <c r="D219" i="7" s="1"/>
  <c r="B219" i="7"/>
  <c r="O219" i="7" s="1"/>
  <c r="A219" i="7"/>
  <c r="R219" i="7" s="1"/>
  <c r="P218" i="7"/>
  <c r="M218" i="7"/>
  <c r="L218" i="7"/>
  <c r="Q218" i="7" s="1"/>
  <c r="K218" i="7"/>
  <c r="H218" i="7"/>
  <c r="I218" i="7" s="1"/>
  <c r="G218" i="7"/>
  <c r="F218" i="7"/>
  <c r="C218" i="7"/>
  <c r="E218" i="7" s="1"/>
  <c r="B218" i="7"/>
  <c r="O218" i="7" s="1"/>
  <c r="A218" i="7"/>
  <c r="R218" i="7" s="1"/>
  <c r="P217" i="7"/>
  <c r="O217" i="7"/>
  <c r="M217" i="7"/>
  <c r="L217" i="7"/>
  <c r="Q217" i="7" s="1"/>
  <c r="K217" i="7"/>
  <c r="H217" i="7"/>
  <c r="I217" i="7" s="1"/>
  <c r="C217" i="7"/>
  <c r="G217" i="7" s="1"/>
  <c r="B217" i="7"/>
  <c r="N217" i="7" s="1"/>
  <c r="A217" i="7"/>
  <c r="R217" i="7" s="1"/>
  <c r="M216" i="7"/>
  <c r="L216" i="7"/>
  <c r="K216" i="7"/>
  <c r="H216" i="7"/>
  <c r="I216" i="7" s="1"/>
  <c r="C216" i="7"/>
  <c r="G216" i="7" s="1"/>
  <c r="B216" i="7"/>
  <c r="A216" i="7"/>
  <c r="R216" i="7" s="1"/>
  <c r="P215" i="7"/>
  <c r="M215" i="7"/>
  <c r="L215" i="7"/>
  <c r="K215" i="7"/>
  <c r="H215" i="7"/>
  <c r="C215" i="7"/>
  <c r="E215" i="7" s="1"/>
  <c r="B215" i="7"/>
  <c r="A215" i="7"/>
  <c r="R215" i="7" s="1"/>
  <c r="M214" i="7"/>
  <c r="L214" i="7"/>
  <c r="K214" i="7"/>
  <c r="H214" i="7"/>
  <c r="C214" i="7"/>
  <c r="E214" i="7" s="1"/>
  <c r="B214" i="7"/>
  <c r="O214" i="7" s="1"/>
  <c r="A214" i="7"/>
  <c r="R214" i="7" s="1"/>
  <c r="P213" i="7"/>
  <c r="M213" i="7"/>
  <c r="L213" i="7"/>
  <c r="K213" i="7"/>
  <c r="J213" i="7"/>
  <c r="H213" i="7"/>
  <c r="I213" i="7" s="1"/>
  <c r="C213" i="7"/>
  <c r="E213" i="7" s="1"/>
  <c r="B213" i="7"/>
  <c r="A213" i="7"/>
  <c r="R213" i="7" s="1"/>
  <c r="M212" i="7"/>
  <c r="L212" i="7"/>
  <c r="K212" i="7"/>
  <c r="H212" i="7"/>
  <c r="I212" i="7" s="1"/>
  <c r="C212" i="7"/>
  <c r="G212" i="7" s="1"/>
  <c r="B212" i="7"/>
  <c r="O212" i="7" s="1"/>
  <c r="A212" i="7"/>
  <c r="R212" i="7" s="1"/>
  <c r="M211" i="7"/>
  <c r="L211" i="7"/>
  <c r="K211" i="7"/>
  <c r="J211" i="7"/>
  <c r="H211" i="7"/>
  <c r="I211" i="7" s="1"/>
  <c r="C211" i="7"/>
  <c r="E211" i="7" s="1"/>
  <c r="B211" i="7"/>
  <c r="O211" i="7" s="1"/>
  <c r="A211" i="7"/>
  <c r="R211" i="7" s="1"/>
  <c r="M210" i="7"/>
  <c r="L210" i="7"/>
  <c r="K210" i="7"/>
  <c r="H210" i="7"/>
  <c r="C210" i="7"/>
  <c r="G210" i="7" s="1"/>
  <c r="B210" i="7"/>
  <c r="O210" i="7" s="1"/>
  <c r="A210" i="7"/>
  <c r="R210" i="7" s="1"/>
  <c r="M209" i="7"/>
  <c r="L209" i="7"/>
  <c r="K209" i="7"/>
  <c r="H209" i="7"/>
  <c r="I209" i="7" s="1"/>
  <c r="C209" i="7"/>
  <c r="E209" i="7" s="1"/>
  <c r="B209" i="7"/>
  <c r="N209" i="7" s="1"/>
  <c r="A209" i="7"/>
  <c r="R209" i="7" s="1"/>
  <c r="M208" i="7"/>
  <c r="L208" i="7"/>
  <c r="Q208" i="7" s="1"/>
  <c r="K208" i="7"/>
  <c r="J208" i="7"/>
  <c r="H208" i="7"/>
  <c r="I208" i="7" s="1"/>
  <c r="C208" i="7"/>
  <c r="B208" i="7"/>
  <c r="O208" i="7" s="1"/>
  <c r="A208" i="7"/>
  <c r="R208" i="7" s="1"/>
  <c r="R207" i="7"/>
  <c r="M207" i="7"/>
  <c r="L207" i="7"/>
  <c r="Q207" i="7" s="1"/>
  <c r="K207" i="7"/>
  <c r="H207" i="7"/>
  <c r="I207" i="7" s="1"/>
  <c r="C207" i="7"/>
  <c r="E207" i="7" s="1"/>
  <c r="B207" i="7"/>
  <c r="P207" i="7" s="1"/>
  <c r="A207" i="7"/>
  <c r="M206" i="7"/>
  <c r="L206" i="7"/>
  <c r="K206" i="7"/>
  <c r="H206" i="7"/>
  <c r="J206" i="7" s="1"/>
  <c r="C206" i="7"/>
  <c r="G206" i="7" s="1"/>
  <c r="B206" i="7"/>
  <c r="O206" i="7" s="1"/>
  <c r="A206" i="7"/>
  <c r="R206" i="7" s="1"/>
  <c r="M205" i="7"/>
  <c r="L205" i="7"/>
  <c r="Q205" i="7" s="1"/>
  <c r="K205" i="7"/>
  <c r="H205" i="7"/>
  <c r="I205" i="7" s="1"/>
  <c r="C205" i="7"/>
  <c r="E205" i="7" s="1"/>
  <c r="B205" i="7"/>
  <c r="A205" i="7"/>
  <c r="R205" i="7" s="1"/>
  <c r="P204" i="7"/>
  <c r="M204" i="7"/>
  <c r="L204" i="7"/>
  <c r="K204" i="7"/>
  <c r="H204" i="7"/>
  <c r="J204" i="7" s="1"/>
  <c r="C204" i="7"/>
  <c r="D204" i="7" s="1"/>
  <c r="B204" i="7"/>
  <c r="O204" i="7" s="1"/>
  <c r="A204" i="7"/>
  <c r="R204" i="7" s="1"/>
  <c r="R203" i="7"/>
  <c r="N203" i="7"/>
  <c r="M203" i="7"/>
  <c r="L203" i="7"/>
  <c r="K203" i="7"/>
  <c r="H203" i="7"/>
  <c r="I203" i="7" s="1"/>
  <c r="G203" i="7"/>
  <c r="C203" i="7"/>
  <c r="B203" i="7"/>
  <c r="P203" i="7" s="1"/>
  <c r="A203" i="7"/>
  <c r="M202" i="7"/>
  <c r="L202" i="7"/>
  <c r="K202" i="7"/>
  <c r="H202" i="7"/>
  <c r="I202" i="7" s="1"/>
  <c r="C202" i="7"/>
  <c r="F202" i="7" s="1"/>
  <c r="B202" i="7"/>
  <c r="A202" i="7"/>
  <c r="R202" i="7" s="1"/>
  <c r="R201" i="7"/>
  <c r="M201" i="7"/>
  <c r="L201" i="7"/>
  <c r="Q201" i="7" s="1"/>
  <c r="K201" i="7"/>
  <c r="H201" i="7"/>
  <c r="G201" i="7"/>
  <c r="D201" i="7"/>
  <c r="C201" i="7"/>
  <c r="B201" i="7"/>
  <c r="P201" i="7" s="1"/>
  <c r="A201" i="7"/>
  <c r="M200" i="7"/>
  <c r="L200" i="7"/>
  <c r="K200" i="7"/>
  <c r="H200" i="7"/>
  <c r="J200" i="7" s="1"/>
  <c r="C200" i="7"/>
  <c r="G200" i="7" s="1"/>
  <c r="B200" i="7"/>
  <c r="O200" i="7" s="1"/>
  <c r="A200" i="7"/>
  <c r="R200" i="7" s="1"/>
  <c r="M199" i="7"/>
  <c r="L199" i="7"/>
  <c r="K199" i="7"/>
  <c r="H199" i="7"/>
  <c r="G199" i="7"/>
  <c r="F199" i="7"/>
  <c r="C199" i="7"/>
  <c r="E199" i="7" s="1"/>
  <c r="B199" i="7"/>
  <c r="O199" i="7" s="1"/>
  <c r="A199" i="7"/>
  <c r="R199" i="7" s="1"/>
  <c r="P198" i="7"/>
  <c r="M198" i="7"/>
  <c r="L198" i="7"/>
  <c r="K198" i="7"/>
  <c r="H198" i="7"/>
  <c r="I198" i="7" s="1"/>
  <c r="C198" i="7"/>
  <c r="G198" i="7" s="1"/>
  <c r="B198" i="7"/>
  <c r="O198" i="7" s="1"/>
  <c r="A198" i="7"/>
  <c r="R198" i="7" s="1"/>
  <c r="M197" i="7"/>
  <c r="L197" i="7"/>
  <c r="Q197" i="7" s="1"/>
  <c r="K197" i="7"/>
  <c r="H197" i="7"/>
  <c r="I197" i="7" s="1"/>
  <c r="C197" i="7"/>
  <c r="E197" i="7" s="1"/>
  <c r="B197" i="7"/>
  <c r="N197" i="7" s="1"/>
  <c r="A197" i="7"/>
  <c r="R197" i="7" s="1"/>
  <c r="M196" i="7"/>
  <c r="L196" i="7"/>
  <c r="K196" i="7"/>
  <c r="H196" i="7"/>
  <c r="J196" i="7" s="1"/>
  <c r="C196" i="7"/>
  <c r="G196" i="7" s="1"/>
  <c r="B196" i="7"/>
  <c r="O196" i="7" s="1"/>
  <c r="A196" i="7"/>
  <c r="R196" i="7" s="1"/>
  <c r="M195" i="7"/>
  <c r="L195" i="7"/>
  <c r="K195" i="7"/>
  <c r="H195" i="7"/>
  <c r="I195" i="7" s="1"/>
  <c r="C195" i="7"/>
  <c r="B195" i="7"/>
  <c r="P195" i="7" s="1"/>
  <c r="A195" i="7"/>
  <c r="R195" i="7" s="1"/>
  <c r="P194" i="7"/>
  <c r="M194" i="7"/>
  <c r="L194" i="7"/>
  <c r="Q194" i="7" s="1"/>
  <c r="K194" i="7"/>
  <c r="H194" i="7"/>
  <c r="J194" i="7" s="1"/>
  <c r="F194" i="7"/>
  <c r="C194" i="7"/>
  <c r="D194" i="7" s="1"/>
  <c r="B194" i="7"/>
  <c r="O194" i="7" s="1"/>
  <c r="A194" i="7"/>
  <c r="R194" i="7" s="1"/>
  <c r="R193" i="7"/>
  <c r="M193" i="7"/>
  <c r="L193" i="7"/>
  <c r="Q193" i="7" s="1"/>
  <c r="K193" i="7"/>
  <c r="H193" i="7"/>
  <c r="I193" i="7" s="1"/>
  <c r="C193" i="7"/>
  <c r="E193" i="7" s="1"/>
  <c r="B193" i="7"/>
  <c r="P193" i="7" s="1"/>
  <c r="A193" i="7"/>
  <c r="M192" i="7"/>
  <c r="L192" i="7"/>
  <c r="Q192" i="7" s="1"/>
  <c r="K192" i="7"/>
  <c r="H192" i="7"/>
  <c r="C192" i="7"/>
  <c r="D192" i="7" s="1"/>
  <c r="B192" i="7"/>
  <c r="O192" i="7" s="1"/>
  <c r="A192" i="7"/>
  <c r="R192" i="7" s="1"/>
  <c r="M191" i="7"/>
  <c r="L191" i="7"/>
  <c r="K191" i="7"/>
  <c r="H191" i="7"/>
  <c r="I191" i="7" s="1"/>
  <c r="C191" i="7"/>
  <c r="E191" i="7" s="1"/>
  <c r="B191" i="7"/>
  <c r="O191" i="7" s="1"/>
  <c r="A191" i="7"/>
  <c r="R191" i="7" s="1"/>
  <c r="M190" i="7"/>
  <c r="L190" i="7"/>
  <c r="Q190" i="7" s="1"/>
  <c r="K190" i="7"/>
  <c r="H190" i="7"/>
  <c r="J190" i="7" s="1"/>
  <c r="C190" i="7"/>
  <c r="G190" i="7" s="1"/>
  <c r="B190" i="7"/>
  <c r="O190" i="7" s="1"/>
  <c r="A190" i="7"/>
  <c r="R190" i="7" s="1"/>
  <c r="M189" i="7"/>
  <c r="L189" i="7"/>
  <c r="K189" i="7"/>
  <c r="H189" i="7"/>
  <c r="I189" i="7" s="1"/>
  <c r="C189" i="7"/>
  <c r="B189" i="7"/>
  <c r="A189" i="7"/>
  <c r="R189" i="7" s="1"/>
  <c r="M188" i="7"/>
  <c r="L188" i="7"/>
  <c r="K188" i="7"/>
  <c r="H188" i="7"/>
  <c r="J188" i="7" s="1"/>
  <c r="C188" i="7"/>
  <c r="F188" i="7" s="1"/>
  <c r="B188" i="7"/>
  <c r="A188" i="7"/>
  <c r="R188" i="7" s="1"/>
  <c r="R187" i="7"/>
  <c r="M187" i="7"/>
  <c r="L187" i="7"/>
  <c r="Q187" i="7" s="1"/>
  <c r="K187" i="7"/>
  <c r="H187" i="7"/>
  <c r="I187" i="7" s="1"/>
  <c r="C187" i="7"/>
  <c r="E187" i="7" s="1"/>
  <c r="B187" i="7"/>
  <c r="P187" i="7" s="1"/>
  <c r="A187" i="7"/>
  <c r="P186" i="7"/>
  <c r="M186" i="7"/>
  <c r="L186" i="7"/>
  <c r="Q186" i="7" s="1"/>
  <c r="K186" i="7"/>
  <c r="H186" i="7"/>
  <c r="J186" i="7" s="1"/>
  <c r="G186" i="7"/>
  <c r="F186" i="7"/>
  <c r="E186" i="7"/>
  <c r="C186" i="7"/>
  <c r="D186" i="7" s="1"/>
  <c r="B186" i="7"/>
  <c r="O186" i="7" s="1"/>
  <c r="A186" i="7"/>
  <c r="R186" i="7" s="1"/>
  <c r="M185" i="7"/>
  <c r="L185" i="7"/>
  <c r="Q185" i="7" s="1"/>
  <c r="K185" i="7"/>
  <c r="H185" i="7"/>
  <c r="I185" i="7" s="1"/>
  <c r="C185" i="7"/>
  <c r="E185" i="7" s="1"/>
  <c r="B185" i="7"/>
  <c r="P185" i="7" s="1"/>
  <c r="A185" i="7"/>
  <c r="R185" i="7" s="1"/>
  <c r="Q184" i="7"/>
  <c r="M184" i="7"/>
  <c r="L184" i="7"/>
  <c r="K184" i="7"/>
  <c r="H184" i="7"/>
  <c r="J184" i="7" s="1"/>
  <c r="C184" i="7"/>
  <c r="D184" i="7" s="1"/>
  <c r="B184" i="7"/>
  <c r="A184" i="7"/>
  <c r="R184" i="7" s="1"/>
  <c r="M183" i="7"/>
  <c r="L183" i="7"/>
  <c r="K183" i="7"/>
  <c r="H183" i="7"/>
  <c r="I183" i="7" s="1"/>
  <c r="C183" i="7"/>
  <c r="E183" i="7" s="1"/>
  <c r="B183" i="7"/>
  <c r="A183" i="7"/>
  <c r="R183" i="7" s="1"/>
  <c r="M182" i="7"/>
  <c r="L182" i="7"/>
  <c r="Q182" i="7" s="1"/>
  <c r="K182" i="7"/>
  <c r="H182" i="7"/>
  <c r="J182" i="7" s="1"/>
  <c r="C182" i="7"/>
  <c r="B182" i="7"/>
  <c r="O182" i="7" s="1"/>
  <c r="A182" i="7"/>
  <c r="R182" i="7" s="1"/>
  <c r="M181" i="7"/>
  <c r="L181" i="7"/>
  <c r="Q181" i="7" s="1"/>
  <c r="K181" i="7"/>
  <c r="H181" i="7"/>
  <c r="I181" i="7" s="1"/>
  <c r="C181" i="7"/>
  <c r="E181" i="7" s="1"/>
  <c r="B181" i="7"/>
  <c r="P181" i="7" s="1"/>
  <c r="A181" i="7"/>
  <c r="R181" i="7" s="1"/>
  <c r="M180" i="7"/>
  <c r="L180" i="7"/>
  <c r="Q180" i="7" s="1"/>
  <c r="K180" i="7"/>
  <c r="H180" i="7"/>
  <c r="J180" i="7" s="1"/>
  <c r="G180" i="7"/>
  <c r="E180" i="7"/>
  <c r="D180" i="7"/>
  <c r="C180" i="7"/>
  <c r="F180" i="7" s="1"/>
  <c r="B180" i="7"/>
  <c r="O180" i="7" s="1"/>
  <c r="A180" i="7"/>
  <c r="R180" i="7" s="1"/>
  <c r="R179" i="7"/>
  <c r="O179" i="7"/>
  <c r="M179" i="7"/>
  <c r="L179" i="7"/>
  <c r="Q179" i="7" s="1"/>
  <c r="K179" i="7"/>
  <c r="H179" i="7"/>
  <c r="I179" i="7" s="1"/>
  <c r="C179" i="7"/>
  <c r="E179" i="7" s="1"/>
  <c r="B179" i="7"/>
  <c r="P179" i="7" s="1"/>
  <c r="A179" i="7"/>
  <c r="M178" i="7"/>
  <c r="L178" i="7"/>
  <c r="Q178" i="7" s="1"/>
  <c r="K178" i="7"/>
  <c r="H178" i="7"/>
  <c r="J178" i="7" s="1"/>
  <c r="C178" i="7"/>
  <c r="D178" i="7" s="1"/>
  <c r="B178" i="7"/>
  <c r="O178" i="7" s="1"/>
  <c r="A178" i="7"/>
  <c r="R178" i="7" s="1"/>
  <c r="M177" i="7"/>
  <c r="L177" i="7"/>
  <c r="K177" i="7"/>
  <c r="H177" i="7"/>
  <c r="I177" i="7" s="1"/>
  <c r="C177" i="7"/>
  <c r="E177" i="7" s="1"/>
  <c r="B177" i="7"/>
  <c r="P177" i="7" s="1"/>
  <c r="A177" i="7"/>
  <c r="R177" i="7" s="1"/>
  <c r="M176" i="7"/>
  <c r="L176" i="7"/>
  <c r="Q176" i="7" s="1"/>
  <c r="K176" i="7"/>
  <c r="H176" i="7"/>
  <c r="J176" i="7" s="1"/>
  <c r="G176" i="7"/>
  <c r="E176" i="7"/>
  <c r="C176" i="7"/>
  <c r="F176" i="7" s="1"/>
  <c r="B176" i="7"/>
  <c r="O176" i="7" s="1"/>
  <c r="A176" i="7"/>
  <c r="R176" i="7" s="1"/>
  <c r="M175" i="7"/>
  <c r="L175" i="7"/>
  <c r="K175" i="7"/>
  <c r="H175" i="7"/>
  <c r="I175" i="7" s="1"/>
  <c r="C175" i="7"/>
  <c r="E175" i="7" s="1"/>
  <c r="B175" i="7"/>
  <c r="P175" i="7" s="1"/>
  <c r="A175" i="7"/>
  <c r="R175" i="7" s="1"/>
  <c r="M174" i="7"/>
  <c r="L174" i="7"/>
  <c r="K174" i="7"/>
  <c r="H174" i="7"/>
  <c r="J174" i="7" s="1"/>
  <c r="C174" i="7"/>
  <c r="D174" i="7" s="1"/>
  <c r="B174" i="7"/>
  <c r="O174" i="7" s="1"/>
  <c r="A174" i="7"/>
  <c r="R174" i="7" s="1"/>
  <c r="R173" i="7"/>
  <c r="O173" i="7"/>
  <c r="M173" i="7"/>
  <c r="L173" i="7"/>
  <c r="K173" i="7"/>
  <c r="H173" i="7"/>
  <c r="I173" i="7" s="1"/>
  <c r="C173" i="7"/>
  <c r="E173" i="7" s="1"/>
  <c r="B173" i="7"/>
  <c r="P173" i="7" s="1"/>
  <c r="A173" i="7"/>
  <c r="P172" i="7"/>
  <c r="M172" i="7"/>
  <c r="L172" i="7"/>
  <c r="Q172" i="7" s="1"/>
  <c r="K172" i="7"/>
  <c r="H172" i="7"/>
  <c r="J172" i="7" s="1"/>
  <c r="G172" i="7"/>
  <c r="F172" i="7"/>
  <c r="E172" i="7"/>
  <c r="D172" i="7"/>
  <c r="C172" i="7"/>
  <c r="B172" i="7"/>
  <c r="O172" i="7" s="1"/>
  <c r="A172" i="7"/>
  <c r="R172" i="7" s="1"/>
  <c r="R171" i="7"/>
  <c r="O171" i="7"/>
  <c r="N171" i="7"/>
  <c r="M171" i="7"/>
  <c r="L171" i="7"/>
  <c r="K171" i="7"/>
  <c r="H171" i="7"/>
  <c r="I171" i="7" s="1"/>
  <c r="C171" i="7"/>
  <c r="E171" i="7" s="1"/>
  <c r="B171" i="7"/>
  <c r="P171" i="7" s="1"/>
  <c r="A171" i="7"/>
  <c r="R170" i="7"/>
  <c r="M170" i="7"/>
  <c r="L170" i="7"/>
  <c r="Q170" i="7" s="1"/>
  <c r="K170" i="7"/>
  <c r="H170" i="7"/>
  <c r="J170" i="7" s="1"/>
  <c r="C170" i="7"/>
  <c r="G170" i="7" s="1"/>
  <c r="B170" i="7"/>
  <c r="O170" i="7" s="1"/>
  <c r="A170" i="7"/>
  <c r="M169" i="7"/>
  <c r="L169" i="7"/>
  <c r="K169" i="7"/>
  <c r="H169" i="7"/>
  <c r="I169" i="7" s="1"/>
  <c r="C169" i="7"/>
  <c r="E169" i="7" s="1"/>
  <c r="B169" i="7"/>
  <c r="P169" i="7" s="1"/>
  <c r="A169" i="7"/>
  <c r="R169" i="7" s="1"/>
  <c r="M168" i="7"/>
  <c r="L168" i="7"/>
  <c r="Q168" i="7" s="1"/>
  <c r="K168" i="7"/>
  <c r="H168" i="7"/>
  <c r="J168" i="7" s="1"/>
  <c r="C168" i="7"/>
  <c r="B168" i="7"/>
  <c r="O168" i="7" s="1"/>
  <c r="A168" i="7"/>
  <c r="R168" i="7" s="1"/>
  <c r="M167" i="7"/>
  <c r="L167" i="7"/>
  <c r="K167" i="7"/>
  <c r="H167" i="7"/>
  <c r="I167" i="7" s="1"/>
  <c r="C167" i="7"/>
  <c r="E167" i="7" s="1"/>
  <c r="B167" i="7"/>
  <c r="P167" i="7" s="1"/>
  <c r="A167" i="7"/>
  <c r="R167" i="7" s="1"/>
  <c r="M166" i="7"/>
  <c r="L166" i="7"/>
  <c r="K166" i="7"/>
  <c r="H166" i="7"/>
  <c r="J166" i="7" s="1"/>
  <c r="C166" i="7"/>
  <c r="G166" i="7" s="1"/>
  <c r="B166" i="7"/>
  <c r="A166" i="7"/>
  <c r="R166" i="7" s="1"/>
  <c r="O165" i="7"/>
  <c r="N165" i="7"/>
  <c r="M165" i="7"/>
  <c r="L165" i="7"/>
  <c r="K165" i="7"/>
  <c r="H165" i="7"/>
  <c r="I165" i="7" s="1"/>
  <c r="C165" i="7"/>
  <c r="E165" i="7" s="1"/>
  <c r="B165" i="7"/>
  <c r="P165" i="7" s="1"/>
  <c r="A165" i="7"/>
  <c r="R165" i="7" s="1"/>
  <c r="M164" i="7"/>
  <c r="L164" i="7"/>
  <c r="Q164" i="7" s="1"/>
  <c r="K164" i="7"/>
  <c r="H164" i="7"/>
  <c r="J164" i="7" s="1"/>
  <c r="C164" i="7"/>
  <c r="G164" i="7" s="1"/>
  <c r="B164" i="7"/>
  <c r="O164" i="7" s="1"/>
  <c r="A164" i="7"/>
  <c r="R164" i="7" s="1"/>
  <c r="M163" i="7"/>
  <c r="L163" i="7"/>
  <c r="K163" i="7"/>
  <c r="H163" i="7"/>
  <c r="I163" i="7" s="1"/>
  <c r="C163" i="7"/>
  <c r="E163" i="7" s="1"/>
  <c r="B163" i="7"/>
  <c r="P163" i="7" s="1"/>
  <c r="A163" i="7"/>
  <c r="R163" i="7" s="1"/>
  <c r="M162" i="7"/>
  <c r="L162" i="7"/>
  <c r="K162" i="7"/>
  <c r="H162" i="7"/>
  <c r="J162" i="7" s="1"/>
  <c r="C162" i="7"/>
  <c r="D162" i="7" s="1"/>
  <c r="B162" i="7"/>
  <c r="O162" i="7" s="1"/>
  <c r="A162" i="7"/>
  <c r="R162" i="7" s="1"/>
  <c r="M161" i="7"/>
  <c r="L161" i="7"/>
  <c r="K161" i="7"/>
  <c r="H161" i="7"/>
  <c r="I161" i="7" s="1"/>
  <c r="C161" i="7"/>
  <c r="E161" i="7" s="1"/>
  <c r="B161" i="7"/>
  <c r="P161" i="7" s="1"/>
  <c r="A161" i="7"/>
  <c r="R161" i="7" s="1"/>
  <c r="M160" i="7"/>
  <c r="Q160" i="7" s="1"/>
  <c r="L160" i="7"/>
  <c r="K160" i="7"/>
  <c r="H160" i="7"/>
  <c r="J160" i="7" s="1"/>
  <c r="C160" i="7"/>
  <c r="D160" i="7" s="1"/>
  <c r="B160" i="7"/>
  <c r="A160" i="7"/>
  <c r="R160" i="7" s="1"/>
  <c r="R159" i="7"/>
  <c r="O159" i="7"/>
  <c r="N159" i="7"/>
  <c r="M159" i="7"/>
  <c r="L159" i="7"/>
  <c r="K159" i="7"/>
  <c r="H159" i="7"/>
  <c r="I159" i="7" s="1"/>
  <c r="C159" i="7"/>
  <c r="E159" i="7" s="1"/>
  <c r="B159" i="7"/>
  <c r="P159" i="7" s="1"/>
  <c r="A159" i="7"/>
  <c r="M158" i="7"/>
  <c r="L158" i="7"/>
  <c r="Q158" i="7" s="1"/>
  <c r="K158" i="7"/>
  <c r="H158" i="7"/>
  <c r="J158" i="7" s="1"/>
  <c r="G158" i="7"/>
  <c r="E158" i="7"/>
  <c r="C158" i="7"/>
  <c r="F158" i="7" s="1"/>
  <c r="B158" i="7"/>
  <c r="O158" i="7" s="1"/>
  <c r="A158" i="7"/>
  <c r="R158" i="7" s="1"/>
  <c r="R157" i="7"/>
  <c r="M157" i="7"/>
  <c r="L157" i="7"/>
  <c r="K157" i="7"/>
  <c r="H157" i="7"/>
  <c r="I157" i="7" s="1"/>
  <c r="C157" i="7"/>
  <c r="E157" i="7" s="1"/>
  <c r="B157" i="7"/>
  <c r="P157" i="7" s="1"/>
  <c r="A157" i="7"/>
  <c r="M156" i="7"/>
  <c r="L156" i="7"/>
  <c r="K156" i="7"/>
  <c r="H156" i="7"/>
  <c r="J156" i="7" s="1"/>
  <c r="C156" i="7"/>
  <c r="F156" i="7" s="1"/>
  <c r="B156" i="7"/>
  <c r="O156" i="7" s="1"/>
  <c r="A156" i="7"/>
  <c r="R156" i="7" s="1"/>
  <c r="M155" i="7"/>
  <c r="L155" i="7"/>
  <c r="K155" i="7"/>
  <c r="H155" i="7"/>
  <c r="I155" i="7" s="1"/>
  <c r="C155" i="7"/>
  <c r="B155" i="7"/>
  <c r="A155" i="7"/>
  <c r="R155" i="7" s="1"/>
  <c r="M154" i="7"/>
  <c r="L154" i="7"/>
  <c r="Q154" i="7" s="1"/>
  <c r="K154" i="7"/>
  <c r="H154" i="7"/>
  <c r="C154" i="7"/>
  <c r="B154" i="7"/>
  <c r="A154" i="7"/>
  <c r="R154" i="7" s="1"/>
  <c r="M153" i="7"/>
  <c r="L153" i="7"/>
  <c r="K153" i="7"/>
  <c r="H153" i="7"/>
  <c r="I153" i="7" s="1"/>
  <c r="C153" i="7"/>
  <c r="E153" i="7" s="1"/>
  <c r="B153" i="7"/>
  <c r="A153" i="7"/>
  <c r="R153" i="7" s="1"/>
  <c r="R152" i="7"/>
  <c r="M152" i="7"/>
  <c r="L152" i="7"/>
  <c r="Q152" i="7" s="1"/>
  <c r="K152" i="7"/>
  <c r="H152" i="7"/>
  <c r="C152" i="7"/>
  <c r="F152" i="7" s="1"/>
  <c r="B152" i="7"/>
  <c r="O152" i="7" s="1"/>
  <c r="A152" i="7"/>
  <c r="R151" i="7"/>
  <c r="M151" i="7"/>
  <c r="L151" i="7"/>
  <c r="K151" i="7"/>
  <c r="H151" i="7"/>
  <c r="C151" i="7"/>
  <c r="B151" i="7"/>
  <c r="P151" i="7" s="1"/>
  <c r="A151" i="7"/>
  <c r="M150" i="7"/>
  <c r="L150" i="7"/>
  <c r="Q150" i="7" s="1"/>
  <c r="K150" i="7"/>
  <c r="H150" i="7"/>
  <c r="C150" i="7"/>
  <c r="D150" i="7" s="1"/>
  <c r="B150" i="7"/>
  <c r="O150" i="7" s="1"/>
  <c r="A150" i="7"/>
  <c r="R150" i="7" s="1"/>
  <c r="M149" i="7"/>
  <c r="L149" i="7"/>
  <c r="K149" i="7"/>
  <c r="H149" i="7"/>
  <c r="C149" i="7"/>
  <c r="B149" i="7"/>
  <c r="A149" i="7"/>
  <c r="R149" i="7" s="1"/>
  <c r="M148" i="7"/>
  <c r="L148" i="7"/>
  <c r="K148" i="7"/>
  <c r="H148" i="7"/>
  <c r="C148" i="7"/>
  <c r="D148" i="7" s="1"/>
  <c r="B148" i="7"/>
  <c r="O148" i="7" s="1"/>
  <c r="A148" i="7"/>
  <c r="R148" i="7" s="1"/>
  <c r="M147" i="7"/>
  <c r="L147" i="7"/>
  <c r="K147" i="7"/>
  <c r="H147" i="7"/>
  <c r="C147" i="7"/>
  <c r="B147" i="7"/>
  <c r="A147" i="7"/>
  <c r="R147" i="7" s="1"/>
  <c r="R146" i="7"/>
  <c r="M146" i="7"/>
  <c r="L146" i="7"/>
  <c r="Q146" i="7" s="1"/>
  <c r="K146" i="7"/>
  <c r="H146" i="7"/>
  <c r="C146" i="7"/>
  <c r="B146" i="7"/>
  <c r="O146" i="7" s="1"/>
  <c r="A146" i="7"/>
  <c r="M145" i="7"/>
  <c r="L145" i="7"/>
  <c r="K145" i="7"/>
  <c r="H145" i="7"/>
  <c r="C145" i="7"/>
  <c r="B145" i="7"/>
  <c r="P145" i="7" s="1"/>
  <c r="A145" i="7"/>
  <c r="R145" i="7" s="1"/>
  <c r="M144" i="7"/>
  <c r="L144" i="7"/>
  <c r="K144" i="7"/>
  <c r="H144" i="7"/>
  <c r="F144" i="7"/>
  <c r="C144" i="7"/>
  <c r="D144" i="7" s="1"/>
  <c r="B144" i="7"/>
  <c r="O144" i="7" s="1"/>
  <c r="A144" i="7"/>
  <c r="R144" i="7" s="1"/>
  <c r="R143" i="7"/>
  <c r="O143" i="7"/>
  <c r="M143" i="7"/>
  <c r="L143" i="7"/>
  <c r="K143" i="7"/>
  <c r="H143" i="7"/>
  <c r="C143" i="7"/>
  <c r="B143" i="7"/>
  <c r="P143" i="7" s="1"/>
  <c r="A143" i="7"/>
  <c r="M142" i="7"/>
  <c r="L142" i="7"/>
  <c r="Q142" i="7" s="1"/>
  <c r="K142" i="7"/>
  <c r="H142" i="7"/>
  <c r="G142" i="7"/>
  <c r="F142" i="7"/>
  <c r="E142" i="7"/>
  <c r="D142" i="7"/>
  <c r="C142" i="7"/>
  <c r="B142" i="7"/>
  <c r="O142" i="7" s="1"/>
  <c r="A142" i="7"/>
  <c r="R142" i="7" s="1"/>
  <c r="M141" i="7"/>
  <c r="L141" i="7"/>
  <c r="K141" i="7"/>
  <c r="H141" i="7"/>
  <c r="C141" i="7"/>
  <c r="B141" i="7"/>
  <c r="A141" i="7"/>
  <c r="R141" i="7" s="1"/>
  <c r="R140" i="7"/>
  <c r="M140" i="7"/>
  <c r="L140" i="7"/>
  <c r="K140" i="7"/>
  <c r="H140" i="7"/>
  <c r="C140" i="7"/>
  <c r="B140" i="7"/>
  <c r="O140" i="7" s="1"/>
  <c r="A140" i="7"/>
  <c r="M139" i="7"/>
  <c r="L139" i="7"/>
  <c r="K139" i="7"/>
  <c r="H139" i="7"/>
  <c r="I139" i="7" s="1"/>
  <c r="C139" i="7"/>
  <c r="B139" i="7"/>
  <c r="P139" i="7" s="1"/>
  <c r="A139" i="7"/>
  <c r="R139" i="7" s="1"/>
  <c r="M138" i="7"/>
  <c r="L138" i="7"/>
  <c r="K138" i="7"/>
  <c r="H138" i="7"/>
  <c r="C138" i="7"/>
  <c r="G138" i="7" s="1"/>
  <c r="B138" i="7"/>
  <c r="O138" i="7" s="1"/>
  <c r="A138" i="7"/>
  <c r="R138" i="7" s="1"/>
  <c r="R137" i="7"/>
  <c r="O137" i="7"/>
  <c r="M137" i="7"/>
  <c r="L137" i="7"/>
  <c r="K137" i="7"/>
  <c r="H137" i="7"/>
  <c r="C137" i="7"/>
  <c r="B137" i="7"/>
  <c r="P137" i="7" s="1"/>
  <c r="A137" i="7"/>
  <c r="P136" i="7"/>
  <c r="M136" i="7"/>
  <c r="L136" i="7"/>
  <c r="Q136" i="7" s="1"/>
  <c r="K136" i="7"/>
  <c r="H136" i="7"/>
  <c r="J136" i="7" s="1"/>
  <c r="G136" i="7"/>
  <c r="F136" i="7"/>
  <c r="E136" i="7"/>
  <c r="C136" i="7"/>
  <c r="D136" i="7" s="1"/>
  <c r="B136" i="7"/>
  <c r="O136" i="7" s="1"/>
  <c r="A136" i="7"/>
  <c r="R136" i="7" s="1"/>
  <c r="R135" i="7"/>
  <c r="O135" i="7"/>
  <c r="N135" i="7"/>
  <c r="M135" i="7"/>
  <c r="L135" i="7"/>
  <c r="K135" i="7"/>
  <c r="H135" i="7"/>
  <c r="C135" i="7"/>
  <c r="B135" i="7"/>
  <c r="P135" i="7" s="1"/>
  <c r="A135" i="7"/>
  <c r="M134" i="7"/>
  <c r="L134" i="7"/>
  <c r="Q134" i="7" s="1"/>
  <c r="K134" i="7"/>
  <c r="H134" i="7"/>
  <c r="C134" i="7"/>
  <c r="G134" i="7" s="1"/>
  <c r="B134" i="7"/>
  <c r="O134" i="7" s="1"/>
  <c r="A134" i="7"/>
  <c r="R134" i="7" s="1"/>
  <c r="M133" i="7"/>
  <c r="L133" i="7"/>
  <c r="K133" i="7"/>
  <c r="H133" i="7"/>
  <c r="I133" i="7" s="1"/>
  <c r="C133" i="7"/>
  <c r="B133" i="7"/>
  <c r="P133" i="7" s="1"/>
  <c r="A133" i="7"/>
  <c r="R133" i="7" s="1"/>
  <c r="M132" i="7"/>
  <c r="L132" i="7"/>
  <c r="K132" i="7"/>
  <c r="H132" i="7"/>
  <c r="C132" i="7"/>
  <c r="B132" i="7"/>
  <c r="O132" i="7" s="1"/>
  <c r="A132" i="7"/>
  <c r="R132" i="7" s="1"/>
  <c r="M131" i="7"/>
  <c r="L131" i="7"/>
  <c r="K131" i="7"/>
  <c r="H131" i="7"/>
  <c r="C131" i="7"/>
  <c r="B131" i="7"/>
  <c r="A131" i="7"/>
  <c r="R131" i="7" s="1"/>
  <c r="Q130" i="7"/>
  <c r="M130" i="7"/>
  <c r="L130" i="7"/>
  <c r="K130" i="7"/>
  <c r="H130" i="7"/>
  <c r="J130" i="7" s="1"/>
  <c r="C130" i="7"/>
  <c r="B130" i="7"/>
  <c r="O130" i="7" s="1"/>
  <c r="A130" i="7"/>
  <c r="R130" i="7" s="1"/>
  <c r="M129" i="7"/>
  <c r="L129" i="7"/>
  <c r="K129" i="7"/>
  <c r="H129" i="7"/>
  <c r="C129" i="7"/>
  <c r="B129" i="7"/>
  <c r="A129" i="7"/>
  <c r="R129" i="7" s="1"/>
  <c r="M128" i="7"/>
  <c r="L128" i="7"/>
  <c r="Q128" i="7" s="1"/>
  <c r="K128" i="7"/>
  <c r="H128" i="7"/>
  <c r="C128" i="7"/>
  <c r="B128" i="7"/>
  <c r="O128" i="7" s="1"/>
  <c r="A128" i="7"/>
  <c r="R128" i="7" s="1"/>
  <c r="R127" i="7"/>
  <c r="M127" i="7"/>
  <c r="L127" i="7"/>
  <c r="K127" i="7"/>
  <c r="H127" i="7"/>
  <c r="I127" i="7" s="1"/>
  <c r="C127" i="7"/>
  <c r="B127" i="7"/>
  <c r="P127" i="7" s="1"/>
  <c r="A127" i="7"/>
  <c r="M126" i="7"/>
  <c r="L126" i="7"/>
  <c r="Q126" i="7" s="1"/>
  <c r="K126" i="7"/>
  <c r="H126" i="7"/>
  <c r="C126" i="7"/>
  <c r="G126" i="7" s="1"/>
  <c r="B126" i="7"/>
  <c r="O126" i="7" s="1"/>
  <c r="A126" i="7"/>
  <c r="R126" i="7" s="1"/>
  <c r="M125" i="7"/>
  <c r="L125" i="7"/>
  <c r="K125" i="7"/>
  <c r="H125" i="7"/>
  <c r="C125" i="7"/>
  <c r="B125" i="7"/>
  <c r="A125" i="7"/>
  <c r="R125" i="7" s="1"/>
  <c r="P124" i="7"/>
  <c r="M124" i="7"/>
  <c r="L124" i="7"/>
  <c r="Q124" i="7" s="1"/>
  <c r="K124" i="7"/>
  <c r="H124" i="7"/>
  <c r="J124" i="7" s="1"/>
  <c r="C124" i="7"/>
  <c r="G124" i="7" s="1"/>
  <c r="B124" i="7"/>
  <c r="O124" i="7" s="1"/>
  <c r="A124" i="7"/>
  <c r="R124" i="7" s="1"/>
  <c r="R123" i="7"/>
  <c r="M123" i="7"/>
  <c r="L123" i="7"/>
  <c r="K123" i="7"/>
  <c r="H123" i="7"/>
  <c r="C123" i="7"/>
  <c r="B123" i="7"/>
  <c r="A123" i="7"/>
  <c r="M122" i="7"/>
  <c r="L122" i="7"/>
  <c r="Q122" i="7" s="1"/>
  <c r="K122" i="7"/>
  <c r="H122" i="7"/>
  <c r="C122" i="7"/>
  <c r="B122" i="7"/>
  <c r="O122" i="7" s="1"/>
  <c r="A122" i="7"/>
  <c r="R122" i="7" s="1"/>
  <c r="R121" i="7"/>
  <c r="M121" i="7"/>
  <c r="L121" i="7"/>
  <c r="K121" i="7"/>
  <c r="H121" i="7"/>
  <c r="I121" i="7" s="1"/>
  <c r="C121" i="7"/>
  <c r="B121" i="7"/>
  <c r="P121" i="7" s="1"/>
  <c r="A121" i="7"/>
  <c r="M120" i="7"/>
  <c r="L120" i="7"/>
  <c r="Q120" i="7" s="1"/>
  <c r="K120" i="7"/>
  <c r="H120" i="7"/>
  <c r="C120" i="7"/>
  <c r="D120" i="7" s="1"/>
  <c r="B120" i="7"/>
  <c r="O120" i="7" s="1"/>
  <c r="A120" i="7"/>
  <c r="R120" i="7" s="1"/>
  <c r="M119" i="7"/>
  <c r="L119" i="7"/>
  <c r="K119" i="7"/>
  <c r="H119" i="7"/>
  <c r="C119" i="7"/>
  <c r="B119" i="7"/>
  <c r="A119" i="7"/>
  <c r="R119" i="7" s="1"/>
  <c r="M118" i="7"/>
  <c r="L118" i="7"/>
  <c r="Q118" i="7" s="1"/>
  <c r="K118" i="7"/>
  <c r="H118" i="7"/>
  <c r="J118" i="7" s="1"/>
  <c r="C118" i="7"/>
  <c r="D118" i="7" s="1"/>
  <c r="B118" i="7"/>
  <c r="O118" i="7" s="1"/>
  <c r="A118" i="7"/>
  <c r="R118" i="7" s="1"/>
  <c r="M117" i="7"/>
  <c r="L117" i="7"/>
  <c r="K117" i="7"/>
  <c r="H117" i="7"/>
  <c r="C117" i="7"/>
  <c r="B117" i="7"/>
  <c r="A117" i="7"/>
  <c r="R117" i="7" s="1"/>
  <c r="Q116" i="7"/>
  <c r="M116" i="7"/>
  <c r="L116" i="7"/>
  <c r="K116" i="7"/>
  <c r="H116" i="7"/>
  <c r="C116" i="7"/>
  <c r="B116" i="7"/>
  <c r="O116" i="7" s="1"/>
  <c r="A116" i="7"/>
  <c r="R116" i="7" s="1"/>
  <c r="R115" i="7"/>
  <c r="M115" i="7"/>
  <c r="L115" i="7"/>
  <c r="K115" i="7"/>
  <c r="H115" i="7"/>
  <c r="I115" i="7" s="1"/>
  <c r="C115" i="7"/>
  <c r="B115" i="7"/>
  <c r="P115" i="7" s="1"/>
  <c r="A115" i="7"/>
  <c r="M114" i="7"/>
  <c r="L114" i="7"/>
  <c r="K114" i="7"/>
  <c r="H114" i="7"/>
  <c r="C114" i="7"/>
  <c r="G114" i="7" s="1"/>
  <c r="B114" i="7"/>
  <c r="O114" i="7" s="1"/>
  <c r="A114" i="7"/>
  <c r="R114" i="7" s="1"/>
  <c r="M113" i="7"/>
  <c r="L113" i="7"/>
  <c r="K113" i="7"/>
  <c r="H113" i="7"/>
  <c r="C113" i="7"/>
  <c r="B113" i="7"/>
  <c r="P113" i="7" s="1"/>
  <c r="A113" i="7"/>
  <c r="R113" i="7" s="1"/>
  <c r="P112" i="7"/>
  <c r="M112" i="7"/>
  <c r="L112" i="7"/>
  <c r="Q112" i="7" s="1"/>
  <c r="K112" i="7"/>
  <c r="H112" i="7"/>
  <c r="J112" i="7" s="1"/>
  <c r="C112" i="7"/>
  <c r="B112" i="7"/>
  <c r="O112" i="7" s="1"/>
  <c r="A112" i="7"/>
  <c r="R112" i="7" s="1"/>
  <c r="R111" i="7"/>
  <c r="O111" i="7"/>
  <c r="N111" i="7"/>
  <c r="M111" i="7"/>
  <c r="L111" i="7"/>
  <c r="K111" i="7"/>
  <c r="H111" i="7"/>
  <c r="C111" i="7"/>
  <c r="B111" i="7"/>
  <c r="P111" i="7" s="1"/>
  <c r="A111" i="7"/>
  <c r="M110" i="7"/>
  <c r="L110" i="7"/>
  <c r="Q110" i="7" s="1"/>
  <c r="K110" i="7"/>
  <c r="H110" i="7"/>
  <c r="G110" i="7"/>
  <c r="F110" i="7"/>
  <c r="E110" i="7"/>
  <c r="C110" i="7"/>
  <c r="D110" i="7" s="1"/>
  <c r="B110" i="7"/>
  <c r="O110" i="7" s="1"/>
  <c r="A110" i="7"/>
  <c r="R110" i="7" s="1"/>
  <c r="M109" i="7"/>
  <c r="L109" i="7"/>
  <c r="K109" i="7"/>
  <c r="H109" i="7"/>
  <c r="I109" i="7" s="1"/>
  <c r="C109" i="7"/>
  <c r="B109" i="7"/>
  <c r="P109" i="7" s="1"/>
  <c r="A109" i="7"/>
  <c r="R109" i="7" s="1"/>
  <c r="M108" i="7"/>
  <c r="L108" i="7"/>
  <c r="K108" i="7"/>
  <c r="H108" i="7"/>
  <c r="C108" i="7"/>
  <c r="D108" i="7" s="1"/>
  <c r="B108" i="7"/>
  <c r="O108" i="7" s="1"/>
  <c r="A108" i="7"/>
  <c r="R108" i="7" s="1"/>
  <c r="M107" i="7"/>
  <c r="L107" i="7"/>
  <c r="K107" i="7"/>
  <c r="H107" i="7"/>
  <c r="C107" i="7"/>
  <c r="B107" i="7"/>
  <c r="A107" i="7"/>
  <c r="R107" i="7" s="1"/>
  <c r="M106" i="7"/>
  <c r="L106" i="7"/>
  <c r="Q106" i="7" s="1"/>
  <c r="K106" i="7"/>
  <c r="H106" i="7"/>
  <c r="J106" i="7" s="1"/>
  <c r="C106" i="7"/>
  <c r="B106" i="7"/>
  <c r="O106" i="7" s="1"/>
  <c r="A106" i="7"/>
  <c r="R106" i="7" s="1"/>
  <c r="M105" i="7"/>
  <c r="L105" i="7"/>
  <c r="K105" i="7"/>
  <c r="H105" i="7"/>
  <c r="C105" i="7"/>
  <c r="G105" i="7" s="1"/>
  <c r="B105" i="7"/>
  <c r="A105" i="7"/>
  <c r="R105" i="7" s="1"/>
  <c r="R104" i="7"/>
  <c r="M104" i="7"/>
  <c r="L104" i="7"/>
  <c r="K104" i="7"/>
  <c r="H104" i="7"/>
  <c r="C104" i="7"/>
  <c r="D104" i="7" s="1"/>
  <c r="B104" i="7"/>
  <c r="O104" i="7" s="1"/>
  <c r="A104" i="7"/>
  <c r="M103" i="7"/>
  <c r="L103" i="7"/>
  <c r="K103" i="7"/>
  <c r="H103" i="7"/>
  <c r="I103" i="7" s="1"/>
  <c r="C103" i="7"/>
  <c r="F103" i="7" s="1"/>
  <c r="B103" i="7"/>
  <c r="A103" i="7"/>
  <c r="R103" i="7" s="1"/>
  <c r="M102" i="7"/>
  <c r="L102" i="7"/>
  <c r="Q102" i="7" s="1"/>
  <c r="K102" i="7"/>
  <c r="J102" i="7"/>
  <c r="H102" i="7"/>
  <c r="I102" i="7" s="1"/>
  <c r="C102" i="7"/>
  <c r="D102" i="7" s="1"/>
  <c r="B102" i="7"/>
  <c r="N102" i="7" s="1"/>
  <c r="A102" i="7"/>
  <c r="R102" i="7" s="1"/>
  <c r="R101" i="7"/>
  <c r="O101" i="7"/>
  <c r="M101" i="7"/>
  <c r="L101" i="7"/>
  <c r="K101" i="7"/>
  <c r="H101" i="7"/>
  <c r="J101" i="7" s="1"/>
  <c r="C101" i="7"/>
  <c r="D101" i="7" s="1"/>
  <c r="B101" i="7"/>
  <c r="A101" i="7"/>
  <c r="M100" i="7"/>
  <c r="L100" i="7"/>
  <c r="K100" i="7"/>
  <c r="H100" i="7"/>
  <c r="I100" i="7" s="1"/>
  <c r="C100" i="7"/>
  <c r="D100" i="7" s="1"/>
  <c r="B100" i="7"/>
  <c r="N100" i="7" s="1"/>
  <c r="A100" i="7"/>
  <c r="R100" i="7" s="1"/>
  <c r="P99" i="7"/>
  <c r="M99" i="7"/>
  <c r="L99" i="7"/>
  <c r="K99" i="7"/>
  <c r="H99" i="7"/>
  <c r="C99" i="7"/>
  <c r="G99" i="7" s="1"/>
  <c r="B99" i="7"/>
  <c r="N99" i="7" s="1"/>
  <c r="A99" i="7"/>
  <c r="R99" i="7" s="1"/>
  <c r="M98" i="7"/>
  <c r="L98" i="7"/>
  <c r="Q98" i="7" s="1"/>
  <c r="K98" i="7"/>
  <c r="H98" i="7"/>
  <c r="J98" i="7" s="1"/>
  <c r="C98" i="7"/>
  <c r="F98" i="7" s="1"/>
  <c r="B98" i="7"/>
  <c r="A98" i="7"/>
  <c r="R98" i="7" s="1"/>
  <c r="M97" i="7"/>
  <c r="L97" i="7"/>
  <c r="K97" i="7"/>
  <c r="H97" i="7"/>
  <c r="J97" i="7" s="1"/>
  <c r="C97" i="7"/>
  <c r="E97" i="7" s="1"/>
  <c r="B97" i="7"/>
  <c r="P97" i="7" s="1"/>
  <c r="A97" i="7"/>
  <c r="R97" i="7" s="1"/>
  <c r="M96" i="7"/>
  <c r="L96" i="7"/>
  <c r="K96" i="7"/>
  <c r="H96" i="7"/>
  <c r="I96" i="7" s="1"/>
  <c r="E96" i="7"/>
  <c r="D96" i="7"/>
  <c r="C96" i="7"/>
  <c r="B96" i="7"/>
  <c r="O96" i="7" s="1"/>
  <c r="A96" i="7"/>
  <c r="R96" i="7" s="1"/>
  <c r="M95" i="7"/>
  <c r="L95" i="7"/>
  <c r="K95" i="7"/>
  <c r="H95" i="7"/>
  <c r="J95" i="7" s="1"/>
  <c r="C95" i="7"/>
  <c r="B95" i="7"/>
  <c r="O95" i="7" s="1"/>
  <c r="A95" i="7"/>
  <c r="R95" i="7" s="1"/>
  <c r="P94" i="7"/>
  <c r="M94" i="7"/>
  <c r="L94" i="7"/>
  <c r="K94" i="7"/>
  <c r="H94" i="7"/>
  <c r="I94" i="7" s="1"/>
  <c r="C94" i="7"/>
  <c r="B94" i="7"/>
  <c r="O94" i="7" s="1"/>
  <c r="A94" i="7"/>
  <c r="R94" i="7" s="1"/>
  <c r="R93" i="7"/>
  <c r="M93" i="7"/>
  <c r="L93" i="7"/>
  <c r="K93" i="7"/>
  <c r="J93" i="7"/>
  <c r="H93" i="7"/>
  <c r="I93" i="7" s="1"/>
  <c r="C93" i="7"/>
  <c r="G93" i="7" s="1"/>
  <c r="B93" i="7"/>
  <c r="N93" i="7" s="1"/>
  <c r="A93" i="7"/>
  <c r="O92" i="7"/>
  <c r="N92" i="7"/>
  <c r="M92" i="7"/>
  <c r="L92" i="7"/>
  <c r="Q92" i="7" s="1"/>
  <c r="K92" i="7"/>
  <c r="J92" i="7"/>
  <c r="H92" i="7"/>
  <c r="I92" i="7" s="1"/>
  <c r="C92" i="7"/>
  <c r="F92" i="7" s="1"/>
  <c r="B92" i="7"/>
  <c r="P92" i="7" s="1"/>
  <c r="A92" i="7"/>
  <c r="R92" i="7" s="1"/>
  <c r="O91" i="7"/>
  <c r="N91" i="7"/>
  <c r="M91" i="7"/>
  <c r="L91" i="7"/>
  <c r="Q91" i="7" s="1"/>
  <c r="K91" i="7"/>
  <c r="H91" i="7"/>
  <c r="J91" i="7" s="1"/>
  <c r="C91" i="7"/>
  <c r="D91" i="7" s="1"/>
  <c r="B91" i="7"/>
  <c r="P91" i="7" s="1"/>
  <c r="A91" i="7"/>
  <c r="R91" i="7" s="1"/>
  <c r="M90" i="7"/>
  <c r="L90" i="7"/>
  <c r="Q90" i="7" s="1"/>
  <c r="K90" i="7"/>
  <c r="H90" i="7"/>
  <c r="J90" i="7" s="1"/>
  <c r="C90" i="7"/>
  <c r="B90" i="7"/>
  <c r="P90" i="7" s="1"/>
  <c r="A90" i="7"/>
  <c r="R90" i="7" s="1"/>
  <c r="R89" i="7"/>
  <c r="M89" i="7"/>
  <c r="L89" i="7"/>
  <c r="Q89" i="7" s="1"/>
  <c r="K89" i="7"/>
  <c r="H89" i="7"/>
  <c r="J89" i="7" s="1"/>
  <c r="C89" i="7"/>
  <c r="F89" i="7" s="1"/>
  <c r="B89" i="7"/>
  <c r="P89" i="7" s="1"/>
  <c r="A89" i="7"/>
  <c r="N88" i="7"/>
  <c r="M88" i="7"/>
  <c r="L88" i="7"/>
  <c r="Q88" i="7" s="1"/>
  <c r="K88" i="7"/>
  <c r="H88" i="7"/>
  <c r="I88" i="7" s="1"/>
  <c r="F88" i="7"/>
  <c r="D88" i="7"/>
  <c r="C88" i="7"/>
  <c r="B88" i="7"/>
  <c r="P88" i="7" s="1"/>
  <c r="A88" i="7"/>
  <c r="R88" i="7" s="1"/>
  <c r="O87" i="7"/>
  <c r="N87" i="7"/>
  <c r="M87" i="7"/>
  <c r="L87" i="7"/>
  <c r="Q87" i="7" s="1"/>
  <c r="K87" i="7"/>
  <c r="H87" i="7"/>
  <c r="J87" i="7" s="1"/>
  <c r="C87" i="7"/>
  <c r="D87" i="7" s="1"/>
  <c r="B87" i="7"/>
  <c r="P87" i="7" s="1"/>
  <c r="A87" i="7"/>
  <c r="R87" i="7" s="1"/>
  <c r="M86" i="7"/>
  <c r="L86" i="7"/>
  <c r="Q86" i="7" s="1"/>
  <c r="K86" i="7"/>
  <c r="H86" i="7"/>
  <c r="J86" i="7" s="1"/>
  <c r="C86" i="7"/>
  <c r="B86" i="7"/>
  <c r="P86" i="7" s="1"/>
  <c r="A86" i="7"/>
  <c r="R86" i="7" s="1"/>
  <c r="M85" i="7"/>
  <c r="L85" i="7"/>
  <c r="K85" i="7"/>
  <c r="H85" i="7"/>
  <c r="J85" i="7" s="1"/>
  <c r="C85" i="7"/>
  <c r="F85" i="7" s="1"/>
  <c r="B85" i="7"/>
  <c r="P85" i="7" s="1"/>
  <c r="A85" i="7"/>
  <c r="R85" i="7" s="1"/>
  <c r="R84" i="7"/>
  <c r="O84" i="7"/>
  <c r="M84" i="7"/>
  <c r="L84" i="7"/>
  <c r="K84" i="7"/>
  <c r="H84" i="7"/>
  <c r="I84" i="7" s="1"/>
  <c r="C84" i="7"/>
  <c r="B84" i="7"/>
  <c r="A84" i="7"/>
  <c r="M83" i="7"/>
  <c r="L83" i="7"/>
  <c r="K83" i="7"/>
  <c r="H83" i="7"/>
  <c r="I83" i="7" s="1"/>
  <c r="C83" i="7"/>
  <c r="B83" i="7"/>
  <c r="A83" i="7"/>
  <c r="R83" i="7" s="1"/>
  <c r="R82" i="7"/>
  <c r="M82" i="7"/>
  <c r="L82" i="7"/>
  <c r="Q82" i="7" s="1"/>
  <c r="K82" i="7"/>
  <c r="H82" i="7"/>
  <c r="J82" i="7" s="1"/>
  <c r="C82" i="7"/>
  <c r="D82" i="7" s="1"/>
  <c r="B82" i="7"/>
  <c r="P82" i="7" s="1"/>
  <c r="A82" i="7"/>
  <c r="R81" i="7"/>
  <c r="M81" i="7"/>
  <c r="L81" i="7"/>
  <c r="Q81" i="7" s="1"/>
  <c r="K81" i="7"/>
  <c r="H81" i="7"/>
  <c r="J81" i="7" s="1"/>
  <c r="C81" i="7"/>
  <c r="F81" i="7" s="1"/>
  <c r="B81" i="7"/>
  <c r="P81" i="7" s="1"/>
  <c r="A81" i="7"/>
  <c r="M80" i="7"/>
  <c r="L80" i="7"/>
  <c r="Q80" i="7" s="1"/>
  <c r="K80" i="7"/>
  <c r="H80" i="7"/>
  <c r="I80" i="7" s="1"/>
  <c r="C80" i="7"/>
  <c r="F80" i="7" s="1"/>
  <c r="B80" i="7"/>
  <c r="A80" i="7"/>
  <c r="R80" i="7" s="1"/>
  <c r="M79" i="7"/>
  <c r="L79" i="7"/>
  <c r="Q79" i="7" s="1"/>
  <c r="K79" i="7"/>
  <c r="H79" i="7"/>
  <c r="I79" i="7" s="1"/>
  <c r="C79" i="7"/>
  <c r="B79" i="7"/>
  <c r="A79" i="7"/>
  <c r="R79" i="7" s="1"/>
  <c r="M78" i="7"/>
  <c r="L78" i="7"/>
  <c r="Q78" i="7" s="1"/>
  <c r="K78" i="7"/>
  <c r="H78" i="7"/>
  <c r="J78" i="7" s="1"/>
  <c r="C78" i="7"/>
  <c r="B78" i="7"/>
  <c r="P78" i="7" s="1"/>
  <c r="A78" i="7"/>
  <c r="R78" i="7" s="1"/>
  <c r="M77" i="7"/>
  <c r="L77" i="7"/>
  <c r="K77" i="7"/>
  <c r="H77" i="7"/>
  <c r="J77" i="7" s="1"/>
  <c r="C77" i="7"/>
  <c r="F77" i="7" s="1"/>
  <c r="B77" i="7"/>
  <c r="P77" i="7" s="1"/>
  <c r="A77" i="7"/>
  <c r="R77" i="7" s="1"/>
  <c r="M76" i="7"/>
  <c r="L76" i="7"/>
  <c r="K76" i="7"/>
  <c r="H76" i="7"/>
  <c r="I76" i="7" s="1"/>
  <c r="C76" i="7"/>
  <c r="B76" i="7"/>
  <c r="O76" i="7" s="1"/>
  <c r="A76" i="7"/>
  <c r="R76" i="7" s="1"/>
  <c r="M75" i="7"/>
  <c r="L75" i="7"/>
  <c r="K75" i="7"/>
  <c r="H75" i="7"/>
  <c r="I75" i="7" s="1"/>
  <c r="C75" i="7"/>
  <c r="B75" i="7"/>
  <c r="A75" i="7"/>
  <c r="R75" i="7" s="1"/>
  <c r="R74" i="7"/>
  <c r="M74" i="7"/>
  <c r="L74" i="7"/>
  <c r="K74" i="7"/>
  <c r="H74" i="7"/>
  <c r="J74" i="7" s="1"/>
  <c r="C74" i="7"/>
  <c r="B74" i="7"/>
  <c r="A74" i="7"/>
  <c r="M73" i="7"/>
  <c r="L73" i="7"/>
  <c r="K73" i="7"/>
  <c r="H73" i="7"/>
  <c r="I73" i="7" s="1"/>
  <c r="C73" i="7"/>
  <c r="B73" i="7"/>
  <c r="A73" i="7"/>
  <c r="R73" i="7" s="1"/>
  <c r="M72" i="7"/>
  <c r="L72" i="7"/>
  <c r="K72" i="7"/>
  <c r="H72" i="7"/>
  <c r="J72" i="7" s="1"/>
  <c r="C72" i="7"/>
  <c r="E72" i="7" s="1"/>
  <c r="B72" i="7"/>
  <c r="A72" i="7"/>
  <c r="R72" i="7" s="1"/>
  <c r="R71" i="7"/>
  <c r="M71" i="7"/>
  <c r="L71" i="7"/>
  <c r="K71" i="7"/>
  <c r="H71" i="7"/>
  <c r="I71" i="7" s="1"/>
  <c r="C71" i="7"/>
  <c r="E71" i="7" s="1"/>
  <c r="B71" i="7"/>
  <c r="A71" i="7"/>
  <c r="M70" i="7"/>
  <c r="L70" i="7"/>
  <c r="Q70" i="7" s="1"/>
  <c r="K70" i="7"/>
  <c r="H70" i="7"/>
  <c r="I70" i="7" s="1"/>
  <c r="C70" i="7"/>
  <c r="E70" i="7" s="1"/>
  <c r="B70" i="7"/>
  <c r="A70" i="7"/>
  <c r="R70" i="7" s="1"/>
  <c r="R69" i="7"/>
  <c r="P69" i="7"/>
  <c r="M69" i="7"/>
  <c r="L69" i="7"/>
  <c r="K69" i="7"/>
  <c r="H69" i="7"/>
  <c r="J69" i="7" s="1"/>
  <c r="C69" i="7"/>
  <c r="E69" i="7" s="1"/>
  <c r="B69" i="7"/>
  <c r="A69" i="7"/>
  <c r="R68" i="7"/>
  <c r="P68" i="7"/>
  <c r="N68" i="7"/>
  <c r="M68" i="7"/>
  <c r="L68" i="7"/>
  <c r="K68" i="7"/>
  <c r="H68" i="7"/>
  <c r="I68" i="7" s="1"/>
  <c r="C68" i="7"/>
  <c r="E68" i="7" s="1"/>
  <c r="B68" i="7"/>
  <c r="O68" i="7" s="1"/>
  <c r="A68" i="7"/>
  <c r="R67" i="7"/>
  <c r="P67" i="7"/>
  <c r="M67" i="7"/>
  <c r="L67" i="7"/>
  <c r="Q67" i="7" s="1"/>
  <c r="K67" i="7"/>
  <c r="J67" i="7"/>
  <c r="H67" i="7"/>
  <c r="I67" i="7" s="1"/>
  <c r="C67" i="7"/>
  <c r="E67" i="7" s="1"/>
  <c r="B67" i="7"/>
  <c r="O67" i="7" s="1"/>
  <c r="A67" i="7"/>
  <c r="R66" i="7"/>
  <c r="P66" i="7"/>
  <c r="N66" i="7"/>
  <c r="M66" i="7"/>
  <c r="L66" i="7"/>
  <c r="K66" i="7"/>
  <c r="H66" i="7"/>
  <c r="J66" i="7" s="1"/>
  <c r="C66" i="7"/>
  <c r="E66" i="7" s="1"/>
  <c r="B66" i="7"/>
  <c r="O66" i="7" s="1"/>
  <c r="A66" i="7"/>
  <c r="P65" i="7"/>
  <c r="N65" i="7"/>
  <c r="M65" i="7"/>
  <c r="L65" i="7"/>
  <c r="Q65" i="7" s="1"/>
  <c r="K65" i="7"/>
  <c r="H65" i="7"/>
  <c r="I65" i="7" s="1"/>
  <c r="C65" i="7"/>
  <c r="E65" i="7" s="1"/>
  <c r="B65" i="7"/>
  <c r="O65" i="7" s="1"/>
  <c r="A65" i="7"/>
  <c r="R65" i="7" s="1"/>
  <c r="M64" i="7"/>
  <c r="L64" i="7"/>
  <c r="Q64" i="7" s="1"/>
  <c r="K64" i="7"/>
  <c r="H64" i="7"/>
  <c r="J64" i="7" s="1"/>
  <c r="C64" i="7"/>
  <c r="E64" i="7" s="1"/>
  <c r="B64" i="7"/>
  <c r="A64" i="7"/>
  <c r="R64" i="7" s="1"/>
  <c r="M63" i="7"/>
  <c r="L63" i="7"/>
  <c r="K63" i="7"/>
  <c r="H63" i="7"/>
  <c r="I63" i="7" s="1"/>
  <c r="C63" i="7"/>
  <c r="E63" i="7" s="1"/>
  <c r="B63" i="7"/>
  <c r="A63" i="7"/>
  <c r="R63" i="7" s="1"/>
  <c r="R62" i="7"/>
  <c r="M62" i="7"/>
  <c r="L62" i="7"/>
  <c r="Q62" i="7" s="1"/>
  <c r="K62" i="7"/>
  <c r="H62" i="7"/>
  <c r="I62" i="7" s="1"/>
  <c r="C62" i="7"/>
  <c r="E62" i="7" s="1"/>
  <c r="B62" i="7"/>
  <c r="A62" i="7"/>
  <c r="M61" i="7"/>
  <c r="L61" i="7"/>
  <c r="Q61" i="7" s="1"/>
  <c r="K61" i="7"/>
  <c r="H61" i="7"/>
  <c r="C61" i="7"/>
  <c r="E61" i="7" s="1"/>
  <c r="B61" i="7"/>
  <c r="A61" i="7"/>
  <c r="R61" i="7" s="1"/>
  <c r="M60" i="7"/>
  <c r="L60" i="7"/>
  <c r="K60" i="7"/>
  <c r="H60" i="7"/>
  <c r="J60" i="7" s="1"/>
  <c r="C60" i="7"/>
  <c r="E60" i="7" s="1"/>
  <c r="B60" i="7"/>
  <c r="A60" i="7"/>
  <c r="R60" i="7" s="1"/>
  <c r="P59" i="7"/>
  <c r="M59" i="7"/>
  <c r="L59" i="7"/>
  <c r="K59" i="7"/>
  <c r="H59" i="7"/>
  <c r="I59" i="7" s="1"/>
  <c r="C59" i="7"/>
  <c r="E59" i="7" s="1"/>
  <c r="B59" i="7"/>
  <c r="O59" i="7" s="1"/>
  <c r="A59" i="7"/>
  <c r="R59" i="7" s="1"/>
  <c r="M58" i="7"/>
  <c r="L58" i="7"/>
  <c r="K58" i="7"/>
  <c r="H58" i="7"/>
  <c r="J58" i="7" s="1"/>
  <c r="C58" i="7"/>
  <c r="E58" i="7" s="1"/>
  <c r="B58" i="7"/>
  <c r="A58" i="7"/>
  <c r="R58" i="7" s="1"/>
  <c r="M57" i="7"/>
  <c r="L57" i="7"/>
  <c r="K57" i="7"/>
  <c r="H57" i="7"/>
  <c r="J57" i="7" s="1"/>
  <c r="C57" i="7"/>
  <c r="E57" i="7" s="1"/>
  <c r="B57" i="7"/>
  <c r="A57" i="7"/>
  <c r="R57" i="7" s="1"/>
  <c r="R56" i="7"/>
  <c r="M56" i="7"/>
  <c r="L56" i="7"/>
  <c r="K56" i="7"/>
  <c r="H56" i="7"/>
  <c r="I56" i="7" s="1"/>
  <c r="C56" i="7"/>
  <c r="E56" i="7" s="1"/>
  <c r="B56" i="7"/>
  <c r="O56" i="7" s="1"/>
  <c r="A56" i="7"/>
  <c r="R55" i="7"/>
  <c r="P55" i="7"/>
  <c r="M55" i="7"/>
  <c r="L55" i="7"/>
  <c r="K55" i="7"/>
  <c r="I55" i="7"/>
  <c r="H55" i="7"/>
  <c r="J55" i="7" s="1"/>
  <c r="C55" i="7"/>
  <c r="E55" i="7" s="1"/>
  <c r="B55" i="7"/>
  <c r="O55" i="7" s="1"/>
  <c r="A55" i="7"/>
  <c r="M54" i="7"/>
  <c r="L54" i="7"/>
  <c r="K54" i="7"/>
  <c r="H54" i="7"/>
  <c r="I54" i="7" s="1"/>
  <c r="C54" i="7"/>
  <c r="E54" i="7" s="1"/>
  <c r="B54" i="7"/>
  <c r="A54" i="7"/>
  <c r="R54" i="7" s="1"/>
  <c r="M53" i="7"/>
  <c r="L53" i="7"/>
  <c r="K53" i="7"/>
  <c r="H53" i="7"/>
  <c r="I53" i="7" s="1"/>
  <c r="C53" i="7"/>
  <c r="B53" i="7"/>
  <c r="A53" i="7"/>
  <c r="R53" i="7" s="1"/>
  <c r="R52" i="7"/>
  <c r="M52" i="7"/>
  <c r="L52" i="7"/>
  <c r="K52" i="7"/>
  <c r="H52" i="7"/>
  <c r="J52" i="7" s="1"/>
  <c r="C52" i="7"/>
  <c r="E52" i="7" s="1"/>
  <c r="B52" i="7"/>
  <c r="O52" i="7" s="1"/>
  <c r="A52" i="7"/>
  <c r="M51" i="7"/>
  <c r="L51" i="7"/>
  <c r="K51" i="7"/>
  <c r="H51" i="7"/>
  <c r="J51" i="7" s="1"/>
  <c r="C51" i="7"/>
  <c r="E51" i="7" s="1"/>
  <c r="B51" i="7"/>
  <c r="A51" i="7"/>
  <c r="R51" i="7" s="1"/>
  <c r="M50" i="7"/>
  <c r="L50" i="7"/>
  <c r="Q50" i="7" s="1"/>
  <c r="K50" i="7"/>
  <c r="H50" i="7"/>
  <c r="J50" i="7" s="1"/>
  <c r="C50" i="7"/>
  <c r="E50" i="7" s="1"/>
  <c r="B50" i="7"/>
  <c r="A50" i="7"/>
  <c r="R50" i="7" s="1"/>
  <c r="R49" i="7"/>
  <c r="M49" i="7"/>
  <c r="L49" i="7"/>
  <c r="K49" i="7"/>
  <c r="H49" i="7"/>
  <c r="J49" i="7" s="1"/>
  <c r="C49" i="7"/>
  <c r="E49" i="7" s="1"/>
  <c r="B49" i="7"/>
  <c r="A49" i="7"/>
  <c r="R48" i="7"/>
  <c r="P48" i="7"/>
  <c r="N48" i="7"/>
  <c r="M48" i="7"/>
  <c r="L48" i="7"/>
  <c r="K48" i="7"/>
  <c r="H48" i="7"/>
  <c r="I48" i="7" s="1"/>
  <c r="C48" i="7"/>
  <c r="E48" i="7" s="1"/>
  <c r="B48" i="7"/>
  <c r="O48" i="7" s="1"/>
  <c r="A48" i="7"/>
  <c r="M47" i="7"/>
  <c r="L47" i="7"/>
  <c r="Q47" i="7" s="1"/>
  <c r="K47" i="7"/>
  <c r="H47" i="7"/>
  <c r="I47" i="7" s="1"/>
  <c r="D47" i="7"/>
  <c r="C47" i="7"/>
  <c r="E47" i="7" s="1"/>
  <c r="B47" i="7"/>
  <c r="A47" i="7"/>
  <c r="R47" i="7" s="1"/>
  <c r="M46" i="7"/>
  <c r="L46" i="7"/>
  <c r="Q46" i="7" s="1"/>
  <c r="K46" i="7"/>
  <c r="H46" i="7"/>
  <c r="J46" i="7" s="1"/>
  <c r="C46" i="7"/>
  <c r="E46" i="7" s="1"/>
  <c r="B46" i="7"/>
  <c r="A46" i="7"/>
  <c r="R46" i="7" s="1"/>
  <c r="R45" i="7"/>
  <c r="M45" i="7"/>
  <c r="L45" i="7"/>
  <c r="K45" i="7"/>
  <c r="H45" i="7"/>
  <c r="J45" i="7" s="1"/>
  <c r="C45" i="7"/>
  <c r="E45" i="7" s="1"/>
  <c r="B45" i="7"/>
  <c r="O45" i="7" s="1"/>
  <c r="A45" i="7"/>
  <c r="R44" i="7"/>
  <c r="P44" i="7"/>
  <c r="N44" i="7"/>
  <c r="M44" i="7"/>
  <c r="L44" i="7"/>
  <c r="Q44" i="7" s="1"/>
  <c r="K44" i="7"/>
  <c r="H44" i="7"/>
  <c r="I44" i="7" s="1"/>
  <c r="C44" i="7"/>
  <c r="E44" i="7" s="1"/>
  <c r="B44" i="7"/>
  <c r="O44" i="7" s="1"/>
  <c r="A44" i="7"/>
  <c r="R43" i="7"/>
  <c r="P43" i="7"/>
  <c r="M43" i="7"/>
  <c r="L43" i="7"/>
  <c r="Q43" i="7" s="1"/>
  <c r="K43" i="7"/>
  <c r="H43" i="7"/>
  <c r="J43" i="7" s="1"/>
  <c r="C43" i="7"/>
  <c r="E43" i="7" s="1"/>
  <c r="B43" i="7"/>
  <c r="O43" i="7" s="1"/>
  <c r="A43" i="7"/>
  <c r="N42" i="7"/>
  <c r="M42" i="7"/>
  <c r="L42" i="7"/>
  <c r="K42" i="7"/>
  <c r="H42" i="7"/>
  <c r="I42" i="7" s="1"/>
  <c r="C42" i="7"/>
  <c r="E42" i="7" s="1"/>
  <c r="B42" i="7"/>
  <c r="A42" i="7"/>
  <c r="R42" i="7" s="1"/>
  <c r="M41" i="7"/>
  <c r="L41" i="7"/>
  <c r="Q41" i="7" s="1"/>
  <c r="K41" i="7"/>
  <c r="H41" i="7"/>
  <c r="J41" i="7" s="1"/>
  <c r="D41" i="7"/>
  <c r="C41" i="7"/>
  <c r="E41" i="7" s="1"/>
  <c r="B41" i="7"/>
  <c r="A41" i="7"/>
  <c r="R41" i="7" s="1"/>
  <c r="M40" i="7"/>
  <c r="L40" i="7"/>
  <c r="K40" i="7"/>
  <c r="H40" i="7"/>
  <c r="J40" i="7" s="1"/>
  <c r="C40" i="7"/>
  <c r="E40" i="7" s="1"/>
  <c r="B40" i="7"/>
  <c r="A40" i="7"/>
  <c r="R40" i="7" s="1"/>
  <c r="M39" i="7"/>
  <c r="L39" i="7"/>
  <c r="K39" i="7"/>
  <c r="H39" i="7"/>
  <c r="J39" i="7" s="1"/>
  <c r="C39" i="7"/>
  <c r="E39" i="7" s="1"/>
  <c r="B39" i="7"/>
  <c r="A39" i="7"/>
  <c r="R39" i="7" s="1"/>
  <c r="M38" i="7"/>
  <c r="L38" i="7"/>
  <c r="K38" i="7"/>
  <c r="H38" i="7"/>
  <c r="J38" i="7" s="1"/>
  <c r="C38" i="7"/>
  <c r="E38" i="7" s="1"/>
  <c r="B38" i="7"/>
  <c r="A38" i="7"/>
  <c r="R38" i="7" s="1"/>
  <c r="M37" i="7"/>
  <c r="L37" i="7"/>
  <c r="K37" i="7"/>
  <c r="H37" i="7"/>
  <c r="J37" i="7" s="1"/>
  <c r="C37" i="7"/>
  <c r="E37" i="7" s="1"/>
  <c r="B37" i="7"/>
  <c r="O37" i="7" s="1"/>
  <c r="A37" i="7"/>
  <c r="R37" i="7" s="1"/>
  <c r="R36" i="7"/>
  <c r="P36" i="7"/>
  <c r="N36" i="7"/>
  <c r="M36" i="7"/>
  <c r="L36" i="7"/>
  <c r="K36" i="7"/>
  <c r="H36" i="7"/>
  <c r="J36" i="7" s="1"/>
  <c r="C36" i="7"/>
  <c r="E36" i="7" s="1"/>
  <c r="B36" i="7"/>
  <c r="O36" i="7" s="1"/>
  <c r="A36" i="7"/>
  <c r="R35" i="7"/>
  <c r="P35" i="7"/>
  <c r="N35" i="7"/>
  <c r="M35" i="7"/>
  <c r="L35" i="7"/>
  <c r="Q35" i="7" s="1"/>
  <c r="K35" i="7"/>
  <c r="H35" i="7"/>
  <c r="I35" i="7" s="1"/>
  <c r="D35" i="7"/>
  <c r="C35" i="7"/>
  <c r="E35" i="7" s="1"/>
  <c r="B35" i="7"/>
  <c r="O35" i="7" s="1"/>
  <c r="A35" i="7"/>
  <c r="P34" i="7"/>
  <c r="M34" i="7"/>
  <c r="L34" i="7"/>
  <c r="Q34" i="7" s="1"/>
  <c r="K34" i="7"/>
  <c r="H34" i="7"/>
  <c r="J34" i="7" s="1"/>
  <c r="C34" i="7"/>
  <c r="E34" i="7" s="1"/>
  <c r="B34" i="7"/>
  <c r="O34" i="7" s="1"/>
  <c r="A34" i="7"/>
  <c r="R34" i="7" s="1"/>
  <c r="M33" i="7"/>
  <c r="L33" i="7"/>
  <c r="K33" i="7"/>
  <c r="H33" i="7"/>
  <c r="I33" i="7" s="1"/>
  <c r="C33" i="7"/>
  <c r="E33" i="7" s="1"/>
  <c r="B33" i="7"/>
  <c r="A33" i="7"/>
  <c r="R33" i="7" s="1"/>
  <c r="M32" i="7"/>
  <c r="L32" i="7"/>
  <c r="Q32" i="7" s="1"/>
  <c r="K32" i="7"/>
  <c r="H32" i="7"/>
  <c r="J32" i="7" s="1"/>
  <c r="C32" i="7"/>
  <c r="E32" i="7" s="1"/>
  <c r="B32" i="7"/>
  <c r="A32" i="7"/>
  <c r="R32" i="7" s="1"/>
  <c r="M31" i="7"/>
  <c r="L31" i="7"/>
  <c r="Q31" i="7" s="1"/>
  <c r="K31" i="7"/>
  <c r="H31" i="7"/>
  <c r="J31" i="7" s="1"/>
  <c r="C31" i="7"/>
  <c r="E31" i="7" s="1"/>
  <c r="B31" i="7"/>
  <c r="A31" i="7"/>
  <c r="R31" i="7" s="1"/>
  <c r="R30" i="7"/>
  <c r="M30" i="7"/>
  <c r="L30" i="7"/>
  <c r="K30" i="7"/>
  <c r="H30" i="7"/>
  <c r="J30" i="7" s="1"/>
  <c r="C30" i="7"/>
  <c r="E30" i="7" s="1"/>
  <c r="B30" i="7"/>
  <c r="O30" i="7" s="1"/>
  <c r="A30" i="7"/>
  <c r="R29" i="7"/>
  <c r="P29" i="7"/>
  <c r="N29" i="7"/>
  <c r="M29" i="7"/>
  <c r="L29" i="7"/>
  <c r="K29" i="7"/>
  <c r="H29" i="7"/>
  <c r="I29" i="7" s="1"/>
  <c r="C29" i="7"/>
  <c r="E29" i="7" s="1"/>
  <c r="B29" i="7"/>
  <c r="O29" i="7" s="1"/>
  <c r="A29" i="7"/>
  <c r="R28" i="7"/>
  <c r="P28" i="7"/>
  <c r="M28" i="7"/>
  <c r="L28" i="7"/>
  <c r="Q28" i="7" s="1"/>
  <c r="K28" i="7"/>
  <c r="H28" i="7"/>
  <c r="J28" i="7" s="1"/>
  <c r="C28" i="7"/>
  <c r="E28" i="7" s="1"/>
  <c r="B28" i="7"/>
  <c r="O28" i="7" s="1"/>
  <c r="A28" i="7"/>
  <c r="M27" i="7"/>
  <c r="L27" i="7"/>
  <c r="K27" i="7"/>
  <c r="H27" i="7"/>
  <c r="I27" i="7" s="1"/>
  <c r="C27" i="7"/>
  <c r="E27" i="7" s="1"/>
  <c r="B27" i="7"/>
  <c r="A27" i="7"/>
  <c r="R27" i="7" s="1"/>
  <c r="P26" i="7"/>
  <c r="M26" i="7"/>
  <c r="L26" i="7"/>
  <c r="K26" i="7"/>
  <c r="H26" i="7"/>
  <c r="J26" i="7" s="1"/>
  <c r="C26" i="7"/>
  <c r="E26" i="7" s="1"/>
  <c r="B26" i="7"/>
  <c r="A26" i="7"/>
  <c r="R26" i="7" s="1"/>
  <c r="M25" i="7"/>
  <c r="L25" i="7"/>
  <c r="Q25" i="7" s="1"/>
  <c r="K25" i="7"/>
  <c r="H25" i="7"/>
  <c r="C25" i="7"/>
  <c r="E25" i="7" s="1"/>
  <c r="B25" i="7"/>
  <c r="A25" i="7"/>
  <c r="R25" i="7" s="1"/>
  <c r="M24" i="7"/>
  <c r="L24" i="7"/>
  <c r="K24" i="7"/>
  <c r="H24" i="7"/>
  <c r="I24" i="7" s="1"/>
  <c r="C24" i="7"/>
  <c r="E24" i="7" s="1"/>
  <c r="B24" i="7"/>
  <c r="A24" i="7"/>
  <c r="R24" i="7" s="1"/>
  <c r="P23" i="7"/>
  <c r="M23" i="7"/>
  <c r="L23" i="7"/>
  <c r="K23" i="7"/>
  <c r="H23" i="7"/>
  <c r="I23" i="7" s="1"/>
  <c r="C23" i="7"/>
  <c r="E23" i="7" s="1"/>
  <c r="B23" i="7"/>
  <c r="O23" i="7" s="1"/>
  <c r="A23" i="7"/>
  <c r="R23" i="7" s="1"/>
  <c r="R22" i="7"/>
  <c r="P22" i="7"/>
  <c r="M22" i="7"/>
  <c r="L22" i="7"/>
  <c r="K22" i="7"/>
  <c r="H22" i="7"/>
  <c r="J22" i="7" s="1"/>
  <c r="C22" i="7"/>
  <c r="E22" i="7" s="1"/>
  <c r="B22" i="7"/>
  <c r="O22" i="7" s="1"/>
  <c r="A22" i="7"/>
  <c r="R21" i="7"/>
  <c r="M21" i="7"/>
  <c r="L21" i="7"/>
  <c r="K21" i="7"/>
  <c r="H21" i="7"/>
  <c r="J21" i="7" s="1"/>
  <c r="C21" i="7"/>
  <c r="E21" i="7" s="1"/>
  <c r="B21" i="7"/>
  <c r="O21" i="7" s="1"/>
  <c r="A21" i="7"/>
  <c r="M20" i="7"/>
  <c r="L20" i="7"/>
  <c r="K20" i="7"/>
  <c r="H20" i="7"/>
  <c r="J20" i="7" s="1"/>
  <c r="C20" i="7"/>
  <c r="E20" i="7" s="1"/>
  <c r="B20" i="7"/>
  <c r="A20" i="7"/>
  <c r="R20" i="7" s="1"/>
  <c r="R19" i="7"/>
  <c r="M19" i="7"/>
  <c r="L19" i="7"/>
  <c r="K19" i="7"/>
  <c r="H19" i="7"/>
  <c r="J19" i="7" s="1"/>
  <c r="C19" i="7"/>
  <c r="E19" i="7" s="1"/>
  <c r="B19" i="7"/>
  <c r="A19" i="7"/>
  <c r="M18" i="7"/>
  <c r="L18" i="7"/>
  <c r="K18" i="7"/>
  <c r="H18" i="7"/>
  <c r="J18" i="7" s="1"/>
  <c r="C18" i="7"/>
  <c r="E18" i="7" s="1"/>
  <c r="B18" i="7"/>
  <c r="A18" i="7"/>
  <c r="R18" i="7" s="1"/>
  <c r="M17" i="7"/>
  <c r="L17" i="7"/>
  <c r="Q17" i="7" s="1"/>
  <c r="K17" i="7"/>
  <c r="H17" i="7"/>
  <c r="I17" i="7" s="1"/>
  <c r="C17" i="7"/>
  <c r="B17" i="7"/>
  <c r="A17" i="7"/>
  <c r="R17" i="7" s="1"/>
  <c r="M16" i="7"/>
  <c r="L16" i="7"/>
  <c r="K16" i="7"/>
  <c r="H16" i="7"/>
  <c r="J16" i="7" s="1"/>
  <c r="C16" i="7"/>
  <c r="E16" i="7" s="1"/>
  <c r="B16" i="7"/>
  <c r="O16" i="7" s="1"/>
  <c r="A16" i="7"/>
  <c r="R16" i="7" s="1"/>
  <c r="M15" i="7"/>
  <c r="Q15" i="7" s="1"/>
  <c r="L15" i="7"/>
  <c r="K15" i="7"/>
  <c r="H15" i="7"/>
  <c r="J15" i="7" s="1"/>
  <c r="C15" i="7"/>
  <c r="D15" i="7" s="1"/>
  <c r="B15" i="7"/>
  <c r="P15" i="7" s="1"/>
  <c r="A15" i="7"/>
  <c r="R15" i="7" s="1"/>
  <c r="M14" i="7"/>
  <c r="L14" i="7"/>
  <c r="K14" i="7"/>
  <c r="H14" i="7"/>
  <c r="J14" i="7" s="1"/>
  <c r="C14" i="7"/>
  <c r="G14" i="7" s="1"/>
  <c r="B14" i="7"/>
  <c r="A14" i="7"/>
  <c r="R14" i="7" s="1"/>
  <c r="M13" i="7"/>
  <c r="Q13" i="7" s="1"/>
  <c r="L13" i="7"/>
  <c r="K13" i="7"/>
  <c r="H13" i="7"/>
  <c r="J13" i="7" s="1"/>
  <c r="C13" i="7"/>
  <c r="D13" i="7" s="1"/>
  <c r="B13" i="7"/>
  <c r="P13" i="7" s="1"/>
  <c r="A13" i="7"/>
  <c r="R13" i="7" s="1"/>
  <c r="R12" i="7"/>
  <c r="P12" i="7"/>
  <c r="M12" i="7"/>
  <c r="L12" i="7"/>
  <c r="K12" i="7"/>
  <c r="H12" i="7"/>
  <c r="J12" i="7" s="1"/>
  <c r="C12" i="7"/>
  <c r="G12" i="7" s="1"/>
  <c r="B12" i="7"/>
  <c r="N12" i="7" s="1"/>
  <c r="A12" i="7"/>
  <c r="M11" i="7"/>
  <c r="L11" i="7"/>
  <c r="K11" i="7"/>
  <c r="H11" i="7"/>
  <c r="J11" i="7" s="1"/>
  <c r="C11" i="7"/>
  <c r="D11" i="7" s="1"/>
  <c r="B11" i="7"/>
  <c r="P11" i="7" s="1"/>
  <c r="A11" i="7"/>
  <c r="R11" i="7" s="1"/>
  <c r="M10" i="7"/>
  <c r="L10" i="7"/>
  <c r="K10" i="7"/>
  <c r="H10" i="7"/>
  <c r="J10" i="7" s="1"/>
  <c r="C10" i="7"/>
  <c r="G10" i="7" s="1"/>
  <c r="B10" i="7"/>
  <c r="N10" i="7" s="1"/>
  <c r="A10" i="7"/>
  <c r="R10" i="7" s="1"/>
  <c r="R9" i="7"/>
  <c r="M9" i="7"/>
  <c r="L9" i="7"/>
  <c r="K9" i="7"/>
  <c r="J9" i="7"/>
  <c r="H9" i="7"/>
  <c r="I9" i="7" s="1"/>
  <c r="C9" i="7"/>
  <c r="D9" i="7" s="1"/>
  <c r="B9" i="7"/>
  <c r="P9" i="7" s="1"/>
  <c r="A9" i="7"/>
  <c r="R8" i="7"/>
  <c r="P8" i="7"/>
  <c r="O8" i="7"/>
  <c r="M8" i="7"/>
  <c r="L8" i="7"/>
  <c r="K8" i="7"/>
  <c r="H8" i="7"/>
  <c r="J8" i="7" s="1"/>
  <c r="C8" i="7"/>
  <c r="G8" i="7" s="1"/>
  <c r="B8" i="7"/>
  <c r="N8" i="7" s="1"/>
  <c r="A8" i="7"/>
  <c r="M7" i="7"/>
  <c r="L7" i="7"/>
  <c r="Q7" i="7" s="1"/>
  <c r="K7" i="7"/>
  <c r="H7" i="7"/>
  <c r="I7" i="7" s="1"/>
  <c r="C7" i="7"/>
  <c r="D7" i="7" s="1"/>
  <c r="B7" i="7"/>
  <c r="P7" i="7" s="1"/>
  <c r="A7" i="7"/>
  <c r="R7" i="7" s="1"/>
  <c r="M6" i="7"/>
  <c r="L6" i="7"/>
  <c r="K6" i="7"/>
  <c r="H6" i="7"/>
  <c r="J6" i="7" s="1"/>
  <c r="C6" i="7"/>
  <c r="G6" i="7" s="1"/>
  <c r="B6" i="7"/>
  <c r="A6" i="7"/>
  <c r="R6" i="7" s="1"/>
  <c r="M5" i="7"/>
  <c r="L5" i="7"/>
  <c r="K5" i="7"/>
  <c r="H5" i="7"/>
  <c r="I5" i="7" s="1"/>
  <c r="C5" i="7"/>
  <c r="G5" i="7" s="1"/>
  <c r="B5" i="7"/>
  <c r="A5" i="7"/>
  <c r="R5" i="7" s="1"/>
  <c r="P297" i="7" l="1"/>
  <c r="N297" i="7"/>
  <c r="I533" i="7"/>
  <c r="J533" i="7"/>
  <c r="I201" i="7"/>
  <c r="J201" i="7"/>
  <c r="G613" i="7"/>
  <c r="E613" i="7"/>
  <c r="E364" i="7"/>
  <c r="F134" i="7"/>
  <c r="D196" i="7"/>
  <c r="O490" i="7"/>
  <c r="P490" i="7"/>
  <c r="I432" i="7"/>
  <c r="D542" i="7"/>
  <c r="E542" i="7"/>
  <c r="N14" i="7"/>
  <c r="P14" i="7"/>
  <c r="J379" i="7"/>
  <c r="I379" i="7"/>
  <c r="G444" i="7"/>
  <c r="E444" i="7"/>
  <c r="F444" i="7"/>
  <c r="I520" i="7"/>
  <c r="J520" i="7"/>
  <c r="J615" i="7"/>
  <c r="I615" i="7"/>
  <c r="G839" i="7"/>
  <c r="F839" i="7"/>
  <c r="I560" i="7"/>
  <c r="I831" i="7"/>
  <c r="J7" i="7"/>
  <c r="D613" i="7"/>
  <c r="O624" i="7"/>
  <c r="P624" i="7"/>
  <c r="J660" i="7"/>
  <c r="I660" i="7"/>
  <c r="N766" i="7"/>
  <c r="O766" i="7"/>
  <c r="E399" i="7"/>
  <c r="P281" i="7"/>
  <c r="O281" i="7"/>
  <c r="N281" i="7"/>
  <c r="G364" i="7"/>
  <c r="O51" i="7"/>
  <c r="P51" i="7"/>
  <c r="O188" i="7"/>
  <c r="P188" i="7"/>
  <c r="P621" i="7"/>
  <c r="O621" i="7"/>
  <c r="D134" i="7"/>
  <c r="E170" i="7"/>
  <c r="P270" i="7"/>
  <c r="O270" i="7"/>
  <c r="D356" i="7"/>
  <c r="D588" i="7"/>
  <c r="G617" i="7"/>
  <c r="E617" i="7"/>
  <c r="D617" i="7"/>
  <c r="P651" i="7"/>
  <c r="O651" i="7"/>
  <c r="N651" i="7"/>
  <c r="I91" i="7"/>
  <c r="E134" i="7"/>
  <c r="E148" i="7"/>
  <c r="E164" i="7"/>
  <c r="E239" i="7"/>
  <c r="I258" i="7"/>
  <c r="P363" i="7"/>
  <c r="N363" i="7"/>
  <c r="P606" i="7"/>
  <c r="O606" i="7"/>
  <c r="F617" i="7"/>
  <c r="F731" i="7"/>
  <c r="G731" i="7"/>
  <c r="G836" i="7"/>
  <c r="F836" i="7"/>
  <c r="J900" i="7"/>
  <c r="J915" i="7"/>
  <c r="J918" i="7"/>
  <c r="E95" i="7"/>
  <c r="G95" i="7"/>
  <c r="F95" i="7"/>
  <c r="F164" i="7"/>
  <c r="I312" i="7"/>
  <c r="D329" i="7"/>
  <c r="F364" i="7"/>
  <c r="I385" i="7"/>
  <c r="I600" i="7"/>
  <c r="J600" i="7"/>
  <c r="J607" i="7"/>
  <c r="N746" i="7"/>
  <c r="P746" i="7"/>
  <c r="J815" i="7"/>
  <c r="I815" i="7"/>
  <c r="I827" i="7"/>
  <c r="J827" i="7"/>
  <c r="O70" i="7"/>
  <c r="P70" i="7"/>
  <c r="D122" i="7"/>
  <c r="G122" i="7"/>
  <c r="F122" i="7"/>
  <c r="E122" i="7"/>
  <c r="J294" i="7"/>
  <c r="I294" i="7"/>
  <c r="F329" i="7"/>
  <c r="E336" i="7"/>
  <c r="F395" i="7"/>
  <c r="F399" i="7"/>
  <c r="P409" i="7"/>
  <c r="N409" i="7"/>
  <c r="E424" i="7"/>
  <c r="O506" i="7"/>
  <c r="P506" i="7"/>
  <c r="F509" i="7"/>
  <c r="J617" i="7"/>
  <c r="J621" i="7"/>
  <c r="J624" i="7"/>
  <c r="I624" i="7"/>
  <c r="J643" i="7"/>
  <c r="F65" i="7"/>
  <c r="E363" i="7"/>
  <c r="I381" i="7"/>
  <c r="J399" i="7"/>
  <c r="I399" i="7"/>
  <c r="J410" i="7"/>
  <c r="F542" i="7"/>
  <c r="P641" i="7"/>
  <c r="O641" i="7"/>
  <c r="E749" i="7"/>
  <c r="I999" i="7"/>
  <c r="O42" i="7"/>
  <c r="P42" i="7"/>
  <c r="D50" i="7"/>
  <c r="G319" i="7"/>
  <c r="Q351" i="7"/>
  <c r="O406" i="7"/>
  <c r="N422" i="7"/>
  <c r="P422" i="7"/>
  <c r="O422" i="7"/>
  <c r="O456" i="7"/>
  <c r="P456" i="7"/>
  <c r="F490" i="7"/>
  <c r="Q881" i="7"/>
  <c r="O20" i="7"/>
  <c r="P20" i="7"/>
  <c r="N20" i="7"/>
  <c r="E156" i="7"/>
  <c r="O160" i="7"/>
  <c r="P160" i="7"/>
  <c r="P189" i="7"/>
  <c r="O189" i="7"/>
  <c r="N189" i="7"/>
  <c r="F190" i="7"/>
  <c r="G191" i="7"/>
  <c r="F287" i="7"/>
  <c r="O288" i="7"/>
  <c r="J479" i="7"/>
  <c r="D483" i="7"/>
  <c r="D505" i="7"/>
  <c r="G506" i="7"/>
  <c r="J523" i="7"/>
  <c r="E580" i="7"/>
  <c r="O605" i="7"/>
  <c r="P605" i="7"/>
  <c r="N605" i="7"/>
  <c r="O635" i="7"/>
  <c r="P635" i="7"/>
  <c r="N635" i="7"/>
  <c r="D641" i="7"/>
  <c r="J943" i="7"/>
  <c r="J993" i="7"/>
  <c r="I993" i="7"/>
  <c r="N21" i="7"/>
  <c r="D80" i="7"/>
  <c r="P149" i="7"/>
  <c r="O149" i="7"/>
  <c r="G150" i="7"/>
  <c r="P205" i="7"/>
  <c r="N205" i="7"/>
  <c r="G208" i="7"/>
  <c r="D208" i="7"/>
  <c r="F208" i="7"/>
  <c r="E208" i="7"/>
  <c r="G215" i="7"/>
  <c r="P246" i="7"/>
  <c r="O246" i="7"/>
  <c r="N246" i="7"/>
  <c r="E266" i="7"/>
  <c r="I281" i="7"/>
  <c r="P317" i="7"/>
  <c r="N317" i="7"/>
  <c r="J328" i="7"/>
  <c r="I362" i="7"/>
  <c r="G380" i="7"/>
  <c r="O404" i="7"/>
  <c r="P404" i="7"/>
  <c r="I417" i="7"/>
  <c r="J423" i="7"/>
  <c r="I435" i="7"/>
  <c r="N438" i="7"/>
  <c r="P438" i="7"/>
  <c r="J439" i="7"/>
  <c r="J440" i="7"/>
  <c r="I441" i="7"/>
  <c r="G448" i="7"/>
  <c r="D448" i="7"/>
  <c r="F448" i="7"/>
  <c r="E448" i="7"/>
  <c r="P454" i="7"/>
  <c r="Q457" i="7"/>
  <c r="F459" i="7"/>
  <c r="D476" i="7"/>
  <c r="F483" i="7"/>
  <c r="E505" i="7"/>
  <c r="I507" i="7"/>
  <c r="I521" i="7"/>
  <c r="E529" i="7"/>
  <c r="D529" i="7"/>
  <c r="G529" i="7"/>
  <c r="F529" i="7"/>
  <c r="D533" i="7"/>
  <c r="F541" i="7"/>
  <c r="N565" i="7"/>
  <c r="P565" i="7"/>
  <c r="O565" i="7"/>
  <c r="G566" i="7"/>
  <c r="J585" i="7"/>
  <c r="D626" i="7"/>
  <c r="F626" i="7"/>
  <c r="I632" i="7"/>
  <c r="D665" i="7"/>
  <c r="G700" i="7"/>
  <c r="F700" i="7"/>
  <c r="E703" i="7"/>
  <c r="G703" i="7"/>
  <c r="F748" i="7"/>
  <c r="E748" i="7"/>
  <c r="P766" i="7"/>
  <c r="I769" i="7"/>
  <c r="D775" i="7"/>
  <c r="D781" i="7"/>
  <c r="F781" i="7"/>
  <c r="E781" i="7"/>
  <c r="I855" i="7"/>
  <c r="D876" i="7"/>
  <c r="E876" i="7"/>
  <c r="G876" i="7"/>
  <c r="I880" i="7"/>
  <c r="J880" i="7"/>
  <c r="G939" i="7"/>
  <c r="F939" i="7"/>
  <c r="P970" i="7"/>
  <c r="O970" i="7"/>
  <c r="P973" i="7"/>
  <c r="N973" i="7"/>
  <c r="P242" i="7"/>
  <c r="O242" i="7"/>
  <c r="N242" i="7"/>
  <c r="D164" i="7"/>
  <c r="D279" i="7"/>
  <c r="G279" i="7"/>
  <c r="F279" i="7"/>
  <c r="P291" i="7"/>
  <c r="O291" i="7"/>
  <c r="J313" i="7"/>
  <c r="P316" i="7"/>
  <c r="O316" i="7"/>
  <c r="N316" i="7"/>
  <c r="D450" i="7"/>
  <c r="F699" i="7"/>
  <c r="E699" i="7"/>
  <c r="J906" i="7"/>
  <c r="I58" i="7"/>
  <c r="F297" i="7"/>
  <c r="E356" i="7"/>
  <c r="J392" i="7"/>
  <c r="N436" i="7"/>
  <c r="P436" i="7"/>
  <c r="O436" i="7"/>
  <c r="I437" i="7"/>
  <c r="E531" i="7"/>
  <c r="G531" i="7"/>
  <c r="F531" i="7"/>
  <c r="P999" i="7"/>
  <c r="N999" i="7"/>
  <c r="O216" i="7"/>
  <c r="P216" i="7"/>
  <c r="D257" i="7"/>
  <c r="G257" i="7"/>
  <c r="F257" i="7"/>
  <c r="G339" i="7"/>
  <c r="J342" i="7"/>
  <c r="I350" i="7"/>
  <c r="P372" i="7"/>
  <c r="N372" i="7"/>
  <c r="J403" i="7"/>
  <c r="I403" i="7"/>
  <c r="J474" i="7"/>
  <c r="G556" i="7"/>
  <c r="E556" i="7"/>
  <c r="D556" i="7"/>
  <c r="N567" i="7"/>
  <c r="O567" i="7"/>
  <c r="F588" i="7"/>
  <c r="F613" i="7"/>
  <c r="J648" i="7"/>
  <c r="Q984" i="7"/>
  <c r="E196" i="7"/>
  <c r="N349" i="7"/>
  <c r="O349" i="7"/>
  <c r="P349" i="7"/>
  <c r="F460" i="7"/>
  <c r="E484" i="7"/>
  <c r="J527" i="7"/>
  <c r="J668" i="7"/>
  <c r="D190" i="7"/>
  <c r="F192" i="7"/>
  <c r="F196" i="7"/>
  <c r="Q236" i="7"/>
  <c r="E355" i="7"/>
  <c r="Q382" i="7"/>
  <c r="J431" i="7"/>
  <c r="J457" i="7"/>
  <c r="J525" i="7"/>
  <c r="F530" i="7"/>
  <c r="G530" i="7"/>
  <c r="D586" i="7"/>
  <c r="N591" i="7"/>
  <c r="P591" i="7"/>
  <c r="J606" i="7"/>
  <c r="G723" i="7"/>
  <c r="E723" i="7"/>
  <c r="D913" i="7"/>
  <c r="G913" i="7"/>
  <c r="E913" i="7"/>
  <c r="F913" i="7"/>
  <c r="Q994" i="7"/>
  <c r="N51" i="7"/>
  <c r="E150" i="7"/>
  <c r="D156" i="7"/>
  <c r="E190" i="7"/>
  <c r="F191" i="7"/>
  <c r="G192" i="7"/>
  <c r="E195" i="7"/>
  <c r="D195" i="7"/>
  <c r="I250" i="7"/>
  <c r="D477" i="7"/>
  <c r="F506" i="7"/>
  <c r="G507" i="7"/>
  <c r="F508" i="7"/>
  <c r="Q536" i="7"/>
  <c r="D566" i="7"/>
  <c r="J647" i="7"/>
  <c r="G650" i="7"/>
  <c r="F650" i="7"/>
  <c r="D650" i="7"/>
  <c r="E650" i="7"/>
  <c r="O759" i="7"/>
  <c r="P759" i="7"/>
  <c r="J884" i="7"/>
  <c r="O26" i="7"/>
  <c r="N26" i="7"/>
  <c r="O49" i="7"/>
  <c r="P49" i="7"/>
  <c r="F150" i="7"/>
  <c r="P200" i="7"/>
  <c r="O202" i="7"/>
  <c r="P202" i="7"/>
  <c r="J212" i="7"/>
  <c r="F215" i="7"/>
  <c r="J238" i="7"/>
  <c r="I238" i="7"/>
  <c r="N318" i="7"/>
  <c r="P318" i="7"/>
  <c r="O318" i="7"/>
  <c r="P406" i="7"/>
  <c r="I409" i="7"/>
  <c r="J409" i="7"/>
  <c r="J535" i="7"/>
  <c r="D538" i="7"/>
  <c r="G538" i="7"/>
  <c r="E541" i="7"/>
  <c r="E566" i="7"/>
  <c r="O700" i="7"/>
  <c r="N700" i="7"/>
  <c r="P700" i="7"/>
  <c r="G706" i="7"/>
  <c r="D706" i="7"/>
  <c r="O733" i="7"/>
  <c r="P733" i="7"/>
  <c r="N748" i="7"/>
  <c r="O748" i="7"/>
  <c r="P748" i="7"/>
  <c r="I799" i="7"/>
  <c r="E883" i="7"/>
  <c r="P10" i="7"/>
  <c r="D124" i="7"/>
  <c r="N13" i="7"/>
  <c r="P21" i="7"/>
  <c r="Q94" i="7"/>
  <c r="D97" i="7"/>
  <c r="Q104" i="7"/>
  <c r="G112" i="7"/>
  <c r="F112" i="7"/>
  <c r="E112" i="7"/>
  <c r="D112" i="7"/>
  <c r="E124" i="7"/>
  <c r="G156" i="7"/>
  <c r="J191" i="7"/>
  <c r="P206" i="7"/>
  <c r="O209" i="7"/>
  <c r="I215" i="7"/>
  <c r="J215" i="7"/>
  <c r="E243" i="7"/>
  <c r="E262" i="7"/>
  <c r="P280" i="7"/>
  <c r="O280" i="7"/>
  <c r="Q319" i="7"/>
  <c r="J325" i="7"/>
  <c r="N344" i="7"/>
  <c r="N359" i="7"/>
  <c r="P379" i="7"/>
  <c r="N379" i="7"/>
  <c r="I422" i="7"/>
  <c r="P437" i="7"/>
  <c r="N437" i="7"/>
  <c r="P445" i="7"/>
  <c r="N445" i="7"/>
  <c r="I456" i="7"/>
  <c r="Q467" i="7"/>
  <c r="E476" i="7"/>
  <c r="I483" i="7"/>
  <c r="J483" i="7"/>
  <c r="E504" i="7"/>
  <c r="F505" i="7"/>
  <c r="J506" i="7"/>
  <c r="E533" i="7"/>
  <c r="G541" i="7"/>
  <c r="P567" i="7"/>
  <c r="I580" i="7"/>
  <c r="E626" i="7"/>
  <c r="I628" i="7"/>
  <c r="D635" i="7"/>
  <c r="O655" i="7"/>
  <c r="P655" i="7"/>
  <c r="N655" i="7"/>
  <c r="E697" i="7"/>
  <c r="P708" i="7"/>
  <c r="N708" i="7"/>
  <c r="D711" i="7"/>
  <c r="G711" i="7"/>
  <c r="O746" i="7"/>
  <c r="N768" i="7"/>
  <c r="P768" i="7"/>
  <c r="O768" i="7"/>
  <c r="J772" i="7"/>
  <c r="G781" i="7"/>
  <c r="F791" i="7"/>
  <c r="E791" i="7"/>
  <c r="G791" i="7"/>
  <c r="E860" i="7"/>
  <c r="D860" i="7"/>
  <c r="F876" i="7"/>
  <c r="D939" i="7"/>
  <c r="G955" i="7"/>
  <c r="F955" i="7"/>
  <c r="E955" i="7"/>
  <c r="D955" i="7"/>
  <c r="G465" i="7"/>
  <c r="F465" i="7"/>
  <c r="G468" i="7"/>
  <c r="D468" i="7"/>
  <c r="F468" i="7"/>
  <c r="E468" i="7"/>
  <c r="P471" i="7"/>
  <c r="O471" i="7"/>
  <c r="O497" i="7"/>
  <c r="P497" i="7"/>
  <c r="E503" i="7"/>
  <c r="F503" i="7"/>
  <c r="G503" i="7"/>
  <c r="J576" i="7"/>
  <c r="I576" i="7"/>
  <c r="I735" i="7"/>
  <c r="J735" i="7"/>
  <c r="J79" i="7"/>
  <c r="D403" i="7"/>
  <c r="J425" i="7"/>
  <c r="I601" i="7"/>
  <c r="I625" i="7"/>
  <c r="J843" i="7"/>
  <c r="I843" i="7"/>
  <c r="F893" i="7"/>
  <c r="G893" i="7"/>
  <c r="E893" i="7"/>
  <c r="G938" i="7"/>
  <c r="F938" i="7"/>
  <c r="E938" i="7"/>
  <c r="D938" i="7"/>
  <c r="P991" i="7"/>
  <c r="N991" i="7"/>
  <c r="O57" i="7"/>
  <c r="N57" i="7"/>
  <c r="J218" i="7"/>
  <c r="O460" i="7"/>
  <c r="P460" i="7"/>
  <c r="D471" i="7"/>
  <c r="F574" i="7"/>
  <c r="G574" i="7"/>
  <c r="Q609" i="7"/>
  <c r="I672" i="7"/>
  <c r="J672" i="7"/>
  <c r="E839" i="7"/>
  <c r="D884" i="7"/>
  <c r="E884" i="7"/>
  <c r="O27" i="7"/>
  <c r="P27" i="7"/>
  <c r="N27" i="7"/>
  <c r="I210" i="7"/>
  <c r="J210" i="7"/>
  <c r="E285" i="7"/>
  <c r="Q310" i="7"/>
  <c r="I351" i="7"/>
  <c r="G356" i="7"/>
  <c r="E509" i="7"/>
  <c r="D531" i="7"/>
  <c r="I671" i="7"/>
  <c r="J671" i="7"/>
  <c r="E192" i="7"/>
  <c r="N215" i="7"/>
  <c r="O215" i="7"/>
  <c r="E257" i="7"/>
  <c r="N423" i="7"/>
  <c r="P423" i="7"/>
  <c r="O423" i="7"/>
  <c r="N446" i="7"/>
  <c r="O446" i="7"/>
  <c r="G449" i="7"/>
  <c r="E449" i="7"/>
  <c r="F449" i="7"/>
  <c r="D470" i="7"/>
  <c r="J491" i="7"/>
  <c r="I494" i="7"/>
  <c r="J494" i="7"/>
  <c r="E507" i="7"/>
  <c r="J512" i="7"/>
  <c r="G588" i="7"/>
  <c r="D749" i="7"/>
  <c r="J757" i="7"/>
  <c r="I757" i="7"/>
  <c r="N792" i="7"/>
  <c r="P792" i="7"/>
  <c r="O792" i="7"/>
  <c r="I821" i="7"/>
  <c r="G884" i="7"/>
  <c r="I43" i="7"/>
  <c r="D191" i="7"/>
  <c r="E238" i="7"/>
  <c r="I352" i="7"/>
  <c r="Q396" i="7"/>
  <c r="E508" i="7"/>
  <c r="J568" i="7"/>
  <c r="N585" i="7"/>
  <c r="O585" i="7"/>
  <c r="P585" i="7"/>
  <c r="N612" i="7"/>
  <c r="P612" i="7"/>
  <c r="O612" i="7"/>
  <c r="D642" i="7"/>
  <c r="G666" i="7"/>
  <c r="F666" i="7"/>
  <c r="P80" i="7"/>
  <c r="O80" i="7"/>
  <c r="N80" i="7"/>
  <c r="G94" i="7"/>
  <c r="F94" i="7"/>
  <c r="E94" i="7"/>
  <c r="D94" i="7"/>
  <c r="P125" i="7"/>
  <c r="O125" i="7"/>
  <c r="D215" i="7"/>
  <c r="F470" i="7"/>
  <c r="G542" i="7"/>
  <c r="P564" i="7"/>
  <c r="E586" i="7"/>
  <c r="D666" i="7"/>
  <c r="P720" i="7"/>
  <c r="O720" i="7"/>
  <c r="N720" i="7"/>
  <c r="J795" i="7"/>
  <c r="I795" i="7"/>
  <c r="N864" i="7"/>
  <c r="P864" i="7"/>
  <c r="O69" i="7"/>
  <c r="N69" i="7"/>
  <c r="P226" i="7"/>
  <c r="O226" i="7"/>
  <c r="N226" i="7"/>
  <c r="O279" i="7"/>
  <c r="O297" i="7"/>
  <c r="F305" i="7"/>
  <c r="Q306" i="7"/>
  <c r="N430" i="7"/>
  <c r="P430" i="7"/>
  <c r="O430" i="7"/>
  <c r="Q433" i="7"/>
  <c r="G489" i="7"/>
  <c r="D489" i="7"/>
  <c r="F775" i="7"/>
  <c r="E775" i="7"/>
  <c r="G805" i="7"/>
  <c r="F805" i="7"/>
  <c r="D805" i="7"/>
  <c r="E805" i="7"/>
  <c r="P57" i="7"/>
  <c r="Q9" i="7"/>
  <c r="P37" i="7"/>
  <c r="O41" i="7"/>
  <c r="P41" i="7"/>
  <c r="N41" i="7"/>
  <c r="I49" i="7"/>
  <c r="N56" i="7"/>
  <c r="P79" i="7"/>
  <c r="O79" i="7"/>
  <c r="N79" i="7"/>
  <c r="G97" i="7"/>
  <c r="O113" i="7"/>
  <c r="P123" i="7"/>
  <c r="O123" i="7"/>
  <c r="N123" i="7"/>
  <c r="F124" i="7"/>
  <c r="Q144" i="7"/>
  <c r="N177" i="7"/>
  <c r="J189" i="7"/>
  <c r="I190" i="7"/>
  <c r="P196" i="7"/>
  <c r="P209" i="7"/>
  <c r="G222" i="7"/>
  <c r="I223" i="7"/>
  <c r="G243" i="7"/>
  <c r="N256" i="7"/>
  <c r="P258" i="7"/>
  <c r="N258" i="7"/>
  <c r="Q272" i="7"/>
  <c r="P298" i="7"/>
  <c r="O298" i="7"/>
  <c r="P304" i="7"/>
  <c r="N304" i="7"/>
  <c r="J322" i="7"/>
  <c r="I322" i="7"/>
  <c r="Q338" i="7"/>
  <c r="P344" i="7"/>
  <c r="N357" i="7"/>
  <c r="O357" i="7"/>
  <c r="P373" i="7"/>
  <c r="O373" i="7"/>
  <c r="O400" i="7"/>
  <c r="P400" i="7"/>
  <c r="N411" i="7"/>
  <c r="P411" i="7"/>
  <c r="N425" i="7"/>
  <c r="P425" i="7"/>
  <c r="O425" i="7"/>
  <c r="Q426" i="7"/>
  <c r="Q439" i="7"/>
  <c r="Q440" i="7"/>
  <c r="Q442" i="7"/>
  <c r="P455" i="7"/>
  <c r="O455" i="7"/>
  <c r="N455" i="7"/>
  <c r="Q463" i="7"/>
  <c r="D475" i="7"/>
  <c r="F476" i="7"/>
  <c r="F504" i="7"/>
  <c r="O518" i="7"/>
  <c r="O530" i="7"/>
  <c r="F533" i="7"/>
  <c r="N575" i="7"/>
  <c r="P575" i="7"/>
  <c r="O575" i="7"/>
  <c r="O631" i="7"/>
  <c r="N631" i="7"/>
  <c r="I638" i="7"/>
  <c r="I694" i="7"/>
  <c r="F697" i="7"/>
  <c r="F711" i="7"/>
  <c r="O735" i="7"/>
  <c r="P735" i="7"/>
  <c r="J745" i="7"/>
  <c r="I745" i="7"/>
  <c r="F761" i="7"/>
  <c r="G761" i="7"/>
  <c r="F774" i="7"/>
  <c r="E774" i="7"/>
  <c r="J787" i="7"/>
  <c r="I787" i="7"/>
  <c r="D791" i="7"/>
  <c r="G840" i="7"/>
  <c r="F840" i="7"/>
  <c r="E840" i="7"/>
  <c r="N850" i="7"/>
  <c r="O850" i="7"/>
  <c r="P850" i="7"/>
  <c r="Q851" i="7"/>
  <c r="D870" i="7"/>
  <c r="G870" i="7"/>
  <c r="F870" i="7"/>
  <c r="E870" i="7"/>
  <c r="Q934" i="7"/>
  <c r="E939" i="7"/>
  <c r="G148" i="7"/>
  <c r="F148" i="7"/>
  <c r="O690" i="7"/>
  <c r="N690" i="7"/>
  <c r="P690" i="7"/>
  <c r="I337" i="7"/>
  <c r="E465" i="7"/>
  <c r="J492" i="7"/>
  <c r="D839" i="7"/>
  <c r="N6" i="7"/>
  <c r="P6" i="7"/>
  <c r="O6" i="7"/>
  <c r="F170" i="7"/>
  <c r="J217" i="7"/>
  <c r="D399" i="7"/>
  <c r="I400" i="7"/>
  <c r="F403" i="7"/>
  <c r="N410" i="7"/>
  <c r="P410" i="7"/>
  <c r="O410" i="7"/>
  <c r="N424" i="7"/>
  <c r="P424" i="7"/>
  <c r="O424" i="7"/>
  <c r="G428" i="7"/>
  <c r="E428" i="7"/>
  <c r="D428" i="7"/>
  <c r="O470" i="7"/>
  <c r="P470" i="7"/>
  <c r="D509" i="7"/>
  <c r="I543" i="7"/>
  <c r="O50" i="7"/>
  <c r="P50" i="7"/>
  <c r="N50" i="7"/>
  <c r="D363" i="7"/>
  <c r="D508" i="7"/>
  <c r="I549" i="7"/>
  <c r="F247" i="7"/>
  <c r="I309" i="7"/>
  <c r="G329" i="7"/>
  <c r="Q392" i="7"/>
  <c r="E470" i="7"/>
  <c r="E490" i="7"/>
  <c r="F507" i="7"/>
  <c r="Q524" i="7"/>
  <c r="J216" i="7"/>
  <c r="E281" i="7"/>
  <c r="J330" i="7"/>
  <c r="Q582" i="7"/>
  <c r="E642" i="7"/>
  <c r="G749" i="7"/>
  <c r="D990" i="7"/>
  <c r="G990" i="7"/>
  <c r="P249" i="7"/>
  <c r="O249" i="7"/>
  <c r="N249" i="7"/>
  <c r="P259" i="7"/>
  <c r="O259" i="7"/>
  <c r="N259" i="7"/>
  <c r="P262" i="7"/>
  <c r="O262" i="7"/>
  <c r="Q326" i="7"/>
  <c r="O378" i="7"/>
  <c r="F380" i="7"/>
  <c r="Q384" i="7"/>
  <c r="Q388" i="7"/>
  <c r="P504" i="7"/>
  <c r="N504" i="7"/>
  <c r="D570" i="7"/>
  <c r="G570" i="7"/>
  <c r="F570" i="7"/>
  <c r="E570" i="7"/>
  <c r="G586" i="7"/>
  <c r="I612" i="7"/>
  <c r="J612" i="7"/>
  <c r="F642" i="7"/>
  <c r="O64" i="7"/>
  <c r="P64" i="7"/>
  <c r="Q8" i="7"/>
  <c r="O19" i="7"/>
  <c r="P19" i="7"/>
  <c r="Q20" i="7"/>
  <c r="P30" i="7"/>
  <c r="Q55" i="7"/>
  <c r="P56" i="7"/>
  <c r="O58" i="7"/>
  <c r="P58" i="7"/>
  <c r="N94" i="7"/>
  <c r="G96" i="7"/>
  <c r="F96" i="7"/>
  <c r="Q173" i="7"/>
  <c r="O177" i="7"/>
  <c r="Q198" i="7"/>
  <c r="Q202" i="7"/>
  <c r="J214" i="7"/>
  <c r="I214" i="7"/>
  <c r="N227" i="7"/>
  <c r="O256" i="7"/>
  <c r="Q346" i="7"/>
  <c r="Q354" i="7"/>
  <c r="J361" i="7"/>
  <c r="I361" i="7"/>
  <c r="Q368" i="7"/>
  <c r="O409" i="7"/>
  <c r="Q441" i="7"/>
  <c r="Q448" i="7"/>
  <c r="O450" i="7"/>
  <c r="P450" i="7"/>
  <c r="G504" i="7"/>
  <c r="P518" i="7"/>
  <c r="P530" i="7"/>
  <c r="N589" i="7"/>
  <c r="P589" i="7"/>
  <c r="O591" i="7"/>
  <c r="Q602" i="7"/>
  <c r="P650" i="7"/>
  <c r="G664" i="7"/>
  <c r="D664" i="7"/>
  <c r="F664" i="7"/>
  <c r="E664" i="7"/>
  <c r="D696" i="7"/>
  <c r="F696" i="7"/>
  <c r="N728" i="7"/>
  <c r="O728" i="7"/>
  <c r="E924" i="7"/>
  <c r="D924" i="7"/>
  <c r="O928" i="7"/>
  <c r="N928" i="7"/>
  <c r="G933" i="7"/>
  <c r="F933" i="7"/>
  <c r="E933" i="7"/>
  <c r="D933" i="7"/>
  <c r="Q436" i="7"/>
  <c r="J863" i="7"/>
  <c r="I863" i="7"/>
  <c r="N866" i="7"/>
  <c r="P866" i="7"/>
  <c r="O866" i="7"/>
  <c r="P992" i="7"/>
  <c r="O992" i="7"/>
  <c r="N992" i="7"/>
  <c r="J209" i="7"/>
  <c r="E224" i="7"/>
  <c r="Q232" i="7"/>
  <c r="I237" i="7"/>
  <c r="F265" i="7"/>
  <c r="Q270" i="7"/>
  <c r="E273" i="7"/>
  <c r="I290" i="7"/>
  <c r="I308" i="7"/>
  <c r="Q316" i="7"/>
  <c r="I348" i="7"/>
  <c r="I355" i="7"/>
  <c r="D359" i="7"/>
  <c r="I360" i="7"/>
  <c r="Q380" i="7"/>
  <c r="E393" i="7"/>
  <c r="D406" i="7"/>
  <c r="J415" i="7"/>
  <c r="I420" i="7"/>
  <c r="J429" i="7"/>
  <c r="D463" i="7"/>
  <c r="E464" i="7"/>
  <c r="P476" i="7"/>
  <c r="N508" i="7"/>
  <c r="G511" i="7"/>
  <c r="I515" i="7"/>
  <c r="I519" i="7"/>
  <c r="J541" i="7"/>
  <c r="I548" i="7"/>
  <c r="G555" i="7"/>
  <c r="E555" i="7"/>
  <c r="J564" i="7"/>
  <c r="Q575" i="7"/>
  <c r="G583" i="7"/>
  <c r="D583" i="7"/>
  <c r="J584" i="7"/>
  <c r="O590" i="7"/>
  <c r="P590" i="7"/>
  <c r="Q597" i="7"/>
  <c r="D604" i="7"/>
  <c r="J641" i="7"/>
  <c r="D663" i="7"/>
  <c r="O686" i="7"/>
  <c r="N686" i="7"/>
  <c r="N758" i="7"/>
  <c r="O758" i="7"/>
  <c r="Q760" i="7"/>
  <c r="I763" i="7"/>
  <c r="O823" i="7"/>
  <c r="P823" i="7"/>
  <c r="E830" i="7"/>
  <c r="D830" i="7"/>
  <c r="G842" i="7"/>
  <c r="F842" i="7"/>
  <c r="E842" i="7"/>
  <c r="G866" i="7"/>
  <c r="E866" i="7"/>
  <c r="D866" i="7"/>
  <c r="P875" i="7"/>
  <c r="N875" i="7"/>
  <c r="I904" i="7"/>
  <c r="J904" i="7"/>
  <c r="E923" i="7"/>
  <c r="G923" i="7"/>
  <c r="F923" i="7"/>
  <c r="J952" i="7"/>
  <c r="J955" i="7"/>
  <c r="P957" i="7"/>
  <c r="N957" i="7"/>
  <c r="G973" i="7"/>
  <c r="J979" i="7"/>
  <c r="I979" i="7"/>
  <c r="D759" i="7"/>
  <c r="E759" i="7"/>
  <c r="Q908" i="7"/>
  <c r="Q11" i="7"/>
  <c r="Q19" i="7"/>
  <c r="Q26" i="7"/>
  <c r="I40" i="7"/>
  <c r="Q49" i="7"/>
  <c r="E144" i="7"/>
  <c r="D158" i="7"/>
  <c r="D176" i="7"/>
  <c r="Q188" i="7"/>
  <c r="Q191" i="7"/>
  <c r="E194" i="7"/>
  <c r="I200" i="7"/>
  <c r="Q215" i="7"/>
  <c r="I245" i="7"/>
  <c r="I253" i="7"/>
  <c r="Q297" i="7"/>
  <c r="Q311" i="7"/>
  <c r="Q332" i="7"/>
  <c r="I338" i="7"/>
  <c r="D341" i="7"/>
  <c r="I344" i="7"/>
  <c r="I354" i="7"/>
  <c r="O364" i="7"/>
  <c r="J369" i="7"/>
  <c r="I378" i="7"/>
  <c r="Q379" i="7"/>
  <c r="E386" i="7"/>
  <c r="Q399" i="7"/>
  <c r="E406" i="7"/>
  <c r="Q409" i="7"/>
  <c r="Q435" i="7"/>
  <c r="Q450" i="7"/>
  <c r="Q459" i="7"/>
  <c r="D462" i="7"/>
  <c r="E463" i="7"/>
  <c r="F464" i="7"/>
  <c r="Q469" i="7"/>
  <c r="J482" i="7"/>
  <c r="D488" i="7"/>
  <c r="Q490" i="7"/>
  <c r="Q504" i="7"/>
  <c r="Q505" i="7"/>
  <c r="P509" i="7"/>
  <c r="Q533" i="7"/>
  <c r="F555" i="7"/>
  <c r="Q566" i="7"/>
  <c r="Q580" i="7"/>
  <c r="J591" i="7"/>
  <c r="I596" i="7"/>
  <c r="Q601" i="7"/>
  <c r="E604" i="7"/>
  <c r="Q613" i="7"/>
  <c r="Q634" i="7"/>
  <c r="I640" i="7"/>
  <c r="Q654" i="7"/>
  <c r="Q660" i="7"/>
  <c r="O676" i="7"/>
  <c r="P676" i="7"/>
  <c r="Q681" i="7"/>
  <c r="E683" i="7"/>
  <c r="Q684" i="7"/>
  <c r="Q705" i="7"/>
  <c r="N734" i="7"/>
  <c r="P734" i="7"/>
  <c r="O734" i="7"/>
  <c r="Q735" i="7"/>
  <c r="Q755" i="7"/>
  <c r="G759" i="7"/>
  <c r="N786" i="7"/>
  <c r="P786" i="7"/>
  <c r="O786" i="7"/>
  <c r="I791" i="7"/>
  <c r="N804" i="7"/>
  <c r="P804" i="7"/>
  <c r="O804" i="7"/>
  <c r="J859" i="7"/>
  <c r="F866" i="7"/>
  <c r="D923" i="7"/>
  <c r="Q959" i="7"/>
  <c r="Q291" i="7"/>
  <c r="O637" i="7"/>
  <c r="N637" i="7"/>
  <c r="Q361" i="7"/>
  <c r="F406" i="7"/>
  <c r="Q408" i="7"/>
  <c r="Q415" i="7"/>
  <c r="F463" i="7"/>
  <c r="Q500" i="7"/>
  <c r="G551" i="7"/>
  <c r="E551" i="7"/>
  <c r="P588" i="7"/>
  <c r="G604" i="7"/>
  <c r="G627" i="7"/>
  <c r="E627" i="7"/>
  <c r="P632" i="7"/>
  <c r="N632" i="7"/>
  <c r="O652" i="7"/>
  <c r="P652" i="7"/>
  <c r="D669" i="7"/>
  <c r="F669" i="7"/>
  <c r="E676" i="7"/>
  <c r="G676" i="7"/>
  <c r="D713" i="7"/>
  <c r="G713" i="7"/>
  <c r="F713" i="7"/>
  <c r="E739" i="7"/>
  <c r="G739" i="7"/>
  <c r="F739" i="7"/>
  <c r="D739" i="7"/>
  <c r="O753" i="7"/>
  <c r="P753" i="7"/>
  <c r="D769" i="7"/>
  <c r="G769" i="7"/>
  <c r="F769" i="7"/>
  <c r="N776" i="7"/>
  <c r="P776" i="7"/>
  <c r="N782" i="7"/>
  <c r="P782" i="7"/>
  <c r="O829" i="7"/>
  <c r="P829" i="7"/>
  <c r="E869" i="7"/>
  <c r="F869" i="7"/>
  <c r="D869" i="7"/>
  <c r="G869" i="7"/>
  <c r="P906" i="7"/>
  <c r="O906" i="7"/>
  <c r="N906" i="7"/>
  <c r="G909" i="7"/>
  <c r="F909" i="7"/>
  <c r="G940" i="7"/>
  <c r="F940" i="7"/>
  <c r="D940" i="7"/>
  <c r="O946" i="7"/>
  <c r="N946" i="7"/>
  <c r="O947" i="7"/>
  <c r="N947" i="7"/>
  <c r="G961" i="7"/>
  <c r="F961" i="7"/>
  <c r="N830" i="7"/>
  <c r="P830" i="7"/>
  <c r="O830" i="7"/>
  <c r="J5" i="7"/>
  <c r="Q37" i="7"/>
  <c r="Q40" i="7"/>
  <c r="Q53" i="7"/>
  <c r="Q68" i="7"/>
  <c r="Q96" i="7"/>
  <c r="G144" i="7"/>
  <c r="Q166" i="7"/>
  <c r="Q177" i="7"/>
  <c r="G194" i="7"/>
  <c r="Q200" i="7"/>
  <c r="J207" i="7"/>
  <c r="D218" i="7"/>
  <c r="E244" i="7"/>
  <c r="Q245" i="7"/>
  <c r="I248" i="7"/>
  <c r="E252" i="7"/>
  <c r="Q253" i="7"/>
  <c r="Q257" i="7"/>
  <c r="Q266" i="7"/>
  <c r="Q273" i="7"/>
  <c r="D306" i="7"/>
  <c r="D313" i="7"/>
  <c r="Q324" i="7"/>
  <c r="Q355" i="7"/>
  <c r="Q369" i="7"/>
  <c r="Q402" i="7"/>
  <c r="Q434" i="7"/>
  <c r="Q482" i="7"/>
  <c r="Q503" i="7"/>
  <c r="Q515" i="7"/>
  <c r="Q519" i="7"/>
  <c r="Q548" i="7"/>
  <c r="D551" i="7"/>
  <c r="I570" i="7"/>
  <c r="J570" i="7"/>
  <c r="Q586" i="7"/>
  <c r="Q591" i="7"/>
  <c r="G603" i="7"/>
  <c r="F603" i="7"/>
  <c r="D603" i="7"/>
  <c r="D627" i="7"/>
  <c r="Q630" i="7"/>
  <c r="J656" i="7"/>
  <c r="I656" i="7"/>
  <c r="J662" i="7"/>
  <c r="I662" i="7"/>
  <c r="I701" i="7"/>
  <c r="E713" i="7"/>
  <c r="D729" i="7"/>
  <c r="G730" i="7"/>
  <c r="D753" i="7"/>
  <c r="G753" i="7"/>
  <c r="F758" i="7"/>
  <c r="E769" i="7"/>
  <c r="Q773" i="7"/>
  <c r="F776" i="7"/>
  <c r="D776" i="7"/>
  <c r="E829" i="7"/>
  <c r="D829" i="7"/>
  <c r="G829" i="7"/>
  <c r="G841" i="7"/>
  <c r="F841" i="7"/>
  <c r="E841" i="7"/>
  <c r="Q857" i="7"/>
  <c r="Q887" i="7"/>
  <c r="G889" i="7"/>
  <c r="F889" i="7"/>
  <c r="D909" i="7"/>
  <c r="E940" i="7"/>
  <c r="E948" i="7"/>
  <c r="Q547" i="7"/>
  <c r="Q579" i="7"/>
  <c r="P580" i="7"/>
  <c r="Q590" i="7"/>
  <c r="Q636" i="7"/>
  <c r="Q659" i="7"/>
  <c r="Q667" i="7"/>
  <c r="Q676" i="7"/>
  <c r="Q707" i="7"/>
  <c r="P716" i="7"/>
  <c r="N716" i="7"/>
  <c r="G733" i="7"/>
  <c r="F733" i="7"/>
  <c r="J771" i="7"/>
  <c r="I771" i="7"/>
  <c r="E778" i="7"/>
  <c r="G778" i="7"/>
  <c r="F778" i="7"/>
  <c r="Q870" i="7"/>
  <c r="O879" i="7"/>
  <c r="P879" i="7"/>
  <c r="F908" i="7"/>
  <c r="E908" i="7"/>
  <c r="D908" i="7"/>
  <c r="F927" i="7"/>
  <c r="E927" i="7"/>
  <c r="D927" i="7"/>
  <c r="I639" i="7"/>
  <c r="J639" i="7"/>
  <c r="D689" i="7"/>
  <c r="E689" i="7"/>
  <c r="O747" i="7"/>
  <c r="P747" i="7"/>
  <c r="E794" i="7"/>
  <c r="D794" i="7"/>
  <c r="F821" i="7"/>
  <c r="E821" i="7"/>
  <c r="N838" i="7"/>
  <c r="P838" i="7"/>
  <c r="O838" i="7"/>
  <c r="F868" i="7"/>
  <c r="E868" i="7"/>
  <c r="D868" i="7"/>
  <c r="O897" i="7"/>
  <c r="N897" i="7"/>
  <c r="Q565" i="7"/>
  <c r="Q570" i="7"/>
  <c r="Q573" i="7"/>
  <c r="F618" i="7"/>
  <c r="Q619" i="7"/>
  <c r="Q624" i="7"/>
  <c r="D648" i="7"/>
  <c r="Q650" i="7"/>
  <c r="I658" i="7"/>
  <c r="Q663" i="7"/>
  <c r="I664" i="7"/>
  <c r="G670" i="7"/>
  <c r="G674" i="7"/>
  <c r="F674" i="7"/>
  <c r="J679" i="7"/>
  <c r="F689" i="7"/>
  <c r="Q717" i="7"/>
  <c r="E719" i="7"/>
  <c r="Q720" i="7"/>
  <c r="Q724" i="7"/>
  <c r="E727" i="7"/>
  <c r="E751" i="7"/>
  <c r="I761" i="7"/>
  <c r="I785" i="7"/>
  <c r="D788" i="7"/>
  <c r="F794" i="7"/>
  <c r="E797" i="7"/>
  <c r="E798" i="7"/>
  <c r="D799" i="7"/>
  <c r="G804" i="7"/>
  <c r="D821" i="7"/>
  <c r="D832" i="7"/>
  <c r="D833" i="7"/>
  <c r="G868" i="7"/>
  <c r="G875" i="7"/>
  <c r="D890" i="7"/>
  <c r="E890" i="7"/>
  <c r="E922" i="7"/>
  <c r="G952" i="7"/>
  <c r="D952" i="7"/>
  <c r="G968" i="7"/>
  <c r="F968" i="7"/>
  <c r="Q972" i="7"/>
  <c r="I975" i="7"/>
  <c r="G984" i="7"/>
  <c r="F984" i="7"/>
  <c r="Q583" i="7"/>
  <c r="Q584" i="7"/>
  <c r="Q594" i="7"/>
  <c r="E648" i="7"/>
  <c r="Q665" i="7"/>
  <c r="E678" i="7"/>
  <c r="F678" i="7"/>
  <c r="Q682" i="7"/>
  <c r="F719" i="7"/>
  <c r="G727" i="7"/>
  <c r="F732" i="7"/>
  <c r="E732" i="7"/>
  <c r="G732" i="7"/>
  <c r="F751" i="7"/>
  <c r="Q762" i="7"/>
  <c r="G777" i="7"/>
  <c r="F777" i="7"/>
  <c r="G794" i="7"/>
  <c r="E799" i="7"/>
  <c r="D803" i="7"/>
  <c r="E817" i="7"/>
  <c r="D817" i="7"/>
  <c r="G817" i="7"/>
  <c r="G821" i="7"/>
  <c r="Q822" i="7"/>
  <c r="E832" i="7"/>
  <c r="J842" i="7"/>
  <c r="Q865" i="7"/>
  <c r="O871" i="7"/>
  <c r="P871" i="7"/>
  <c r="N871" i="7"/>
  <c r="E874" i="7"/>
  <c r="F890" i="7"/>
  <c r="Q895" i="7"/>
  <c r="D897" i="7"/>
  <c r="F902" i="7"/>
  <c r="D914" i="7"/>
  <c r="F922" i="7"/>
  <c r="O950" i="7"/>
  <c r="N950" i="7"/>
  <c r="E952" i="7"/>
  <c r="Q987" i="7"/>
  <c r="Q992" i="7"/>
  <c r="F770" i="7"/>
  <c r="E770" i="7"/>
  <c r="Q871" i="7"/>
  <c r="E873" i="7"/>
  <c r="F873" i="7"/>
  <c r="E901" i="7"/>
  <c r="F901" i="7"/>
  <c r="D901" i="7"/>
  <c r="Q910" i="7"/>
  <c r="Q915" i="7"/>
  <c r="O941" i="7"/>
  <c r="N941" i="7"/>
  <c r="Q670" i="7"/>
  <c r="Q701" i="7"/>
  <c r="Q713" i="7"/>
  <c r="Q754" i="7"/>
  <c r="Q761" i="7"/>
  <c r="D770" i="7"/>
  <c r="Q771" i="7"/>
  <c r="Q774" i="7"/>
  <c r="Q775" i="7"/>
  <c r="E785" i="7"/>
  <c r="D785" i="7"/>
  <c r="D864" i="7"/>
  <c r="D865" i="7"/>
  <c r="D867" i="7"/>
  <c r="E886" i="7"/>
  <c r="Q888" i="7"/>
  <c r="G901" i="7"/>
  <c r="D917" i="7"/>
  <c r="G934" i="7"/>
  <c r="F934" i="7"/>
  <c r="E934" i="7"/>
  <c r="D934" i="7"/>
  <c r="P969" i="7"/>
  <c r="N969" i="7"/>
  <c r="G972" i="7"/>
  <c r="F972" i="7"/>
  <c r="E972" i="7"/>
  <c r="Q986" i="7"/>
  <c r="I991" i="7"/>
  <c r="Q1001" i="7"/>
  <c r="I1003" i="7"/>
  <c r="Q846" i="7"/>
  <c r="Q849" i="7"/>
  <c r="F867" i="7"/>
  <c r="Q873" i="7"/>
  <c r="G886" i="7"/>
  <c r="E891" i="7"/>
  <c r="O907" i="7"/>
  <c r="P907" i="7"/>
  <c r="Q912" i="7"/>
  <c r="O923" i="7"/>
  <c r="N923" i="7"/>
  <c r="Q926" i="7"/>
  <c r="G976" i="7"/>
  <c r="Q983" i="7"/>
  <c r="P1002" i="7"/>
  <c r="O1002" i="7"/>
  <c r="Q985" i="7"/>
  <c r="D932" i="7"/>
  <c r="J973" i="7"/>
  <c r="Q1002" i="7"/>
  <c r="Q772" i="7"/>
  <c r="Q815" i="7"/>
  <c r="Q850" i="7"/>
  <c r="D926" i="7"/>
  <c r="D928" i="7"/>
  <c r="D930" i="7"/>
  <c r="D931" i="7"/>
  <c r="E932" i="7"/>
  <c r="J940" i="7"/>
  <c r="D944" i="7"/>
  <c r="E960" i="7"/>
  <c r="I987" i="7"/>
  <c r="E997" i="7"/>
  <c r="F1004" i="7"/>
  <c r="Q729" i="7"/>
  <c r="G818" i="7"/>
  <c r="J823" i="7"/>
  <c r="Q825" i="7"/>
  <c r="Q827" i="7"/>
  <c r="J849" i="7"/>
  <c r="J865" i="7"/>
  <c r="Q874" i="7"/>
  <c r="Q883" i="7"/>
  <c r="F888" i="7"/>
  <c r="J890" i="7"/>
  <c r="Q893" i="7"/>
  <c r="Q906" i="7"/>
  <c r="I911" i="7"/>
  <c r="Q918" i="7"/>
  <c r="Q946" i="7"/>
  <c r="Q948" i="7"/>
  <c r="Q956" i="7"/>
  <c r="Q978" i="7"/>
  <c r="F997" i="7"/>
  <c r="Q998" i="7"/>
  <c r="I1001" i="7"/>
  <c r="B16" i="9"/>
  <c r="P119" i="7"/>
  <c r="O119" i="7"/>
  <c r="G128" i="7"/>
  <c r="F128" i="7"/>
  <c r="E128" i="7"/>
  <c r="D128" i="7"/>
  <c r="G140" i="7"/>
  <c r="F140" i="7"/>
  <c r="P155" i="7"/>
  <c r="O155" i="7"/>
  <c r="P183" i="7"/>
  <c r="N183" i="7"/>
  <c r="I402" i="7"/>
  <c r="J402" i="7"/>
  <c r="O31" i="7"/>
  <c r="P31" i="7"/>
  <c r="F752" i="7"/>
  <c r="G752" i="7"/>
  <c r="D752" i="7"/>
  <c r="E752" i="7"/>
  <c r="F812" i="7"/>
  <c r="G812" i="7"/>
  <c r="E812" i="7"/>
  <c r="D812" i="7"/>
  <c r="I19" i="7"/>
  <c r="J88" i="7"/>
  <c r="J302" i="7"/>
  <c r="I302" i="7"/>
  <c r="O336" i="7"/>
  <c r="N336" i="7"/>
  <c r="P336" i="7"/>
  <c r="O692" i="7"/>
  <c r="P692" i="7"/>
  <c r="N692" i="7"/>
  <c r="D26" i="7"/>
  <c r="F62" i="7"/>
  <c r="I95" i="7"/>
  <c r="D99" i="7"/>
  <c r="F154" i="7"/>
  <c r="G154" i="7"/>
  <c r="P290" i="7"/>
  <c r="O290" i="7"/>
  <c r="P301" i="7"/>
  <c r="O301" i="7"/>
  <c r="N301" i="7"/>
  <c r="O492" i="7"/>
  <c r="P492" i="7"/>
  <c r="F795" i="7"/>
  <c r="G795" i="7"/>
  <c r="E795" i="7"/>
  <c r="D795" i="7"/>
  <c r="B20" i="9"/>
  <c r="H53" i="9" s="1"/>
  <c r="B21" i="9"/>
  <c r="B22" i="9"/>
  <c r="H55" i="9" s="1"/>
  <c r="B23" i="9"/>
  <c r="H56" i="9" s="1"/>
  <c r="B24" i="9"/>
  <c r="B13" i="9"/>
  <c r="C8" i="9"/>
  <c r="B17" i="9"/>
  <c r="H50" i="9" s="1"/>
  <c r="B18" i="9"/>
  <c r="B19" i="9"/>
  <c r="B14" i="9"/>
  <c r="B15" i="9"/>
  <c r="H48" i="9" s="1"/>
  <c r="E178" i="7"/>
  <c r="E182" i="7"/>
  <c r="D182" i="7"/>
  <c r="F182" i="7"/>
  <c r="G182" i="7"/>
  <c r="P235" i="7"/>
  <c r="N235" i="7"/>
  <c r="J276" i="7"/>
  <c r="I276" i="7"/>
  <c r="N558" i="7"/>
  <c r="P558" i="7"/>
  <c r="O558" i="7"/>
  <c r="G802" i="7"/>
  <c r="F802" i="7"/>
  <c r="E802" i="7"/>
  <c r="D802" i="7"/>
  <c r="N98" i="7"/>
  <c r="P98" i="7"/>
  <c r="O98" i="7"/>
  <c r="J99" i="7"/>
  <c r="I99" i="7"/>
  <c r="I124" i="7"/>
  <c r="O934" i="7"/>
  <c r="N934" i="7"/>
  <c r="O40" i="7"/>
  <c r="P40" i="7"/>
  <c r="G178" i="7"/>
  <c r="P224" i="7"/>
  <c r="O224" i="7"/>
  <c r="N224" i="7"/>
  <c r="P238" i="7"/>
  <c r="O238" i="7"/>
  <c r="N238" i="7"/>
  <c r="P375" i="7"/>
  <c r="N375" i="7"/>
  <c r="I554" i="7"/>
  <c r="N626" i="7"/>
  <c r="P626" i="7"/>
  <c r="O626" i="7"/>
  <c r="P639" i="7"/>
  <c r="O639" i="7"/>
  <c r="N639" i="7"/>
  <c r="E74" i="7"/>
  <c r="F74" i="7"/>
  <c r="D74" i="7"/>
  <c r="P117" i="7"/>
  <c r="O117" i="7"/>
  <c r="N117" i="7"/>
  <c r="Q350" i="7"/>
  <c r="J642" i="7"/>
  <c r="O646" i="7"/>
  <c r="P646" i="7"/>
  <c r="I777" i="7"/>
  <c r="J777" i="7"/>
  <c r="N11" i="7"/>
  <c r="J25" i="7"/>
  <c r="I25" i="7"/>
  <c r="O32" i="7"/>
  <c r="P32" i="7"/>
  <c r="N32" i="7"/>
  <c r="E53" i="7"/>
  <c r="D53" i="7"/>
  <c r="I64" i="7"/>
  <c r="E101" i="7"/>
  <c r="G101" i="7"/>
  <c r="F101" i="7"/>
  <c r="P106" i="7"/>
  <c r="G120" i="7"/>
  <c r="F120" i="7"/>
  <c r="J121" i="7"/>
  <c r="P129" i="7"/>
  <c r="O129" i="7"/>
  <c r="N129" i="7"/>
  <c r="J133" i="7"/>
  <c r="G184" i="7"/>
  <c r="F184" i="7"/>
  <c r="J185" i="7"/>
  <c r="Q204" i="7"/>
  <c r="P214" i="7"/>
  <c r="P263" i="7"/>
  <c r="N263" i="7"/>
  <c r="O263" i="7"/>
  <c r="J296" i="7"/>
  <c r="I296" i="7"/>
  <c r="I390" i="7"/>
  <c r="J390" i="7"/>
  <c r="P473" i="7"/>
  <c r="O473" i="7"/>
  <c r="N473" i="7"/>
  <c r="G543" i="7"/>
  <c r="F543" i="7"/>
  <c r="E543" i="7"/>
  <c r="D543" i="7"/>
  <c r="N551" i="7"/>
  <c r="O551" i="7"/>
  <c r="G773" i="7"/>
  <c r="F773" i="7"/>
  <c r="E773" i="7"/>
  <c r="D773" i="7"/>
  <c r="P493" i="7"/>
  <c r="O493" i="7"/>
  <c r="P83" i="7"/>
  <c r="O83" i="7"/>
  <c r="N83" i="7"/>
  <c r="G227" i="7"/>
  <c r="D227" i="7"/>
  <c r="E227" i="7"/>
  <c r="P240" i="7"/>
  <c r="O240" i="7"/>
  <c r="N240" i="7"/>
  <c r="E704" i="7"/>
  <c r="F704" i="7"/>
  <c r="G704" i="7"/>
  <c r="D704" i="7"/>
  <c r="I34" i="7"/>
  <c r="J80" i="7"/>
  <c r="F106" i="7"/>
  <c r="G106" i="7"/>
  <c r="E106" i="7"/>
  <c r="Q138" i="7"/>
  <c r="G233" i="7"/>
  <c r="F233" i="7"/>
  <c r="E233" i="7"/>
  <c r="D233" i="7"/>
  <c r="P276" i="7"/>
  <c r="O276" i="7"/>
  <c r="O811" i="7"/>
  <c r="P811" i="7"/>
  <c r="D106" i="7"/>
  <c r="G118" i="7"/>
  <c r="F118" i="7"/>
  <c r="E118" i="7"/>
  <c r="J462" i="7"/>
  <c r="I462" i="7"/>
  <c r="G811" i="7"/>
  <c r="F811" i="7"/>
  <c r="E811" i="7"/>
  <c r="I813" i="7"/>
  <c r="J833" i="7"/>
  <c r="I833" i="7"/>
  <c r="I112" i="7"/>
  <c r="J265" i="7"/>
  <c r="I265" i="7"/>
  <c r="O322" i="7"/>
  <c r="P322" i="7"/>
  <c r="N416" i="7"/>
  <c r="P416" i="7"/>
  <c r="O416" i="7"/>
  <c r="G807" i="7"/>
  <c r="F807" i="7"/>
  <c r="E807" i="7"/>
  <c r="D807" i="7"/>
  <c r="D811" i="7"/>
  <c r="O61" i="7"/>
  <c r="P61" i="7"/>
  <c r="O71" i="7"/>
  <c r="N71" i="7"/>
  <c r="F178" i="7"/>
  <c r="P239" i="7"/>
  <c r="N239" i="7"/>
  <c r="J301" i="7"/>
  <c r="I301" i="7"/>
  <c r="I376" i="7"/>
  <c r="D687" i="7"/>
  <c r="G687" i="7"/>
  <c r="E687" i="7"/>
  <c r="J803" i="7"/>
  <c r="G918" i="7"/>
  <c r="F918" i="7"/>
  <c r="E918" i="7"/>
  <c r="D918" i="7"/>
  <c r="P105" i="7"/>
  <c r="O105" i="7"/>
  <c r="N105" i="7"/>
  <c r="J109" i="7"/>
  <c r="P232" i="7"/>
  <c r="O232" i="7"/>
  <c r="N232" i="7"/>
  <c r="I297" i="7"/>
  <c r="F558" i="7"/>
  <c r="J193" i="7"/>
  <c r="O335" i="7"/>
  <c r="N335" i="7"/>
  <c r="P335" i="7"/>
  <c r="D516" i="7"/>
  <c r="E516" i="7"/>
  <c r="G516" i="7"/>
  <c r="F516" i="7"/>
  <c r="P141" i="7"/>
  <c r="O141" i="7"/>
  <c r="N141" i="7"/>
  <c r="G168" i="7"/>
  <c r="E168" i="7"/>
  <c r="D168" i="7"/>
  <c r="F168" i="7"/>
  <c r="F231" i="7"/>
  <c r="G231" i="7"/>
  <c r="P234" i="7"/>
  <c r="N234" i="7"/>
  <c r="O234" i="7"/>
  <c r="J246" i="7"/>
  <c r="I246" i="7"/>
  <c r="G473" i="7"/>
  <c r="F473" i="7"/>
  <c r="E473" i="7"/>
  <c r="I547" i="7"/>
  <c r="J547" i="7"/>
  <c r="D709" i="7"/>
  <c r="G709" i="7"/>
  <c r="F709" i="7"/>
  <c r="G100" i="7"/>
  <c r="F100" i="7"/>
  <c r="E100" i="7"/>
  <c r="P236" i="7"/>
  <c r="O236" i="7"/>
  <c r="N236" i="7"/>
  <c r="I87" i="7"/>
  <c r="P131" i="7"/>
  <c r="O131" i="7"/>
  <c r="D140" i="7"/>
  <c r="O54" i="7"/>
  <c r="N54" i="7"/>
  <c r="P54" i="7"/>
  <c r="O72" i="7"/>
  <c r="P72" i="7"/>
  <c r="N72" i="7"/>
  <c r="E140" i="7"/>
  <c r="P147" i="7"/>
  <c r="N147" i="7"/>
  <c r="O147" i="7"/>
  <c r="O154" i="7"/>
  <c r="P154" i="7"/>
  <c r="I463" i="7"/>
  <c r="J463" i="7"/>
  <c r="J94" i="7"/>
  <c r="N356" i="7"/>
  <c r="P356" i="7"/>
  <c r="O356" i="7"/>
  <c r="G384" i="7"/>
  <c r="F384" i="7"/>
  <c r="E384" i="7"/>
  <c r="D384" i="7"/>
  <c r="O18" i="7"/>
  <c r="N18" i="7"/>
  <c r="P18" i="7"/>
  <c r="O33" i="7"/>
  <c r="P33" i="7"/>
  <c r="N33" i="7"/>
  <c r="I86" i="7"/>
  <c r="G130" i="7"/>
  <c r="F130" i="7"/>
  <c r="E130" i="7"/>
  <c r="O53" i="7"/>
  <c r="P53" i="7"/>
  <c r="N53" i="7"/>
  <c r="J61" i="7"/>
  <c r="I61" i="7"/>
  <c r="G108" i="7"/>
  <c r="F108" i="7"/>
  <c r="E146" i="7"/>
  <c r="G146" i="7"/>
  <c r="F146" i="7"/>
  <c r="D146" i="7"/>
  <c r="P354" i="7"/>
  <c r="N354" i="7"/>
  <c r="G412" i="7"/>
  <c r="E412" i="7"/>
  <c r="O17" i="7"/>
  <c r="P17" i="7"/>
  <c r="N17" i="7"/>
  <c r="P84" i="7"/>
  <c r="N84" i="7"/>
  <c r="E108" i="7"/>
  <c r="P118" i="7"/>
  <c r="G132" i="7"/>
  <c r="F132" i="7"/>
  <c r="C4" i="9"/>
  <c r="A4" i="9"/>
  <c r="G4" i="9"/>
  <c r="E4" i="9"/>
  <c r="Q5" i="7"/>
  <c r="E17" i="7"/>
  <c r="D17" i="7"/>
  <c r="D32" i="7"/>
  <c r="O47" i="7"/>
  <c r="N47" i="7"/>
  <c r="P47" i="7"/>
  <c r="O60" i="7"/>
  <c r="P60" i="7"/>
  <c r="N60" i="7"/>
  <c r="O63" i="7"/>
  <c r="P63" i="7"/>
  <c r="N63" i="7"/>
  <c r="O73" i="7"/>
  <c r="P73" i="7"/>
  <c r="P76" i="7"/>
  <c r="N76" i="7"/>
  <c r="F84" i="7"/>
  <c r="D84" i="7"/>
  <c r="F97" i="7"/>
  <c r="E104" i="7"/>
  <c r="F104" i="7"/>
  <c r="G104" i="7"/>
  <c r="E120" i="7"/>
  <c r="P130" i="7"/>
  <c r="D132" i="7"/>
  <c r="E184" i="7"/>
  <c r="Q189" i="7"/>
  <c r="J192" i="7"/>
  <c r="I192" i="7"/>
  <c r="J198" i="7"/>
  <c r="E222" i="7"/>
  <c r="E223" i="7"/>
  <c r="D231" i="7"/>
  <c r="E237" i="7"/>
  <c r="G237" i="7"/>
  <c r="F237" i="7"/>
  <c r="D237" i="7"/>
  <c r="F285" i="7"/>
  <c r="N546" i="7"/>
  <c r="P546" i="7"/>
  <c r="O546" i="7"/>
  <c r="J705" i="7"/>
  <c r="I705" i="7"/>
  <c r="E709" i="7"/>
  <c r="O62" i="7"/>
  <c r="P62" i="7"/>
  <c r="N62" i="7"/>
  <c r="P284" i="7"/>
  <c r="O284" i="7"/>
  <c r="O323" i="7"/>
  <c r="P323" i="7"/>
  <c r="E343" i="7"/>
  <c r="G343" i="7"/>
  <c r="F343" i="7"/>
  <c r="Q206" i="7"/>
  <c r="P233" i="7"/>
  <c r="N233" i="7"/>
  <c r="P305" i="7"/>
  <c r="N305" i="7"/>
  <c r="D343" i="7"/>
  <c r="J464" i="7"/>
  <c r="I464" i="7"/>
  <c r="G493" i="7"/>
  <c r="D493" i="7"/>
  <c r="G598" i="7"/>
  <c r="F598" i="7"/>
  <c r="E598" i="7"/>
  <c r="D598" i="7"/>
  <c r="D62" i="7"/>
  <c r="P75" i="7"/>
  <c r="O75" i="7"/>
  <c r="N75" i="7"/>
  <c r="I834" i="7"/>
  <c r="J834" i="7"/>
  <c r="O38" i="7"/>
  <c r="P38" i="7"/>
  <c r="N38" i="7"/>
  <c r="O46" i="7"/>
  <c r="P46" i="7"/>
  <c r="J594" i="7"/>
  <c r="I594" i="7"/>
  <c r="I663" i="7"/>
  <c r="J663" i="7"/>
  <c r="P982" i="7"/>
  <c r="N982" i="7"/>
  <c r="O982" i="7"/>
  <c r="D154" i="7"/>
  <c r="J195" i="7"/>
  <c r="P355" i="7"/>
  <c r="O355" i="7"/>
  <c r="G487" i="7"/>
  <c r="F487" i="7"/>
  <c r="E487" i="7"/>
  <c r="D130" i="7"/>
  <c r="E154" i="7"/>
  <c r="F162" i="7"/>
  <c r="G162" i="7"/>
  <c r="E162" i="7"/>
  <c r="F193" i="7"/>
  <c r="G235" i="7"/>
  <c r="F235" i="7"/>
  <c r="E235" i="7"/>
  <c r="N311" i="7"/>
  <c r="O311" i="7"/>
  <c r="F592" i="7"/>
  <c r="D592" i="7"/>
  <c r="G592" i="7"/>
  <c r="E592" i="7"/>
  <c r="G935" i="7"/>
  <c r="E935" i="7"/>
  <c r="D935" i="7"/>
  <c r="F935" i="7"/>
  <c r="O25" i="7"/>
  <c r="P25" i="7"/>
  <c r="O74" i="7"/>
  <c r="P74" i="7"/>
  <c r="N74" i="7"/>
  <c r="I136" i="7"/>
  <c r="I460" i="7"/>
  <c r="J460" i="7"/>
  <c r="I484" i="7"/>
  <c r="J484" i="7"/>
  <c r="O512" i="7"/>
  <c r="P512" i="7"/>
  <c r="N512" i="7"/>
  <c r="P153" i="7"/>
  <c r="O153" i="7"/>
  <c r="N153" i="7"/>
  <c r="O184" i="7"/>
  <c r="P184" i="7"/>
  <c r="O24" i="7"/>
  <c r="P24" i="7"/>
  <c r="N24" i="7"/>
  <c r="O39" i="7"/>
  <c r="P39" i="7"/>
  <c r="N39" i="7"/>
  <c r="Q56" i="7"/>
  <c r="P71" i="7"/>
  <c r="E73" i="7"/>
  <c r="D73" i="7"/>
  <c r="F76" i="7"/>
  <c r="D76" i="7"/>
  <c r="P107" i="7"/>
  <c r="O107" i="7"/>
  <c r="Q114" i="7"/>
  <c r="F116" i="7"/>
  <c r="E116" i="7"/>
  <c r="G116" i="7"/>
  <c r="D116" i="7"/>
  <c r="E132" i="7"/>
  <c r="Q203" i="7"/>
  <c r="F222" i="7"/>
  <c r="E231" i="7"/>
  <c r="Q259" i="7"/>
  <c r="F270" i="7"/>
  <c r="E270" i="7"/>
  <c r="Q282" i="7"/>
  <c r="O343" i="7"/>
  <c r="N343" i="7"/>
  <c r="P343" i="7"/>
  <c r="F389" i="7"/>
  <c r="E389" i="7"/>
  <c r="D389" i="7"/>
  <c r="I465" i="7"/>
  <c r="J465" i="7"/>
  <c r="G624" i="7"/>
  <c r="E624" i="7"/>
  <c r="F624" i="7"/>
  <c r="D624" i="7"/>
  <c r="I697" i="7"/>
  <c r="J697" i="7"/>
  <c r="N330" i="7"/>
  <c r="O330" i="7"/>
  <c r="O331" i="7"/>
  <c r="P331" i="7"/>
  <c r="N331" i="7"/>
  <c r="E335" i="7"/>
  <c r="G335" i="7"/>
  <c r="F335" i="7"/>
  <c r="Q352" i="7"/>
  <c r="D354" i="7"/>
  <c r="F354" i="7"/>
  <c r="I257" i="7"/>
  <c r="D335" i="7"/>
  <c r="N347" i="7"/>
  <c r="P347" i="7"/>
  <c r="O347" i="7"/>
  <c r="P367" i="7"/>
  <c r="O367" i="7"/>
  <c r="D486" i="7"/>
  <c r="D152" i="7"/>
  <c r="O166" i="7"/>
  <c r="P166" i="7"/>
  <c r="F221" i="7"/>
  <c r="G221" i="7"/>
  <c r="J224" i="7"/>
  <c r="J261" i="7"/>
  <c r="I261" i="7"/>
  <c r="I306" i="7"/>
  <c r="N393" i="7"/>
  <c r="O393" i="7"/>
  <c r="G404" i="7"/>
  <c r="F404" i="7"/>
  <c r="E404" i="7"/>
  <c r="J411" i="7"/>
  <c r="J447" i="7"/>
  <c r="I467" i="7"/>
  <c r="J467" i="7"/>
  <c r="E486" i="7"/>
  <c r="N502" i="7"/>
  <c r="O502" i="7"/>
  <c r="F789" i="7"/>
  <c r="E789" i="7"/>
  <c r="D789" i="7"/>
  <c r="N5" i="7"/>
  <c r="E16" i="9"/>
  <c r="G16" i="9" s="1"/>
  <c r="E17" i="9"/>
  <c r="G17" i="9" s="1"/>
  <c r="E15" i="9"/>
  <c r="G15" i="9" s="1"/>
  <c r="E19" i="9"/>
  <c r="G19" i="9" s="1"/>
  <c r="E18" i="9"/>
  <c r="G18" i="9" s="1"/>
  <c r="E14" i="9"/>
  <c r="G14" i="9" s="1"/>
  <c r="E21" i="9"/>
  <c r="G21" i="9" s="1"/>
  <c r="E20" i="9"/>
  <c r="G20" i="9" s="1"/>
  <c r="F11" i="7"/>
  <c r="J83" i="7"/>
  <c r="P190" i="7"/>
  <c r="N211" i="7"/>
  <c r="P211" i="7"/>
  <c r="D212" i="7"/>
  <c r="N213" i="7"/>
  <c r="O213" i="7"/>
  <c r="F214" i="7"/>
  <c r="J305" i="7"/>
  <c r="G373" i="7"/>
  <c r="E373" i="7"/>
  <c r="D388" i="7"/>
  <c r="I446" i="7"/>
  <c r="J459" i="7"/>
  <c r="O466" i="7"/>
  <c r="P466" i="7"/>
  <c r="F486" i="7"/>
  <c r="D534" i="7"/>
  <c r="G534" i="7"/>
  <c r="J686" i="7"/>
  <c r="I686" i="7"/>
  <c r="I730" i="7"/>
  <c r="J730" i="7"/>
  <c r="F750" i="7"/>
  <c r="G789" i="7"/>
  <c r="F806" i="7"/>
  <c r="G806" i="7"/>
  <c r="E806" i="7"/>
  <c r="D806" i="7"/>
  <c r="F9" i="7"/>
  <c r="I16" i="7"/>
  <c r="J73" i="7"/>
  <c r="J76" i="7"/>
  <c r="J100" i="7"/>
  <c r="I101" i="7"/>
  <c r="F102" i="7"/>
  <c r="E189" i="7"/>
  <c r="D189" i="7"/>
  <c r="D206" i="7"/>
  <c r="E212" i="7"/>
  <c r="I231" i="7"/>
  <c r="J304" i="7"/>
  <c r="N312" i="7"/>
  <c r="P312" i="7"/>
  <c r="O312" i="7"/>
  <c r="G458" i="7"/>
  <c r="F458" i="7"/>
  <c r="E458" i="7"/>
  <c r="D458" i="7"/>
  <c r="I503" i="7"/>
  <c r="N571" i="7"/>
  <c r="P571" i="7"/>
  <c r="O571" i="7"/>
  <c r="F572" i="7"/>
  <c r="J603" i="7"/>
  <c r="I604" i="7"/>
  <c r="E782" i="7"/>
  <c r="N788" i="7"/>
  <c r="P788" i="7"/>
  <c r="O788" i="7"/>
  <c r="D894" i="7"/>
  <c r="G894" i="7"/>
  <c r="F894" i="7"/>
  <c r="F7" i="7"/>
  <c r="I11" i="7"/>
  <c r="I13" i="7"/>
  <c r="I15" i="7"/>
  <c r="D29" i="7"/>
  <c r="I37" i="7"/>
  <c r="Q38" i="7"/>
  <c r="D68" i="7"/>
  <c r="J70" i="7"/>
  <c r="Q77" i="7"/>
  <c r="Q83" i="7"/>
  <c r="Q85" i="7"/>
  <c r="O88" i="7"/>
  <c r="D92" i="7"/>
  <c r="G102" i="7"/>
  <c r="I106" i="7"/>
  <c r="Q108" i="7"/>
  <c r="D114" i="7"/>
  <c r="J115" i="7"/>
  <c r="I118" i="7"/>
  <c r="D126" i="7"/>
  <c r="J127" i="7"/>
  <c r="I130" i="7"/>
  <c r="Q132" i="7"/>
  <c r="E138" i="7"/>
  <c r="Q140" i="7"/>
  <c r="P142" i="7"/>
  <c r="G160" i="7"/>
  <c r="Q162" i="7"/>
  <c r="E166" i="7"/>
  <c r="E174" i="7"/>
  <c r="Q175" i="7"/>
  <c r="P178" i="7"/>
  <c r="Q183" i="7"/>
  <c r="E188" i="7"/>
  <c r="F189" i="7"/>
  <c r="P191" i="7"/>
  <c r="N191" i="7"/>
  <c r="P192" i="7"/>
  <c r="P197" i="7"/>
  <c r="O197" i="7"/>
  <c r="D198" i="7"/>
  <c r="E200" i="7"/>
  <c r="E201" i="7"/>
  <c r="F201" i="7"/>
  <c r="D202" i="7"/>
  <c r="E203" i="7"/>
  <c r="D203" i="7"/>
  <c r="E204" i="7"/>
  <c r="D205" i="7"/>
  <c r="E206" i="7"/>
  <c r="F207" i="7"/>
  <c r="E210" i="7"/>
  <c r="F212" i="7"/>
  <c r="D216" i="7"/>
  <c r="D217" i="7"/>
  <c r="D220" i="7"/>
  <c r="F220" i="7"/>
  <c r="Q224" i="7"/>
  <c r="Q229" i="7"/>
  <c r="I249" i="7"/>
  <c r="Q262" i="7"/>
  <c r="P266" i="7"/>
  <c r="O266" i="7"/>
  <c r="E267" i="7"/>
  <c r="E268" i="7"/>
  <c r="P277" i="7"/>
  <c r="O277" i="7"/>
  <c r="N277" i="7"/>
  <c r="I288" i="7"/>
  <c r="E293" i="7"/>
  <c r="Q295" i="7"/>
  <c r="G312" i="7"/>
  <c r="F312" i="7"/>
  <c r="I314" i="7"/>
  <c r="F325" i="7"/>
  <c r="O345" i="7"/>
  <c r="P345" i="7"/>
  <c r="I364" i="7"/>
  <c r="I404" i="7"/>
  <c r="F420" i="7"/>
  <c r="J421" i="7"/>
  <c r="I421" i="7"/>
  <c r="N428" i="7"/>
  <c r="P428" i="7"/>
  <c r="O428" i="7"/>
  <c r="J433" i="7"/>
  <c r="G495" i="7"/>
  <c r="D495" i="7"/>
  <c r="F495" i="7"/>
  <c r="E495" i="7"/>
  <c r="G518" i="7"/>
  <c r="F518" i="7"/>
  <c r="G519" i="7"/>
  <c r="F519" i="7"/>
  <c r="E519" i="7"/>
  <c r="F534" i="7"/>
  <c r="G572" i="7"/>
  <c r="J573" i="7"/>
  <c r="G578" i="7"/>
  <c r="F578" i="7"/>
  <c r="E578" i="7"/>
  <c r="N622" i="7"/>
  <c r="P622" i="7"/>
  <c r="O622" i="7"/>
  <c r="I669" i="7"/>
  <c r="J669" i="7"/>
  <c r="N710" i="7"/>
  <c r="O710" i="7"/>
  <c r="P710" i="7"/>
  <c r="G746" i="7"/>
  <c r="E746" i="7"/>
  <c r="D746" i="7"/>
  <c r="J748" i="7"/>
  <c r="F782" i="7"/>
  <c r="N808" i="7"/>
  <c r="P808" i="7"/>
  <c r="O808" i="7"/>
  <c r="G847" i="7"/>
  <c r="F847" i="7"/>
  <c r="E847" i="7"/>
  <c r="D847" i="7"/>
  <c r="E894" i="7"/>
  <c r="P255" i="7"/>
  <c r="O255" i="7"/>
  <c r="P269" i="7"/>
  <c r="O269" i="7"/>
  <c r="P326" i="7"/>
  <c r="O326" i="7"/>
  <c r="O339" i="7"/>
  <c r="P339" i="7"/>
  <c r="N339" i="7"/>
  <c r="G446" i="7"/>
  <c r="F446" i="7"/>
  <c r="E446" i="7"/>
  <c r="J449" i="7"/>
  <c r="I449" i="7"/>
  <c r="D695" i="7"/>
  <c r="E695" i="7"/>
  <c r="J767" i="7"/>
  <c r="I767" i="7"/>
  <c r="E321" i="7"/>
  <c r="F321" i="7"/>
  <c r="E383" i="7"/>
  <c r="F383" i="7"/>
  <c r="D446" i="7"/>
  <c r="I448" i="7"/>
  <c r="D750" i="7"/>
  <c r="J753" i="7"/>
  <c r="I753" i="7"/>
  <c r="N810" i="7"/>
  <c r="O810" i="7"/>
  <c r="P810" i="7"/>
  <c r="D38" i="7"/>
  <c r="G183" i="7"/>
  <c r="D214" i="7"/>
  <c r="I232" i="7"/>
  <c r="J234" i="7"/>
  <c r="O346" i="7"/>
  <c r="P346" i="7"/>
  <c r="I405" i="7"/>
  <c r="N573" i="7"/>
  <c r="P573" i="7"/>
  <c r="O573" i="7"/>
  <c r="J574" i="7"/>
  <c r="I574" i="7"/>
  <c r="J592" i="7"/>
  <c r="I592" i="7"/>
  <c r="O781" i="7"/>
  <c r="P781" i="7"/>
  <c r="G810" i="7"/>
  <c r="F810" i="7"/>
  <c r="E810" i="7"/>
  <c r="E9" i="7"/>
  <c r="D23" i="7"/>
  <c r="I31" i="7"/>
  <c r="D59" i="7"/>
  <c r="F71" i="7"/>
  <c r="I72" i="7"/>
  <c r="J75" i="7"/>
  <c r="E102" i="7"/>
  <c r="E160" i="7"/>
  <c r="N421" i="7"/>
  <c r="O421" i="7"/>
  <c r="P485" i="7"/>
  <c r="O485" i="7"/>
  <c r="I537" i="7"/>
  <c r="D782" i="7"/>
  <c r="I52" i="7"/>
  <c r="J84" i="7"/>
  <c r="D138" i="7"/>
  <c r="D166" i="7"/>
  <c r="D188" i="7"/>
  <c r="D200" i="7"/>
  <c r="D210" i="7"/>
  <c r="O309" i="7"/>
  <c r="P309" i="7"/>
  <c r="N324" i="7"/>
  <c r="P324" i="7"/>
  <c r="O324" i="7"/>
  <c r="D346" i="7"/>
  <c r="O382" i="7"/>
  <c r="P382" i="7"/>
  <c r="N382" i="7"/>
  <c r="G451" i="7"/>
  <c r="F451" i="7"/>
  <c r="G485" i="7"/>
  <c r="D485" i="7"/>
  <c r="F502" i="7"/>
  <c r="O519" i="7"/>
  <c r="P519" i="7"/>
  <c r="E534" i="7"/>
  <c r="G750" i="7"/>
  <c r="J751" i="7"/>
  <c r="I751" i="7"/>
  <c r="G771" i="7"/>
  <c r="F771" i="7"/>
  <c r="E771" i="7"/>
  <c r="P870" i="7"/>
  <c r="N870" i="7"/>
  <c r="E5" i="7"/>
  <c r="F5" i="7"/>
  <c r="Q10" i="7"/>
  <c r="Q12" i="7"/>
  <c r="Q14" i="7"/>
  <c r="Q16" i="7"/>
  <c r="I22" i="7"/>
  <c r="Q23" i="7"/>
  <c r="Q52" i="7"/>
  <c r="Q59" i="7"/>
  <c r="F68" i="7"/>
  <c r="Q73" i="7"/>
  <c r="Q76" i="7"/>
  <c r="Q84" i="7"/>
  <c r="N97" i="7"/>
  <c r="O99" i="7"/>
  <c r="Q100" i="7"/>
  <c r="E114" i="7"/>
  <c r="E126" i="7"/>
  <c r="F138" i="7"/>
  <c r="P148" i="7"/>
  <c r="F166" i="7"/>
  <c r="F174" i="7"/>
  <c r="G188" i="7"/>
  <c r="E198" i="7"/>
  <c r="F200" i="7"/>
  <c r="F204" i="7"/>
  <c r="F205" i="7"/>
  <c r="F206" i="7"/>
  <c r="F210" i="7"/>
  <c r="E216" i="7"/>
  <c r="N223" i="7"/>
  <c r="Q250" i="7"/>
  <c r="J254" i="7"/>
  <c r="I254" i="7"/>
  <c r="N261" i="7"/>
  <c r="P265" i="7"/>
  <c r="N265" i="7"/>
  <c r="F267" i="7"/>
  <c r="Q278" i="7"/>
  <c r="F293" i="7"/>
  <c r="Q304" i="7"/>
  <c r="Q322" i="7"/>
  <c r="F324" i="7"/>
  <c r="J329" i="7"/>
  <c r="I329" i="7"/>
  <c r="I346" i="7"/>
  <c r="Q363" i="7"/>
  <c r="O366" i="7"/>
  <c r="P366" i="7"/>
  <c r="O376" i="7"/>
  <c r="N376" i="7"/>
  <c r="P376" i="7"/>
  <c r="I393" i="7"/>
  <c r="P398" i="7"/>
  <c r="N398" i="7"/>
  <c r="Q400" i="7"/>
  <c r="N414" i="7"/>
  <c r="P414" i="7"/>
  <c r="O414" i="7"/>
  <c r="Q432" i="7"/>
  <c r="G450" i="7"/>
  <c r="F450" i="7"/>
  <c r="J458" i="7"/>
  <c r="O484" i="7"/>
  <c r="P484" i="7"/>
  <c r="O494" i="7"/>
  <c r="P494" i="7"/>
  <c r="G498" i="7"/>
  <c r="I499" i="7"/>
  <c r="O517" i="7"/>
  <c r="P517" i="7"/>
  <c r="D518" i="7"/>
  <c r="D519" i="7"/>
  <c r="Q525" i="7"/>
  <c r="N532" i="7"/>
  <c r="P532" i="7"/>
  <c r="O532" i="7"/>
  <c r="G539" i="7"/>
  <c r="F539" i="7"/>
  <c r="E539" i="7"/>
  <c r="D539" i="7"/>
  <c r="N559" i="7"/>
  <c r="P559" i="7"/>
  <c r="O559" i="7"/>
  <c r="P576" i="7"/>
  <c r="D578" i="7"/>
  <c r="N599" i="7"/>
  <c r="P599" i="7"/>
  <c r="O599" i="7"/>
  <c r="Q612" i="7"/>
  <c r="J618" i="7"/>
  <c r="I618" i="7"/>
  <c r="Q628" i="7"/>
  <c r="G631" i="7"/>
  <c r="F631" i="7"/>
  <c r="D631" i="7"/>
  <c r="N647" i="7"/>
  <c r="P647" i="7"/>
  <c r="O647" i="7"/>
  <c r="I707" i="7"/>
  <c r="J707" i="7"/>
  <c r="I711" i="7"/>
  <c r="J711" i="7"/>
  <c r="P722" i="7"/>
  <c r="O722" i="7"/>
  <c r="F746" i="7"/>
  <c r="J749" i="7"/>
  <c r="I749" i="7"/>
  <c r="F796" i="7"/>
  <c r="D796" i="7"/>
  <c r="I875" i="7"/>
  <c r="I876" i="7"/>
  <c r="D880" i="7"/>
  <c r="G880" i="7"/>
  <c r="F880" i="7"/>
  <c r="E880" i="7"/>
  <c r="I886" i="7"/>
  <c r="J886" i="7"/>
  <c r="E966" i="7"/>
  <c r="D245" i="7"/>
  <c r="E245" i="7"/>
  <c r="G374" i="7"/>
  <c r="F374" i="7"/>
  <c r="O383" i="7"/>
  <c r="P383" i="7"/>
  <c r="E546" i="7"/>
  <c r="G546" i="7"/>
  <c r="O625" i="7"/>
  <c r="P625" i="7"/>
  <c r="N625" i="7"/>
  <c r="P212" i="7"/>
  <c r="D249" i="7"/>
  <c r="G249" i="7"/>
  <c r="P278" i="7"/>
  <c r="O278" i="7"/>
  <c r="I285" i="7"/>
  <c r="G334" i="7"/>
  <c r="F334" i="7"/>
  <c r="J336" i="7"/>
  <c r="F546" i="7"/>
  <c r="I687" i="7"/>
  <c r="I688" i="7"/>
  <c r="E13" i="7"/>
  <c r="E15" i="7"/>
  <c r="I46" i="7"/>
  <c r="D71" i="7"/>
  <c r="I97" i="7"/>
  <c r="I225" i="7"/>
  <c r="I230" i="7"/>
  <c r="Q256" i="7"/>
  <c r="J284" i="7"/>
  <c r="I284" i="7"/>
  <c r="G310" i="7"/>
  <c r="F310" i="7"/>
  <c r="E310" i="7"/>
  <c r="G342" i="7"/>
  <c r="F342" i="7"/>
  <c r="E342" i="7"/>
  <c r="G423" i="7"/>
  <c r="F423" i="7"/>
  <c r="E423" i="7"/>
  <c r="D423" i="7"/>
  <c r="D572" i="7"/>
  <c r="F937" i="7"/>
  <c r="E937" i="7"/>
  <c r="G937" i="7"/>
  <c r="D937" i="7"/>
  <c r="E152" i="7"/>
  <c r="I229" i="7"/>
  <c r="F249" i="7"/>
  <c r="P254" i="7"/>
  <c r="O254" i="7"/>
  <c r="P293" i="7"/>
  <c r="N293" i="7"/>
  <c r="I295" i="7"/>
  <c r="D310" i="7"/>
  <c r="O338" i="7"/>
  <c r="P338" i="7"/>
  <c r="G445" i="7"/>
  <c r="F445" i="7"/>
  <c r="Q563" i="7"/>
  <c r="E7" i="7"/>
  <c r="D44" i="7"/>
  <c r="J139" i="7"/>
  <c r="F160" i="7"/>
  <c r="G202" i="7"/>
  <c r="E202" i="7"/>
  <c r="D207" i="7"/>
  <c r="E217" i="7"/>
  <c r="F217" i="7"/>
  <c r="E260" i="7"/>
  <c r="F260" i="7"/>
  <c r="P294" i="7"/>
  <c r="O294" i="7"/>
  <c r="G338" i="7"/>
  <c r="D338" i="7"/>
  <c r="J363" i="7"/>
  <c r="G370" i="7"/>
  <c r="F370" i="7"/>
  <c r="E370" i="7"/>
  <c r="D370" i="7"/>
  <c r="F114" i="7"/>
  <c r="F126" i="7"/>
  <c r="O161" i="7"/>
  <c r="G174" i="7"/>
  <c r="F198" i="7"/>
  <c r="G204" i="7"/>
  <c r="F216" i="7"/>
  <c r="P241" i="7"/>
  <c r="N241" i="7"/>
  <c r="P247" i="7"/>
  <c r="O247" i="7"/>
  <c r="D253" i="7"/>
  <c r="G253" i="7"/>
  <c r="O261" i="7"/>
  <c r="J267" i="7"/>
  <c r="I267" i="7"/>
  <c r="N269" i="7"/>
  <c r="O300" i="7"/>
  <c r="P302" i="7"/>
  <c r="O302" i="7"/>
  <c r="O337" i="7"/>
  <c r="P337" i="7"/>
  <c r="N337" i="7"/>
  <c r="J345" i="7"/>
  <c r="I345" i="7"/>
  <c r="N383" i="7"/>
  <c r="O427" i="7"/>
  <c r="P427" i="7"/>
  <c r="N427" i="7"/>
  <c r="P472" i="7"/>
  <c r="O474" i="7"/>
  <c r="P474" i="7"/>
  <c r="G494" i="7"/>
  <c r="F494" i="7"/>
  <c r="E494" i="7"/>
  <c r="J556" i="7"/>
  <c r="I556" i="7"/>
  <c r="G559" i="7"/>
  <c r="F559" i="7"/>
  <c r="E559" i="7"/>
  <c r="I631" i="7"/>
  <c r="J631" i="7"/>
  <c r="G640" i="7"/>
  <c r="E640" i="7"/>
  <c r="F640" i="7"/>
  <c r="D640" i="7"/>
  <c r="G658" i="7"/>
  <c r="E658" i="7"/>
  <c r="F658" i="7"/>
  <c r="D658" i="7"/>
  <c r="D705" i="7"/>
  <c r="G705" i="7"/>
  <c r="I715" i="7"/>
  <c r="J719" i="7"/>
  <c r="I719" i="7"/>
  <c r="G741" i="7"/>
  <c r="F741" i="7"/>
  <c r="D741" i="7"/>
  <c r="J743" i="7"/>
  <c r="I743" i="7"/>
  <c r="I747" i="7"/>
  <c r="N780" i="7"/>
  <c r="P780" i="7"/>
  <c r="O780" i="7"/>
  <c r="J781" i="7"/>
  <c r="I781" i="7"/>
  <c r="D835" i="7"/>
  <c r="D836" i="7"/>
  <c r="J841" i="7"/>
  <c r="I841" i="7"/>
  <c r="N854" i="7"/>
  <c r="O854" i="7"/>
  <c r="P854" i="7"/>
  <c r="F957" i="7"/>
  <c r="E322" i="7"/>
  <c r="D322" i="7"/>
  <c r="G322" i="7"/>
  <c r="N553" i="7"/>
  <c r="O553" i="7"/>
  <c r="O819" i="7"/>
  <c r="P819" i="7"/>
  <c r="P208" i="7"/>
  <c r="I271" i="7"/>
  <c r="F275" i="7"/>
  <c r="O310" i="7"/>
  <c r="P310" i="7"/>
  <c r="G552" i="7"/>
  <c r="F552" i="7"/>
  <c r="E552" i="7"/>
  <c r="E11" i="7"/>
  <c r="E249" i="7"/>
  <c r="O325" i="7"/>
  <c r="P325" i="7"/>
  <c r="N325" i="7"/>
  <c r="E326" i="7"/>
  <c r="G331" i="7"/>
  <c r="E334" i="7"/>
  <c r="I335" i="7"/>
  <c r="J335" i="7"/>
  <c r="J356" i="7"/>
  <c r="I356" i="7"/>
  <c r="E374" i="7"/>
  <c r="D383" i="7"/>
  <c r="G388" i="7"/>
  <c r="F388" i="7"/>
  <c r="I453" i="7"/>
  <c r="J453" i="7"/>
  <c r="N536" i="7"/>
  <c r="P536" i="7"/>
  <c r="O536" i="7"/>
  <c r="N550" i="7"/>
  <c r="P550" i="7"/>
  <c r="O550" i="7"/>
  <c r="J779" i="7"/>
  <c r="I779" i="7"/>
  <c r="F13" i="7"/>
  <c r="F15" i="7"/>
  <c r="J221" i="7"/>
  <c r="I221" i="7"/>
  <c r="P267" i="7"/>
  <c r="O267" i="7"/>
  <c r="I269" i="7"/>
  <c r="Q348" i="7"/>
  <c r="O370" i="7"/>
  <c r="P370" i="7"/>
  <c r="N370" i="7"/>
  <c r="I389" i="7"/>
  <c r="D404" i="7"/>
  <c r="O458" i="7"/>
  <c r="P458" i="7"/>
  <c r="G152" i="7"/>
  <c r="G214" i="7"/>
  <c r="Q226" i="7"/>
  <c r="I278" i="7"/>
  <c r="D325" i="7"/>
  <c r="P328" i="7"/>
  <c r="O328" i="7"/>
  <c r="N45" i="7"/>
  <c r="Q6" i="7"/>
  <c r="O10" i="7"/>
  <c r="O12" i="7"/>
  <c r="O14" i="7"/>
  <c r="P16" i="7"/>
  <c r="D20" i="7"/>
  <c r="Q22" i="7"/>
  <c r="N23" i="7"/>
  <c r="I28" i="7"/>
  <c r="Q29" i="7"/>
  <c r="N30" i="7"/>
  <c r="P45" i="7"/>
  <c r="P52" i="7"/>
  <c r="D56" i="7"/>
  <c r="Q58" i="7"/>
  <c r="N59" i="7"/>
  <c r="D65" i="7"/>
  <c r="I90" i="7"/>
  <c r="D95" i="7"/>
  <c r="O167" i="7"/>
  <c r="D170" i="7"/>
  <c r="I188" i="7"/>
  <c r="J197" i="7"/>
  <c r="I199" i="7"/>
  <c r="J199" i="7"/>
  <c r="J202" i="7"/>
  <c r="J203" i="7"/>
  <c r="J205" i="7"/>
  <c r="Q209" i="7"/>
  <c r="Q211" i="7"/>
  <c r="Q213" i="7"/>
  <c r="G241" i="7"/>
  <c r="E241" i="7"/>
  <c r="D241" i="7"/>
  <c r="J242" i="7"/>
  <c r="I243" i="7"/>
  <c r="E265" i="7"/>
  <c r="I273" i="7"/>
  <c r="Q274" i="7"/>
  <c r="I282" i="7"/>
  <c r="P285" i="7"/>
  <c r="O285" i="7"/>
  <c r="N285" i="7"/>
  <c r="P286" i="7"/>
  <c r="O286" i="7"/>
  <c r="I287" i="7"/>
  <c r="D291" i="7"/>
  <c r="G291" i="7"/>
  <c r="I293" i="7"/>
  <c r="N321" i="7"/>
  <c r="I324" i="7"/>
  <c r="Q333" i="7"/>
  <c r="J341" i="7"/>
  <c r="G344" i="7"/>
  <c r="E344" i="7"/>
  <c r="Q364" i="7"/>
  <c r="N373" i="7"/>
  <c r="D376" i="7"/>
  <c r="Q378" i="7"/>
  <c r="O390" i="7"/>
  <c r="P390" i="7"/>
  <c r="N390" i="7"/>
  <c r="N397" i="7"/>
  <c r="P397" i="7"/>
  <c r="O397" i="7"/>
  <c r="Q404" i="7"/>
  <c r="I469" i="7"/>
  <c r="J469" i="7"/>
  <c r="J480" i="7"/>
  <c r="I480" i="7"/>
  <c r="I489" i="7"/>
  <c r="J489" i="7"/>
  <c r="D494" i="7"/>
  <c r="D497" i="7"/>
  <c r="G497" i="7"/>
  <c r="F497" i="7"/>
  <c r="F501" i="7"/>
  <c r="G501" i="7"/>
  <c r="E501" i="7"/>
  <c r="D501" i="7"/>
  <c r="E517" i="7"/>
  <c r="I539" i="7"/>
  <c r="G547" i="7"/>
  <c r="E547" i="7"/>
  <c r="Q550" i="7"/>
  <c r="P554" i="7"/>
  <c r="N554" i="7"/>
  <c r="D559" i="7"/>
  <c r="G569" i="7"/>
  <c r="F569" i="7"/>
  <c r="D595" i="7"/>
  <c r="E705" i="7"/>
  <c r="G710" i="7"/>
  <c r="F718" i="7"/>
  <c r="E718" i="7"/>
  <c r="D718" i="7"/>
  <c r="G718" i="7"/>
  <c r="O731" i="7"/>
  <c r="P731" i="7"/>
  <c r="E741" i="7"/>
  <c r="F780" i="7"/>
  <c r="D780" i="7"/>
  <c r="E836" i="7"/>
  <c r="G849" i="7"/>
  <c r="F849" i="7"/>
  <c r="E849" i="7"/>
  <c r="D849" i="7"/>
  <c r="Q230" i="7"/>
  <c r="D261" i="7"/>
  <c r="F261" i="7"/>
  <c r="J263" i="7"/>
  <c r="I263" i="7"/>
  <c r="O271" i="7"/>
  <c r="P273" i="7"/>
  <c r="N273" i="7"/>
  <c r="P306" i="7"/>
  <c r="Q358" i="7"/>
  <c r="P359" i="7"/>
  <c r="N401" i="7"/>
  <c r="O401" i="7"/>
  <c r="O435" i="7"/>
  <c r="N435" i="7"/>
  <c r="G436" i="7"/>
  <c r="F436" i="7"/>
  <c r="E436" i="7"/>
  <c r="G456" i="7"/>
  <c r="F456" i="7"/>
  <c r="E456" i="7"/>
  <c r="G466" i="7"/>
  <c r="F466" i="7"/>
  <c r="G472" i="7"/>
  <c r="F472" i="7"/>
  <c r="E472" i="7"/>
  <c r="D472" i="7"/>
  <c r="Q507" i="7"/>
  <c r="Q512" i="7"/>
  <c r="E515" i="7"/>
  <c r="G515" i="7"/>
  <c r="F515" i="7"/>
  <c r="D515" i="7"/>
  <c r="N538" i="7"/>
  <c r="P538" i="7"/>
  <c r="O538" i="7"/>
  <c r="N540" i="7"/>
  <c r="P540" i="7"/>
  <c r="O540" i="7"/>
  <c r="E564" i="7"/>
  <c r="G564" i="7"/>
  <c r="F564" i="7"/>
  <c r="D564" i="7"/>
  <c r="Q593" i="7"/>
  <c r="G646" i="7"/>
  <c r="E646" i="7"/>
  <c r="F646" i="7"/>
  <c r="F661" i="7"/>
  <c r="D661" i="7"/>
  <c r="N673" i="7"/>
  <c r="P673" i="7"/>
  <c r="O673" i="7"/>
  <c r="J683" i="7"/>
  <c r="I683" i="7"/>
  <c r="D691" i="7"/>
  <c r="G691" i="7"/>
  <c r="E691" i="7"/>
  <c r="O694" i="7"/>
  <c r="P694" i="7"/>
  <c r="N694" i="7"/>
  <c r="O698" i="7"/>
  <c r="P698" i="7"/>
  <c r="N698" i="7"/>
  <c r="J699" i="7"/>
  <c r="I699" i="7"/>
  <c r="J733" i="7"/>
  <c r="I733" i="7"/>
  <c r="O745" i="7"/>
  <c r="P745" i="7"/>
  <c r="O793" i="7"/>
  <c r="P793" i="7"/>
  <c r="J797" i="7"/>
  <c r="I797" i="7"/>
  <c r="J819" i="7"/>
  <c r="I819" i="7"/>
  <c r="N856" i="7"/>
  <c r="O856" i="7"/>
  <c r="G941" i="7"/>
  <c r="F941" i="7"/>
  <c r="E941" i="7"/>
  <c r="Q210" i="7"/>
  <c r="Q234" i="7"/>
  <c r="D239" i="7"/>
  <c r="D243" i="7"/>
  <c r="Q247" i="7"/>
  <c r="E261" i="7"/>
  <c r="Q265" i="7"/>
  <c r="P274" i="7"/>
  <c r="O274" i="7"/>
  <c r="I275" i="7"/>
  <c r="Q276" i="7"/>
  <c r="J291" i="7"/>
  <c r="I291" i="7"/>
  <c r="F299" i="7"/>
  <c r="I300" i="7"/>
  <c r="D305" i="7"/>
  <c r="D317" i="7"/>
  <c r="E320" i="7"/>
  <c r="G320" i="7"/>
  <c r="F320" i="7"/>
  <c r="Q331" i="7"/>
  <c r="Q335" i="7"/>
  <c r="Q336" i="7"/>
  <c r="D393" i="7"/>
  <c r="O394" i="7"/>
  <c r="N394" i="7"/>
  <c r="E395" i="7"/>
  <c r="Q403" i="7"/>
  <c r="Q424" i="7"/>
  <c r="Q429" i="7"/>
  <c r="N432" i="7"/>
  <c r="P432" i="7"/>
  <c r="O432" i="7"/>
  <c r="D436" i="7"/>
  <c r="J445" i="7"/>
  <c r="I445" i="7"/>
  <c r="Q446" i="7"/>
  <c r="G454" i="7"/>
  <c r="F454" i="7"/>
  <c r="D455" i="7"/>
  <c r="D456" i="7"/>
  <c r="P465" i="7"/>
  <c r="O465" i="7"/>
  <c r="N465" i="7"/>
  <c r="D466" i="7"/>
  <c r="J475" i="7"/>
  <c r="Q478" i="7"/>
  <c r="Q479" i="7"/>
  <c r="D484" i="7"/>
  <c r="I486" i="7"/>
  <c r="P496" i="7"/>
  <c r="N496" i="7"/>
  <c r="Q502" i="7"/>
  <c r="I511" i="7"/>
  <c r="Q530" i="7"/>
  <c r="F545" i="7"/>
  <c r="G545" i="7"/>
  <c r="E545" i="7"/>
  <c r="N557" i="7"/>
  <c r="O557" i="7"/>
  <c r="P557" i="7"/>
  <c r="J558" i="7"/>
  <c r="I558" i="7"/>
  <c r="O574" i="7"/>
  <c r="P574" i="7"/>
  <c r="N577" i="7"/>
  <c r="P577" i="7"/>
  <c r="O577" i="7"/>
  <c r="D589" i="7"/>
  <c r="O615" i="7"/>
  <c r="P615" i="7"/>
  <c r="N615" i="7"/>
  <c r="Q642" i="7"/>
  <c r="D646" i="7"/>
  <c r="G660" i="7"/>
  <c r="E660" i="7"/>
  <c r="J667" i="7"/>
  <c r="I674" i="7"/>
  <c r="J674" i="7"/>
  <c r="I682" i="7"/>
  <c r="Q687" i="7"/>
  <c r="F691" i="7"/>
  <c r="E694" i="7"/>
  <c r="G694" i="7"/>
  <c r="F694" i="7"/>
  <c r="D694" i="7"/>
  <c r="J717" i="7"/>
  <c r="I717" i="7"/>
  <c r="E737" i="7"/>
  <c r="F737" i="7"/>
  <c r="G737" i="7"/>
  <c r="I741" i="7"/>
  <c r="G745" i="7"/>
  <c r="F745" i="7"/>
  <c r="D745" i="7"/>
  <c r="E745" i="7"/>
  <c r="J760" i="7"/>
  <c r="N764" i="7"/>
  <c r="P764" i="7"/>
  <c r="O764" i="7"/>
  <c r="J773" i="7"/>
  <c r="I773" i="7"/>
  <c r="I809" i="7"/>
  <c r="N818" i="7"/>
  <c r="O818" i="7"/>
  <c r="G823" i="7"/>
  <c r="F823" i="7"/>
  <c r="E823" i="7"/>
  <c r="D823" i="7"/>
  <c r="D941" i="7"/>
  <c r="I971" i="7"/>
  <c r="J289" i="7"/>
  <c r="I289" i="7"/>
  <c r="F318" i="7"/>
  <c r="G318" i="7"/>
  <c r="E318" i="7"/>
  <c r="E333" i="7"/>
  <c r="G333" i="7"/>
  <c r="D333" i="7"/>
  <c r="G362" i="7"/>
  <c r="F362" i="7"/>
  <c r="E362" i="7"/>
  <c r="N391" i="7"/>
  <c r="P391" i="7"/>
  <c r="O391" i="7"/>
  <c r="O482" i="7"/>
  <c r="P482" i="7"/>
  <c r="G496" i="7"/>
  <c r="D496" i="7"/>
  <c r="F496" i="7"/>
  <c r="O500" i="7"/>
  <c r="P500" i="7"/>
  <c r="G521" i="7"/>
  <c r="F521" i="7"/>
  <c r="E521" i="7"/>
  <c r="D521" i="7"/>
  <c r="O556" i="7"/>
  <c r="P556" i="7"/>
  <c r="G615" i="7"/>
  <c r="F615" i="7"/>
  <c r="E615" i="7"/>
  <c r="F638" i="7"/>
  <c r="G638" i="7"/>
  <c r="E638" i="7"/>
  <c r="D638" i="7"/>
  <c r="P685" i="7"/>
  <c r="N685" i="7"/>
  <c r="G754" i="7"/>
  <c r="F754" i="7"/>
  <c r="F764" i="7"/>
  <c r="D764" i="7"/>
  <c r="N772" i="7"/>
  <c r="P772" i="7"/>
  <c r="O772" i="7"/>
  <c r="O837" i="7"/>
  <c r="P837" i="7"/>
  <c r="Q148" i="7"/>
  <c r="Q156" i="7"/>
  <c r="Q171" i="7"/>
  <c r="Q174" i="7"/>
  <c r="Q195" i="7"/>
  <c r="Q196" i="7"/>
  <c r="Q199" i="7"/>
  <c r="P210" i="7"/>
  <c r="Q212" i="7"/>
  <c r="Q214" i="7"/>
  <c r="E219" i="7"/>
  <c r="G219" i="7"/>
  <c r="E225" i="7"/>
  <c r="P230" i="7"/>
  <c r="N230" i="7"/>
  <c r="F239" i="7"/>
  <c r="D259" i="7"/>
  <c r="F259" i="7"/>
  <c r="F273" i="7"/>
  <c r="F281" i="7"/>
  <c r="E297" i="7"/>
  <c r="I299" i="7"/>
  <c r="Q300" i="7"/>
  <c r="G305" i="7"/>
  <c r="E306" i="7"/>
  <c r="G315" i="7"/>
  <c r="J316" i="7"/>
  <c r="G317" i="7"/>
  <c r="D318" i="7"/>
  <c r="I320" i="7"/>
  <c r="Q329" i="7"/>
  <c r="I333" i="7"/>
  <c r="J333" i="7"/>
  <c r="G341" i="7"/>
  <c r="J343" i="7"/>
  <c r="O348" i="7"/>
  <c r="P348" i="7"/>
  <c r="N348" i="7"/>
  <c r="F359" i="7"/>
  <c r="G359" i="7"/>
  <c r="D362" i="7"/>
  <c r="G372" i="7"/>
  <c r="F372" i="7"/>
  <c r="E372" i="7"/>
  <c r="D392" i="7"/>
  <c r="F393" i="7"/>
  <c r="G395" i="7"/>
  <c r="J396" i="7"/>
  <c r="I396" i="7"/>
  <c r="N412" i="7"/>
  <c r="P412" i="7"/>
  <c r="O412" i="7"/>
  <c r="D417" i="7"/>
  <c r="G417" i="7"/>
  <c r="G418" i="7"/>
  <c r="F418" i="7"/>
  <c r="E418" i="7"/>
  <c r="D418" i="7"/>
  <c r="Q445" i="7"/>
  <c r="E452" i="7"/>
  <c r="D453" i="7"/>
  <c r="E454" i="7"/>
  <c r="J461" i="7"/>
  <c r="D464" i="7"/>
  <c r="D465" i="7"/>
  <c r="Q472" i="7"/>
  <c r="Q475" i="7"/>
  <c r="G482" i="7"/>
  <c r="F482" i="7"/>
  <c r="E483" i="7"/>
  <c r="F484" i="7"/>
  <c r="E496" i="7"/>
  <c r="F510" i="7"/>
  <c r="G510" i="7"/>
  <c r="Q528" i="7"/>
  <c r="F538" i="7"/>
  <c r="N555" i="7"/>
  <c r="P555" i="7"/>
  <c r="O555" i="7"/>
  <c r="D574" i="7"/>
  <c r="G582" i="7"/>
  <c r="F582" i="7"/>
  <c r="E582" i="7"/>
  <c r="D582" i="7"/>
  <c r="F587" i="7"/>
  <c r="I590" i="7"/>
  <c r="J590" i="7"/>
  <c r="Q605" i="7"/>
  <c r="O659" i="7"/>
  <c r="P659" i="7"/>
  <c r="F660" i="7"/>
  <c r="Q661" i="7"/>
  <c r="J666" i="7"/>
  <c r="N671" i="7"/>
  <c r="P671" i="7"/>
  <c r="O671" i="7"/>
  <c r="E711" i="7"/>
  <c r="Q721" i="7"/>
  <c r="D723" i="7"/>
  <c r="F723" i="7"/>
  <c r="E724" i="7"/>
  <c r="N730" i="7"/>
  <c r="O730" i="7"/>
  <c r="P730" i="7"/>
  <c r="N752" i="7"/>
  <c r="O752" i="7"/>
  <c r="P752" i="7"/>
  <c r="D754" i="7"/>
  <c r="J759" i="7"/>
  <c r="F772" i="7"/>
  <c r="E772" i="7"/>
  <c r="D772" i="7"/>
  <c r="G783" i="7"/>
  <c r="F783" i="7"/>
  <c r="O789" i="7"/>
  <c r="P789" i="7"/>
  <c r="J805" i="7"/>
  <c r="I805" i="7"/>
  <c r="N836" i="7"/>
  <c r="P836" i="7"/>
  <c r="O836" i="7"/>
  <c r="F837" i="7"/>
  <c r="G837" i="7"/>
  <c r="E837" i="7"/>
  <c r="G881" i="7"/>
  <c r="F881" i="7"/>
  <c r="E881" i="7"/>
  <c r="D881" i="7"/>
  <c r="O904" i="7"/>
  <c r="P904" i="7"/>
  <c r="N904" i="7"/>
  <c r="I921" i="7"/>
  <c r="J921" i="7"/>
  <c r="Q922" i="7"/>
  <c r="O937" i="7"/>
  <c r="N937" i="7"/>
  <c r="I949" i="7"/>
  <c r="J949" i="7"/>
  <c r="D1003" i="7"/>
  <c r="G1003" i="7"/>
  <c r="F1003" i="7"/>
  <c r="E1003" i="7"/>
  <c r="Q216" i="7"/>
  <c r="Q221" i="7"/>
  <c r="Q222" i="7"/>
  <c r="Q242" i="7"/>
  <c r="Q244" i="7"/>
  <c r="Q252" i="7"/>
  <c r="Q269" i="7"/>
  <c r="Q271" i="7"/>
  <c r="Q294" i="7"/>
  <c r="Q345" i="7"/>
  <c r="P352" i="7"/>
  <c r="P364" i="7"/>
  <c r="Q387" i="7"/>
  <c r="N389" i="7"/>
  <c r="Q390" i="7"/>
  <c r="N400" i="7"/>
  <c r="P403" i="7"/>
  <c r="N415" i="7"/>
  <c r="O415" i="7"/>
  <c r="P444" i="7"/>
  <c r="P446" i="7"/>
  <c r="N447" i="7"/>
  <c r="Q466" i="7"/>
  <c r="G474" i="7"/>
  <c r="F474" i="7"/>
  <c r="E474" i="7"/>
  <c r="D474" i="7"/>
  <c r="P488" i="7"/>
  <c r="G492" i="7"/>
  <c r="F492" i="7"/>
  <c r="E492" i="7"/>
  <c r="I500" i="7"/>
  <c r="J500" i="7"/>
  <c r="Q511" i="7"/>
  <c r="N542" i="7"/>
  <c r="P542" i="7"/>
  <c r="O542" i="7"/>
  <c r="G580" i="7"/>
  <c r="F580" i="7"/>
  <c r="N597" i="7"/>
  <c r="P597" i="7"/>
  <c r="O597" i="7"/>
  <c r="Q611" i="7"/>
  <c r="P616" i="7"/>
  <c r="O616" i="7"/>
  <c r="D625" i="7"/>
  <c r="F625" i="7"/>
  <c r="Q638" i="7"/>
  <c r="G644" i="7"/>
  <c r="E644" i="7"/>
  <c r="Q678" i="7"/>
  <c r="F681" i="7"/>
  <c r="E681" i="7"/>
  <c r="Q700" i="7"/>
  <c r="Q731" i="7"/>
  <c r="N800" i="7"/>
  <c r="O800" i="7"/>
  <c r="P800" i="7"/>
  <c r="P821" i="7"/>
  <c r="J829" i="7"/>
  <c r="I829" i="7"/>
  <c r="Q831" i="7"/>
  <c r="P839" i="7"/>
  <c r="G854" i="7"/>
  <c r="F854" i="7"/>
  <c r="E854" i="7"/>
  <c r="D854" i="7"/>
  <c r="E863" i="7"/>
  <c r="D863" i="7"/>
  <c r="G863" i="7"/>
  <c r="F863" i="7"/>
  <c r="O873" i="7"/>
  <c r="P873" i="7"/>
  <c r="G883" i="7"/>
  <c r="F883" i="7"/>
  <c r="Q1000" i="7"/>
  <c r="Q341" i="7"/>
  <c r="Q342" i="7"/>
  <c r="Q343" i="7"/>
  <c r="I383" i="7"/>
  <c r="J383" i="7"/>
  <c r="O389" i="7"/>
  <c r="Q394" i="7"/>
  <c r="E425" i="7"/>
  <c r="G425" i="7"/>
  <c r="F425" i="7"/>
  <c r="N434" i="7"/>
  <c r="P434" i="7"/>
  <c r="O434" i="7"/>
  <c r="G440" i="7"/>
  <c r="E440" i="7"/>
  <c r="D440" i="7"/>
  <c r="P447" i="7"/>
  <c r="I451" i="7"/>
  <c r="J451" i="7"/>
  <c r="P486" i="7"/>
  <c r="Q495" i="7"/>
  <c r="Q501" i="7"/>
  <c r="Q518" i="7"/>
  <c r="N544" i="7"/>
  <c r="P544" i="7"/>
  <c r="O544" i="7"/>
  <c r="J598" i="7"/>
  <c r="I598" i="7"/>
  <c r="Q600" i="7"/>
  <c r="Q610" i="7"/>
  <c r="G621" i="7"/>
  <c r="F621" i="7"/>
  <c r="O684" i="7"/>
  <c r="P684" i="7"/>
  <c r="D703" i="7"/>
  <c r="F703" i="7"/>
  <c r="F708" i="7"/>
  <c r="G708" i="7"/>
  <c r="E708" i="7"/>
  <c r="D708" i="7"/>
  <c r="Q747" i="7"/>
  <c r="Q789" i="7"/>
  <c r="I825" i="7"/>
  <c r="G879" i="7"/>
  <c r="F879" i="7"/>
  <c r="E879" i="7"/>
  <c r="J985" i="7"/>
  <c r="I985" i="7"/>
  <c r="N413" i="7"/>
  <c r="O413" i="7"/>
  <c r="G438" i="7"/>
  <c r="F438" i="7"/>
  <c r="E438" i="7"/>
  <c r="N442" i="7"/>
  <c r="P442" i="7"/>
  <c r="O442" i="7"/>
  <c r="O443" i="7"/>
  <c r="N443" i="7"/>
  <c r="G491" i="7"/>
  <c r="F491" i="7"/>
  <c r="E491" i="7"/>
  <c r="E514" i="7"/>
  <c r="F514" i="7"/>
  <c r="J545" i="7"/>
  <c r="I545" i="7"/>
  <c r="D548" i="7"/>
  <c r="F548" i="7"/>
  <c r="F562" i="7"/>
  <c r="G562" i="7"/>
  <c r="E562" i="7"/>
  <c r="D562" i="7"/>
  <c r="N579" i="7"/>
  <c r="P579" i="7"/>
  <c r="O657" i="7"/>
  <c r="P657" i="7"/>
  <c r="P675" i="7"/>
  <c r="O675" i="7"/>
  <c r="N675" i="7"/>
  <c r="F680" i="7"/>
  <c r="G680" i="7"/>
  <c r="D680" i="7"/>
  <c r="F684" i="7"/>
  <c r="D684" i="7"/>
  <c r="D717" i="7"/>
  <c r="F717" i="7"/>
  <c r="E717" i="7"/>
  <c r="N744" i="7"/>
  <c r="P744" i="7"/>
  <c r="O744" i="7"/>
  <c r="P803" i="7"/>
  <c r="N820" i="7"/>
  <c r="O820" i="7"/>
  <c r="N822" i="7"/>
  <c r="P822" i="7"/>
  <c r="Q824" i="7"/>
  <c r="G853" i="7"/>
  <c r="F853" i="7"/>
  <c r="E853" i="7"/>
  <c r="I898" i="7"/>
  <c r="J898" i="7"/>
  <c r="N978" i="7"/>
  <c r="O978" i="7"/>
  <c r="P978" i="7"/>
  <c r="P984" i="7"/>
  <c r="O984" i="7"/>
  <c r="N984" i="7"/>
  <c r="Q323" i="7"/>
  <c r="Q344" i="7"/>
  <c r="I372" i="7"/>
  <c r="Q373" i="7"/>
  <c r="Q375" i="7"/>
  <c r="E380" i="7"/>
  <c r="Q383" i="7"/>
  <c r="D405" i="7"/>
  <c r="G405" i="7"/>
  <c r="E405" i="7"/>
  <c r="I419" i="7"/>
  <c r="D429" i="7"/>
  <c r="F430" i="7"/>
  <c r="I436" i="7"/>
  <c r="D438" i="7"/>
  <c r="D441" i="7"/>
  <c r="D444" i="7"/>
  <c r="Q451" i="7"/>
  <c r="Q454" i="7"/>
  <c r="O464" i="7"/>
  <c r="P464" i="7"/>
  <c r="J471" i="7"/>
  <c r="J472" i="7"/>
  <c r="I472" i="7"/>
  <c r="J477" i="7"/>
  <c r="J481" i="7"/>
  <c r="D490" i="7"/>
  <c r="D491" i="7"/>
  <c r="Q494" i="7"/>
  <c r="Q510" i="7"/>
  <c r="F513" i="7"/>
  <c r="G513" i="7"/>
  <c r="E513" i="7"/>
  <c r="Q532" i="7"/>
  <c r="Q534" i="7"/>
  <c r="N547" i="7"/>
  <c r="O547" i="7"/>
  <c r="E548" i="7"/>
  <c r="D560" i="7"/>
  <c r="G560" i="7"/>
  <c r="F560" i="7"/>
  <c r="Q587" i="7"/>
  <c r="N595" i="7"/>
  <c r="O595" i="7"/>
  <c r="P595" i="7"/>
  <c r="J597" i="7"/>
  <c r="Q598" i="7"/>
  <c r="I605" i="7"/>
  <c r="Q606" i="7"/>
  <c r="I650" i="7"/>
  <c r="J650" i="7"/>
  <c r="G656" i="7"/>
  <c r="E656" i="7"/>
  <c r="E680" i="7"/>
  <c r="O712" i="7"/>
  <c r="P712" i="7"/>
  <c r="N712" i="7"/>
  <c r="D725" i="7"/>
  <c r="G725" i="7"/>
  <c r="Q728" i="7"/>
  <c r="Q738" i="7"/>
  <c r="N742" i="7"/>
  <c r="O742" i="7"/>
  <c r="P742" i="7"/>
  <c r="N796" i="7"/>
  <c r="P796" i="7"/>
  <c r="O796" i="7"/>
  <c r="N812" i="7"/>
  <c r="O812" i="7"/>
  <c r="F820" i="7"/>
  <c r="E820" i="7"/>
  <c r="G820" i="7"/>
  <c r="G822" i="7"/>
  <c r="F822" i="7"/>
  <c r="E822" i="7"/>
  <c r="D822" i="7"/>
  <c r="G848" i="7"/>
  <c r="F848" i="7"/>
  <c r="E848" i="7"/>
  <c r="D848" i="7"/>
  <c r="Q854" i="7"/>
  <c r="J873" i="7"/>
  <c r="I873" i="7"/>
  <c r="E903" i="7"/>
  <c r="G903" i="7"/>
  <c r="F903" i="7"/>
  <c r="D903" i="7"/>
  <c r="E963" i="7"/>
  <c r="G963" i="7"/>
  <c r="N966" i="7"/>
  <c r="P966" i="7"/>
  <c r="Q991" i="7"/>
  <c r="I995" i="7"/>
  <c r="P998" i="7"/>
  <c r="O998" i="7"/>
  <c r="P501" i="7"/>
  <c r="N520" i="7"/>
  <c r="O520" i="7"/>
  <c r="O534" i="7"/>
  <c r="F584" i="7"/>
  <c r="D584" i="7"/>
  <c r="P586" i="7"/>
  <c r="I623" i="7"/>
  <c r="J623" i="7"/>
  <c r="N636" i="7"/>
  <c r="O636" i="7"/>
  <c r="G654" i="7"/>
  <c r="F654" i="7"/>
  <c r="D654" i="7"/>
  <c r="F679" i="7"/>
  <c r="D679" i="7"/>
  <c r="F722" i="7"/>
  <c r="D722" i="7"/>
  <c r="G722" i="7"/>
  <c r="J723" i="7"/>
  <c r="I723" i="7"/>
  <c r="G735" i="7"/>
  <c r="E735" i="7"/>
  <c r="N778" i="7"/>
  <c r="P778" i="7"/>
  <c r="O778" i="7"/>
  <c r="N844" i="7"/>
  <c r="O844" i="7"/>
  <c r="P844" i="7"/>
  <c r="E851" i="7"/>
  <c r="F851" i="7"/>
  <c r="D851" i="7"/>
  <c r="G856" i="7"/>
  <c r="F856" i="7"/>
  <c r="E856" i="7"/>
  <c r="D856" i="7"/>
  <c r="O919" i="7"/>
  <c r="N919" i="7"/>
  <c r="G956" i="7"/>
  <c r="F956" i="7"/>
  <c r="E956" i="7"/>
  <c r="P965" i="7"/>
  <c r="N965" i="7"/>
  <c r="D989" i="7"/>
  <c r="G989" i="7"/>
  <c r="E989" i="7"/>
  <c r="D994" i="7"/>
  <c r="G994" i="7"/>
  <c r="O411" i="7"/>
  <c r="O448" i="7"/>
  <c r="J455" i="7"/>
  <c r="E457" i="7"/>
  <c r="D459" i="7"/>
  <c r="D460" i="7"/>
  <c r="I468" i="7"/>
  <c r="Q471" i="7"/>
  <c r="J473" i="7"/>
  <c r="P480" i="7"/>
  <c r="Q483" i="7"/>
  <c r="Q484" i="7"/>
  <c r="J487" i="7"/>
  <c r="J488" i="7"/>
  <c r="I490" i="7"/>
  <c r="I493" i="7"/>
  <c r="J493" i="7"/>
  <c r="Q499" i="7"/>
  <c r="D511" i="7"/>
  <c r="J516" i="7"/>
  <c r="I517" i="7"/>
  <c r="E522" i="7"/>
  <c r="P534" i="7"/>
  <c r="Q537" i="7"/>
  <c r="Q541" i="7"/>
  <c r="Q551" i="7"/>
  <c r="Q554" i="7"/>
  <c r="P570" i="7"/>
  <c r="D577" i="7"/>
  <c r="J579" i="7"/>
  <c r="F581" i="7"/>
  <c r="E584" i="7"/>
  <c r="P592" i="7"/>
  <c r="N601" i="7"/>
  <c r="F611" i="7"/>
  <c r="D611" i="7"/>
  <c r="Q632" i="7"/>
  <c r="P648" i="7"/>
  <c r="G652" i="7"/>
  <c r="E652" i="7"/>
  <c r="E654" i="7"/>
  <c r="G662" i="7"/>
  <c r="F662" i="7"/>
  <c r="D662" i="7"/>
  <c r="D670" i="7"/>
  <c r="I695" i="7"/>
  <c r="I696" i="7"/>
  <c r="D707" i="7"/>
  <c r="G707" i="7"/>
  <c r="E715" i="7"/>
  <c r="E722" i="7"/>
  <c r="D730" i="7"/>
  <c r="D731" i="7"/>
  <c r="D735" i="7"/>
  <c r="P749" i="7"/>
  <c r="N760" i="7"/>
  <c r="P760" i="7"/>
  <c r="O760" i="7"/>
  <c r="D761" i="7"/>
  <c r="G763" i="7"/>
  <c r="F763" i="7"/>
  <c r="E763" i="7"/>
  <c r="N774" i="7"/>
  <c r="O774" i="7"/>
  <c r="D779" i="7"/>
  <c r="P785" i="7"/>
  <c r="J793" i="7"/>
  <c r="I793" i="7"/>
  <c r="Q799" i="7"/>
  <c r="D801" i="7"/>
  <c r="J807" i="7"/>
  <c r="I807" i="7"/>
  <c r="D818" i="7"/>
  <c r="D819" i="7"/>
  <c r="O843" i="7"/>
  <c r="P843" i="7"/>
  <c r="N846" i="7"/>
  <c r="O846" i="7"/>
  <c r="G851" i="7"/>
  <c r="E906" i="7"/>
  <c r="D906" i="7"/>
  <c r="I907" i="7"/>
  <c r="G919" i="7"/>
  <c r="F919" i="7"/>
  <c r="E919" i="7"/>
  <c r="D919" i="7"/>
  <c r="J927" i="7"/>
  <c r="D956" i="7"/>
  <c r="D965" i="7"/>
  <c r="G965" i="7"/>
  <c r="D986" i="7"/>
  <c r="G986" i="7"/>
  <c r="F989" i="7"/>
  <c r="Q417" i="7"/>
  <c r="Q418" i="7"/>
  <c r="Q444" i="7"/>
  <c r="P448" i="7"/>
  <c r="E459" i="7"/>
  <c r="E460" i="7"/>
  <c r="Q465" i="7"/>
  <c r="Q470" i="7"/>
  <c r="Q486" i="7"/>
  <c r="Q489" i="7"/>
  <c r="Q498" i="7"/>
  <c r="F511" i="7"/>
  <c r="F522" i="7"/>
  <c r="Q553" i="7"/>
  <c r="Q557" i="7"/>
  <c r="I559" i="7"/>
  <c r="J559" i="7"/>
  <c r="Q572" i="7"/>
  <c r="G584" i="7"/>
  <c r="P596" i="7"/>
  <c r="P601" i="7"/>
  <c r="Q631" i="7"/>
  <c r="Q655" i="7"/>
  <c r="E670" i="7"/>
  <c r="E688" i="7"/>
  <c r="D688" i="7"/>
  <c r="Q691" i="7"/>
  <c r="E707" i="7"/>
  <c r="F715" i="7"/>
  <c r="D727" i="7"/>
  <c r="F728" i="7"/>
  <c r="E730" i="7"/>
  <c r="E731" i="7"/>
  <c r="D733" i="7"/>
  <c r="F735" i="7"/>
  <c r="Q740" i="7"/>
  <c r="Q741" i="7"/>
  <c r="G755" i="7"/>
  <c r="F755" i="7"/>
  <c r="E755" i="7"/>
  <c r="E761" i="7"/>
  <c r="G762" i="7"/>
  <c r="F762" i="7"/>
  <c r="D763" i="7"/>
  <c r="D778" i="7"/>
  <c r="E779" i="7"/>
  <c r="F787" i="7"/>
  <c r="E787" i="7"/>
  <c r="D787" i="7"/>
  <c r="G787" i="7"/>
  <c r="P799" i="7"/>
  <c r="E801" i="7"/>
  <c r="N816" i="7"/>
  <c r="P816" i="7"/>
  <c r="O816" i="7"/>
  <c r="E818" i="7"/>
  <c r="E819" i="7"/>
  <c r="N842" i="7"/>
  <c r="P842" i="7"/>
  <c r="O842" i="7"/>
  <c r="F843" i="7"/>
  <c r="E843" i="7"/>
  <c r="D845" i="7"/>
  <c r="D846" i="7"/>
  <c r="G846" i="7"/>
  <c r="F846" i="7"/>
  <c r="J851" i="7"/>
  <c r="I851" i="7"/>
  <c r="O895" i="7"/>
  <c r="N895" i="7"/>
  <c r="E905" i="7"/>
  <c r="G905" i="7"/>
  <c r="Q916" i="7"/>
  <c r="I930" i="7"/>
  <c r="J930" i="7"/>
  <c r="O943" i="7"/>
  <c r="N943" i="7"/>
  <c r="P961" i="7"/>
  <c r="N961" i="7"/>
  <c r="Q487" i="7"/>
  <c r="Q488" i="7"/>
  <c r="Q496" i="7"/>
  <c r="Q514" i="7"/>
  <c r="Q516" i="7"/>
  <c r="D530" i="7"/>
  <c r="E530" i="7"/>
  <c r="Q545" i="7"/>
  <c r="N569" i="7"/>
  <c r="P569" i="7"/>
  <c r="N587" i="7"/>
  <c r="O587" i="7"/>
  <c r="P594" i="7"/>
  <c r="Q644" i="7"/>
  <c r="O682" i="7"/>
  <c r="N682" i="7"/>
  <c r="P693" i="7"/>
  <c r="N693" i="7"/>
  <c r="F706" i="7"/>
  <c r="E706" i="7"/>
  <c r="G715" i="7"/>
  <c r="D721" i="7"/>
  <c r="E721" i="7"/>
  <c r="F721" i="7"/>
  <c r="N754" i="7"/>
  <c r="O754" i="7"/>
  <c r="O773" i="7"/>
  <c r="P773" i="7"/>
  <c r="Q780" i="7"/>
  <c r="Q793" i="7"/>
  <c r="N802" i="7"/>
  <c r="P802" i="7"/>
  <c r="O802" i="7"/>
  <c r="F819" i="7"/>
  <c r="D838" i="7"/>
  <c r="G838" i="7"/>
  <c r="F838" i="7"/>
  <c r="E838" i="7"/>
  <c r="D843" i="7"/>
  <c r="E845" i="7"/>
  <c r="E846" i="7"/>
  <c r="Q847" i="7"/>
  <c r="F850" i="7"/>
  <c r="E850" i="7"/>
  <c r="D850" i="7"/>
  <c r="G850" i="7"/>
  <c r="O881" i="7"/>
  <c r="P881" i="7"/>
  <c r="N881" i="7"/>
  <c r="G895" i="7"/>
  <c r="F895" i="7"/>
  <c r="D905" i="7"/>
  <c r="Q907" i="7"/>
  <c r="G911" i="7"/>
  <c r="F911" i="7"/>
  <c r="J912" i="7"/>
  <c r="Q540" i="7"/>
  <c r="Q558" i="7"/>
  <c r="P568" i="7"/>
  <c r="Q571" i="7"/>
  <c r="Q578" i="7"/>
  <c r="Q614" i="7"/>
  <c r="Q615" i="7"/>
  <c r="O665" i="7"/>
  <c r="Q668" i="7"/>
  <c r="P674" i="7"/>
  <c r="P687" i="7"/>
  <c r="N687" i="7"/>
  <c r="Q712" i="7"/>
  <c r="Q714" i="7"/>
  <c r="Q715" i="7"/>
  <c r="Q725" i="7"/>
  <c r="Q727" i="7"/>
  <c r="P728" i="7"/>
  <c r="I736" i="7"/>
  <c r="J736" i="7"/>
  <c r="Q753" i="7"/>
  <c r="P755" i="7"/>
  <c r="Q757" i="7"/>
  <c r="P765" i="7"/>
  <c r="Q776" i="7"/>
  <c r="O782" i="7"/>
  <c r="Q783" i="7"/>
  <c r="Q808" i="7"/>
  <c r="Q816" i="7"/>
  <c r="Q837" i="7"/>
  <c r="N848" i="7"/>
  <c r="O848" i="7"/>
  <c r="G855" i="7"/>
  <c r="F855" i="7"/>
  <c r="E855" i="7"/>
  <c r="Q863" i="7"/>
  <c r="O864" i="7"/>
  <c r="D882" i="7"/>
  <c r="G882" i="7"/>
  <c r="F882" i="7"/>
  <c r="Q901" i="7"/>
  <c r="D910" i="7"/>
  <c r="G910" i="7"/>
  <c r="E910" i="7"/>
  <c r="G943" i="7"/>
  <c r="F943" i="7"/>
  <c r="E943" i="7"/>
  <c r="D943" i="7"/>
  <c r="G964" i="7"/>
  <c r="F964" i="7"/>
  <c r="E964" i="7"/>
  <c r="P994" i="7"/>
  <c r="O994" i="7"/>
  <c r="D998" i="7"/>
  <c r="G998" i="7"/>
  <c r="Q581" i="7"/>
  <c r="Q596" i="7"/>
  <c r="P614" i="7"/>
  <c r="P668" i="7"/>
  <c r="Q683" i="7"/>
  <c r="Q696" i="7"/>
  <c r="F747" i="7"/>
  <c r="E747" i="7"/>
  <c r="P757" i="7"/>
  <c r="N770" i="7"/>
  <c r="O770" i="7"/>
  <c r="Q792" i="7"/>
  <c r="Q796" i="7"/>
  <c r="N834" i="7"/>
  <c r="O834" i="7"/>
  <c r="P835" i="7"/>
  <c r="Q867" i="7"/>
  <c r="D878" i="7"/>
  <c r="G878" i="7"/>
  <c r="F878" i="7"/>
  <c r="E878" i="7"/>
  <c r="D896" i="7"/>
  <c r="G896" i="7"/>
  <c r="O940" i="7"/>
  <c r="N940" i="7"/>
  <c r="G942" i="7"/>
  <c r="F942" i="7"/>
  <c r="E942" i="7"/>
  <c r="Q990" i="7"/>
  <c r="Q637" i="7"/>
  <c r="Q639" i="7"/>
  <c r="D678" i="7"/>
  <c r="I690" i="7"/>
  <c r="D699" i="7"/>
  <c r="G699" i="7"/>
  <c r="D700" i="7"/>
  <c r="J703" i="7"/>
  <c r="Q710" i="7"/>
  <c r="J721" i="7"/>
  <c r="Q734" i="7"/>
  <c r="D747" i="7"/>
  <c r="N750" i="7"/>
  <c r="P750" i="7"/>
  <c r="O750" i="7"/>
  <c r="G765" i="7"/>
  <c r="F765" i="7"/>
  <c r="F766" i="7"/>
  <c r="E766" i="7"/>
  <c r="D766" i="7"/>
  <c r="P771" i="7"/>
  <c r="Q777" i="7"/>
  <c r="G786" i="7"/>
  <c r="F786" i="7"/>
  <c r="E786" i="7"/>
  <c r="Q813" i="7"/>
  <c r="Q821" i="7"/>
  <c r="G830" i="7"/>
  <c r="F830" i="7"/>
  <c r="G831" i="7"/>
  <c r="F831" i="7"/>
  <c r="E831" i="7"/>
  <c r="D831" i="7"/>
  <c r="Q858" i="7"/>
  <c r="Q860" i="7"/>
  <c r="E888" i="7"/>
  <c r="I892" i="7"/>
  <c r="J892" i="7"/>
  <c r="E896" i="7"/>
  <c r="G921" i="7"/>
  <c r="F921" i="7"/>
  <c r="E921" i="7"/>
  <c r="D921" i="7"/>
  <c r="O938" i="7"/>
  <c r="P938" i="7"/>
  <c r="N938" i="7"/>
  <c r="Q976" i="7"/>
  <c r="P988" i="7"/>
  <c r="N988" i="7"/>
  <c r="O988" i="7"/>
  <c r="J989" i="7"/>
  <c r="I989" i="7"/>
  <c r="Q702" i="7"/>
  <c r="Q706" i="7"/>
  <c r="P741" i="7"/>
  <c r="Q752" i="7"/>
  <c r="P758" i="7"/>
  <c r="Q769" i="7"/>
  <c r="P777" i="7"/>
  <c r="Q791" i="7"/>
  <c r="O794" i="7"/>
  <c r="Q805" i="7"/>
  <c r="P814" i="7"/>
  <c r="Q817" i="7"/>
  <c r="N824" i="7"/>
  <c r="O824" i="7"/>
  <c r="Q833" i="7"/>
  <c r="N840" i="7"/>
  <c r="P840" i="7"/>
  <c r="Q842" i="7"/>
  <c r="Q859" i="7"/>
  <c r="N862" i="7"/>
  <c r="O862" i="7"/>
  <c r="Q872" i="7"/>
  <c r="O891" i="7"/>
  <c r="N891" i="7"/>
  <c r="Q903" i="7"/>
  <c r="O917" i="7"/>
  <c r="N917" i="7"/>
  <c r="N922" i="7"/>
  <c r="N925" i="7"/>
  <c r="Q943" i="7"/>
  <c r="Q951" i="7"/>
  <c r="E954" i="7"/>
  <c r="D954" i="7"/>
  <c r="Q958" i="7"/>
  <c r="Q966" i="7"/>
  <c r="P983" i="7"/>
  <c r="N983" i="7"/>
  <c r="N1003" i="7"/>
  <c r="Q759" i="7"/>
  <c r="Q784" i="7"/>
  <c r="P794" i="7"/>
  <c r="Q800" i="7"/>
  <c r="P805" i="7"/>
  <c r="O806" i="7"/>
  <c r="Q818" i="7"/>
  <c r="P827" i="7"/>
  <c r="O828" i="7"/>
  <c r="P841" i="7"/>
  <c r="Q843" i="7"/>
  <c r="E862" i="7"/>
  <c r="D862" i="7"/>
  <c r="Q886" i="7"/>
  <c r="P905" i="7"/>
  <c r="Q911" i="7"/>
  <c r="G917" i="7"/>
  <c r="F917" i="7"/>
  <c r="N926" i="7"/>
  <c r="Q928" i="7"/>
  <c r="I939" i="7"/>
  <c r="J939" i="7"/>
  <c r="P979" i="7"/>
  <c r="N979" i="7"/>
  <c r="P769" i="7"/>
  <c r="Q781" i="7"/>
  <c r="Q797" i="7"/>
  <c r="P806" i="7"/>
  <c r="P815" i="7"/>
  <c r="P817" i="7"/>
  <c r="P828" i="7"/>
  <c r="P833" i="7"/>
  <c r="F861" i="7"/>
  <c r="E861" i="7"/>
  <c r="Q885" i="7"/>
  <c r="D892" i="7"/>
  <c r="G892" i="7"/>
  <c r="O913" i="7"/>
  <c r="N913" i="7"/>
  <c r="Q919" i="7"/>
  <c r="G936" i="7"/>
  <c r="F936" i="7"/>
  <c r="O949" i="7"/>
  <c r="N949" i="7"/>
  <c r="O953" i="7"/>
  <c r="N953" i="7"/>
  <c r="Q957" i="7"/>
  <c r="I963" i="7"/>
  <c r="Q980" i="7"/>
  <c r="I997" i="7"/>
  <c r="P1004" i="7"/>
  <c r="O1004" i="7"/>
  <c r="P795" i="7"/>
  <c r="P809" i="7"/>
  <c r="Q810" i="7"/>
  <c r="Q819" i="7"/>
  <c r="Q835" i="7"/>
  <c r="J847" i="7"/>
  <c r="I847" i="7"/>
  <c r="G860" i="7"/>
  <c r="F860" i="7"/>
  <c r="Q884" i="7"/>
  <c r="D898" i="7"/>
  <c r="F898" i="7"/>
  <c r="G907" i="7"/>
  <c r="F907" i="7"/>
  <c r="E907" i="7"/>
  <c r="D907" i="7"/>
  <c r="G916" i="7"/>
  <c r="F916" i="7"/>
  <c r="Q920" i="7"/>
  <c r="O935" i="7"/>
  <c r="P935" i="7"/>
  <c r="N935" i="7"/>
  <c r="F945" i="7"/>
  <c r="E945" i="7"/>
  <c r="G945" i="7"/>
  <c r="F953" i="7"/>
  <c r="E953" i="7"/>
  <c r="P995" i="7"/>
  <c r="N995" i="7"/>
  <c r="Q823" i="7"/>
  <c r="Q830" i="7"/>
  <c r="Q845" i="7"/>
  <c r="Q875" i="7"/>
  <c r="Q877" i="7"/>
  <c r="Q879" i="7"/>
  <c r="Q880" i="7"/>
  <c r="Q882" i="7"/>
  <c r="N887" i="7"/>
  <c r="O908" i="7"/>
  <c r="N908" i="7"/>
  <c r="N931" i="7"/>
  <c r="Q937" i="7"/>
  <c r="Q938" i="7"/>
  <c r="F944" i="7"/>
  <c r="E944" i="7"/>
  <c r="P987" i="7"/>
  <c r="N987" i="7"/>
  <c r="D993" i="7"/>
  <c r="G993" i="7"/>
  <c r="F993" i="7"/>
  <c r="Q999" i="7"/>
  <c r="P887" i="7"/>
  <c r="N889" i="7"/>
  <c r="D902" i="7"/>
  <c r="E902" i="7"/>
  <c r="N932" i="7"/>
  <c r="N952" i="7"/>
  <c r="N955" i="7"/>
  <c r="Q1004" i="7"/>
  <c r="P889" i="7"/>
  <c r="D900" i="7"/>
  <c r="F900" i="7"/>
  <c r="J945" i="7"/>
  <c r="Q962" i="7"/>
  <c r="I981" i="7"/>
  <c r="Q982" i="7"/>
  <c r="Q988" i="7"/>
  <c r="Q989" i="7"/>
  <c r="P996" i="7"/>
  <c r="O996" i="7"/>
  <c r="D1001" i="7"/>
  <c r="G1001" i="7"/>
  <c r="F1001" i="7"/>
  <c r="P847" i="7"/>
  <c r="Q853" i="7"/>
  <c r="Q861" i="7"/>
  <c r="Q864" i="7"/>
  <c r="Q889" i="7"/>
  <c r="Q931" i="7"/>
  <c r="E971" i="7"/>
  <c r="D976" i="7"/>
  <c r="G982" i="7"/>
  <c r="I983" i="7"/>
  <c r="F1000" i="7"/>
  <c r="Q1003" i="7"/>
  <c r="Q950" i="7"/>
  <c r="G75" i="7"/>
  <c r="E75" i="7"/>
  <c r="G79" i="7"/>
  <c r="E79" i="7"/>
  <c r="G83" i="7"/>
  <c r="E83" i="7"/>
  <c r="G87" i="7"/>
  <c r="E87" i="7"/>
  <c r="G91" i="7"/>
  <c r="E91" i="7"/>
  <c r="P96" i="7"/>
  <c r="J120" i="7"/>
  <c r="I120" i="7"/>
  <c r="J138" i="7"/>
  <c r="I138" i="7"/>
  <c r="I74" i="7"/>
  <c r="D75" i="7"/>
  <c r="D79" i="7"/>
  <c r="O102" i="7"/>
  <c r="P102" i="7"/>
  <c r="E111" i="7"/>
  <c r="G111" i="7"/>
  <c r="F111" i="7"/>
  <c r="D111" i="7"/>
  <c r="E113" i="7"/>
  <c r="G113" i="7"/>
  <c r="F113" i="7"/>
  <c r="J116" i="7"/>
  <c r="I116" i="7"/>
  <c r="E129" i="7"/>
  <c r="G129" i="7"/>
  <c r="F129" i="7"/>
  <c r="D129" i="7"/>
  <c r="E131" i="7"/>
  <c r="G131" i="7"/>
  <c r="F131" i="7"/>
  <c r="J134" i="7"/>
  <c r="I134" i="7"/>
  <c r="E145" i="7"/>
  <c r="G145" i="7"/>
  <c r="F145" i="7"/>
  <c r="D145" i="7"/>
  <c r="J148" i="7"/>
  <c r="I148" i="7"/>
  <c r="I20" i="7"/>
  <c r="D21" i="7"/>
  <c r="I26" i="7"/>
  <c r="D27" i="7"/>
  <c r="I32" i="7"/>
  <c r="D33" i="7"/>
  <c r="I38" i="7"/>
  <c r="I41" i="7"/>
  <c r="D42" i="7"/>
  <c r="I50" i="7"/>
  <c r="D51" i="7"/>
  <c r="I78" i="7"/>
  <c r="I82" i="7"/>
  <c r="D83" i="7"/>
  <c r="G7" i="7"/>
  <c r="G9" i="7"/>
  <c r="G11" i="7"/>
  <c r="G13" i="7"/>
  <c r="G15" i="7"/>
  <c r="N16" i="7"/>
  <c r="J17" i="7"/>
  <c r="F18" i="7"/>
  <c r="N19" i="7"/>
  <c r="F21" i="7"/>
  <c r="N22" i="7"/>
  <c r="J23" i="7"/>
  <c r="F24" i="7"/>
  <c r="N25" i="7"/>
  <c r="F27" i="7"/>
  <c r="N28" i="7"/>
  <c r="J29" i="7"/>
  <c r="F30" i="7"/>
  <c r="N31" i="7"/>
  <c r="F33" i="7"/>
  <c r="N34" i="7"/>
  <c r="J35" i="7"/>
  <c r="F36" i="7"/>
  <c r="N37" i="7"/>
  <c r="F39" i="7"/>
  <c r="N40" i="7"/>
  <c r="F42" i="7"/>
  <c r="N43" i="7"/>
  <c r="J44" i="7"/>
  <c r="F45" i="7"/>
  <c r="N46" i="7"/>
  <c r="J47" i="7"/>
  <c r="F48" i="7"/>
  <c r="N49" i="7"/>
  <c r="F51" i="7"/>
  <c r="N52" i="7"/>
  <c r="J53" i="7"/>
  <c r="F54" i="7"/>
  <c r="N55" i="7"/>
  <c r="J56" i="7"/>
  <c r="F57" i="7"/>
  <c r="N58" i="7"/>
  <c r="J59" i="7"/>
  <c r="F60" i="7"/>
  <c r="N61" i="7"/>
  <c r="J62" i="7"/>
  <c r="F63" i="7"/>
  <c r="N64" i="7"/>
  <c r="J65" i="7"/>
  <c r="F66" i="7"/>
  <c r="N67" i="7"/>
  <c r="J68" i="7"/>
  <c r="F69" i="7"/>
  <c r="N70" i="7"/>
  <c r="J71" i="7"/>
  <c r="F72" i="7"/>
  <c r="N73" i="7"/>
  <c r="F75" i="7"/>
  <c r="F79" i="7"/>
  <c r="F83" i="7"/>
  <c r="F87" i="7"/>
  <c r="F91" i="7"/>
  <c r="O97" i="7"/>
  <c r="I111" i="7"/>
  <c r="J111" i="7"/>
  <c r="D113" i="7"/>
  <c r="I129" i="7"/>
  <c r="J129" i="7"/>
  <c r="D131" i="7"/>
  <c r="I145" i="7"/>
  <c r="J145" i="7"/>
  <c r="J146" i="7"/>
  <c r="I146" i="7"/>
  <c r="E155" i="7"/>
  <c r="G155" i="7"/>
  <c r="F155" i="7"/>
  <c r="D155" i="7"/>
  <c r="N9" i="7"/>
  <c r="D18" i="7"/>
  <c r="D24" i="7"/>
  <c r="D30" i="7"/>
  <c r="D36" i="7"/>
  <c r="D39" i="7"/>
  <c r="D45" i="7"/>
  <c r="D48" i="7"/>
  <c r="D54" i="7"/>
  <c r="D57" i="7"/>
  <c r="D60" i="7"/>
  <c r="D63" i="7"/>
  <c r="D66" i="7"/>
  <c r="D69" i="7"/>
  <c r="D72" i="7"/>
  <c r="G18" i="7"/>
  <c r="G21" i="7"/>
  <c r="G24" i="7"/>
  <c r="G27" i="7"/>
  <c r="G30" i="7"/>
  <c r="G33" i="7"/>
  <c r="G36" i="7"/>
  <c r="G39" i="7"/>
  <c r="G42" i="7"/>
  <c r="G45" i="7"/>
  <c r="G48" i="7"/>
  <c r="G51" i="7"/>
  <c r="G54" i="7"/>
  <c r="G57" i="7"/>
  <c r="G60" i="7"/>
  <c r="G63" i="7"/>
  <c r="G66" i="7"/>
  <c r="G69" i="7"/>
  <c r="G72" i="7"/>
  <c r="G76" i="7"/>
  <c r="E76" i="7"/>
  <c r="N77" i="7"/>
  <c r="G80" i="7"/>
  <c r="E80" i="7"/>
  <c r="N81" i="7"/>
  <c r="G84" i="7"/>
  <c r="E84" i="7"/>
  <c r="N85" i="7"/>
  <c r="G88" i="7"/>
  <c r="E88" i="7"/>
  <c r="N89" i="7"/>
  <c r="G92" i="7"/>
  <c r="E92" i="7"/>
  <c r="O93" i="7"/>
  <c r="O103" i="7"/>
  <c r="N103" i="7"/>
  <c r="E109" i="7"/>
  <c r="G109" i="7"/>
  <c r="F109" i="7"/>
  <c r="D109" i="7"/>
  <c r="I113" i="7"/>
  <c r="J113" i="7"/>
  <c r="E127" i="7"/>
  <c r="G127" i="7"/>
  <c r="F127" i="7"/>
  <c r="D127" i="7"/>
  <c r="I131" i="7"/>
  <c r="J131" i="7"/>
  <c r="Q71" i="7"/>
  <c r="Q74" i="7"/>
  <c r="O77" i="7"/>
  <c r="O81" i="7"/>
  <c r="O85" i="7"/>
  <c r="O89" i="7"/>
  <c r="P93" i="7"/>
  <c r="E103" i="7"/>
  <c r="G103" i="7"/>
  <c r="D103" i="7"/>
  <c r="E105" i="7"/>
  <c r="F105" i="7"/>
  <c r="D105" i="7"/>
  <c r="J114" i="7"/>
  <c r="I114" i="7"/>
  <c r="J132" i="7"/>
  <c r="I132" i="7"/>
  <c r="E143" i="7"/>
  <c r="G143" i="7"/>
  <c r="F143" i="7"/>
  <c r="D143" i="7"/>
  <c r="I18" i="7"/>
  <c r="D19" i="7"/>
  <c r="D28" i="7"/>
  <c r="D40" i="7"/>
  <c r="D43" i="7"/>
  <c r="E107" i="7"/>
  <c r="G107" i="7"/>
  <c r="F107" i="7"/>
  <c r="J110" i="7"/>
  <c r="I110" i="7"/>
  <c r="E123" i="7"/>
  <c r="G123" i="7"/>
  <c r="F123" i="7"/>
  <c r="D123" i="7"/>
  <c r="E125" i="7"/>
  <c r="G125" i="7"/>
  <c r="F125" i="7"/>
  <c r="J128" i="7"/>
  <c r="I128" i="7"/>
  <c r="E141" i="7"/>
  <c r="G141" i="7"/>
  <c r="F141" i="7"/>
  <c r="D141" i="7"/>
  <c r="I143" i="7"/>
  <c r="J143" i="7"/>
  <c r="D6" i="7"/>
  <c r="D12" i="7"/>
  <c r="I21" i="7"/>
  <c r="D22" i="7"/>
  <c r="I30" i="7"/>
  <c r="D31" i="7"/>
  <c r="I36" i="7"/>
  <c r="D37" i="7"/>
  <c r="I39" i="7"/>
  <c r="I45" i="7"/>
  <c r="D46" i="7"/>
  <c r="I51" i="7"/>
  <c r="D52" i="7"/>
  <c r="I57" i="7"/>
  <c r="D58" i="7"/>
  <c r="I60" i="7"/>
  <c r="D61" i="7"/>
  <c r="I66" i="7"/>
  <c r="I69" i="7"/>
  <c r="D70" i="7"/>
  <c r="E6" i="7"/>
  <c r="E8" i="7"/>
  <c r="E10" i="7"/>
  <c r="E12" i="7"/>
  <c r="E14" i="7"/>
  <c r="F16" i="7"/>
  <c r="F19" i="7"/>
  <c r="F22" i="7"/>
  <c r="J24" i="7"/>
  <c r="F25" i="7"/>
  <c r="J27" i="7"/>
  <c r="F28" i="7"/>
  <c r="F31" i="7"/>
  <c r="J33" i="7"/>
  <c r="F34" i="7"/>
  <c r="F37" i="7"/>
  <c r="F40" i="7"/>
  <c r="J42" i="7"/>
  <c r="F43" i="7"/>
  <c r="F46" i="7"/>
  <c r="J48" i="7"/>
  <c r="F49" i="7"/>
  <c r="F52" i="7"/>
  <c r="J54" i="7"/>
  <c r="F55" i="7"/>
  <c r="F58" i="7"/>
  <c r="F61" i="7"/>
  <c r="J63" i="7"/>
  <c r="F64" i="7"/>
  <c r="F67" i="7"/>
  <c r="F70" i="7"/>
  <c r="F73" i="7"/>
  <c r="G77" i="7"/>
  <c r="E77" i="7"/>
  <c r="N78" i="7"/>
  <c r="G81" i="7"/>
  <c r="E81" i="7"/>
  <c r="N82" i="7"/>
  <c r="G85" i="7"/>
  <c r="E85" i="7"/>
  <c r="N86" i="7"/>
  <c r="G89" i="7"/>
  <c r="E89" i="7"/>
  <c r="N90" i="7"/>
  <c r="E93" i="7"/>
  <c r="F93" i="7"/>
  <c r="G98" i="7"/>
  <c r="E98" i="7"/>
  <c r="I105" i="7"/>
  <c r="J105" i="7"/>
  <c r="D107" i="7"/>
  <c r="I123" i="7"/>
  <c r="J123" i="7"/>
  <c r="D125" i="7"/>
  <c r="I141" i="7"/>
  <c r="J141" i="7"/>
  <c r="J144" i="7"/>
  <c r="I144" i="7"/>
  <c r="E151" i="7"/>
  <c r="G151" i="7"/>
  <c r="F151" i="7"/>
  <c r="D151" i="7"/>
  <c r="J154" i="7"/>
  <c r="I154" i="7"/>
  <c r="D10" i="7"/>
  <c r="D14" i="7"/>
  <c r="F8" i="7"/>
  <c r="F10" i="7"/>
  <c r="F12" i="7"/>
  <c r="F14" i="7"/>
  <c r="G16" i="7"/>
  <c r="G19" i="7"/>
  <c r="G22" i="7"/>
  <c r="G25" i="7"/>
  <c r="G28" i="7"/>
  <c r="G31" i="7"/>
  <c r="G34" i="7"/>
  <c r="G37" i="7"/>
  <c r="G40" i="7"/>
  <c r="G43" i="7"/>
  <c r="G46" i="7"/>
  <c r="G49" i="7"/>
  <c r="G52" i="7"/>
  <c r="G55" i="7"/>
  <c r="G58" i="7"/>
  <c r="G61" i="7"/>
  <c r="G64" i="7"/>
  <c r="G67" i="7"/>
  <c r="G70" i="7"/>
  <c r="G73" i="7"/>
  <c r="Q75" i="7"/>
  <c r="D77" i="7"/>
  <c r="O78" i="7"/>
  <c r="D81" i="7"/>
  <c r="O82" i="7"/>
  <c r="D85" i="7"/>
  <c r="O86" i="7"/>
  <c r="D89" i="7"/>
  <c r="O90" i="7"/>
  <c r="D93" i="7"/>
  <c r="Q95" i="7"/>
  <c r="J96" i="7"/>
  <c r="D98" i="7"/>
  <c r="J103" i="7"/>
  <c r="I107" i="7"/>
  <c r="J107" i="7"/>
  <c r="E121" i="7"/>
  <c r="G121" i="7"/>
  <c r="F121" i="7"/>
  <c r="D121" i="7"/>
  <c r="I125" i="7"/>
  <c r="J125" i="7"/>
  <c r="E139" i="7"/>
  <c r="G139" i="7"/>
  <c r="F139" i="7"/>
  <c r="D139" i="7"/>
  <c r="I151" i="7"/>
  <c r="J151" i="7"/>
  <c r="J152" i="7"/>
  <c r="I152" i="7"/>
  <c r="D8" i="7"/>
  <c r="D16" i="7"/>
  <c r="D25" i="7"/>
  <c r="D34" i="7"/>
  <c r="D49" i="7"/>
  <c r="D55" i="7"/>
  <c r="D64" i="7"/>
  <c r="D67" i="7"/>
  <c r="F6" i="7"/>
  <c r="Q18" i="7"/>
  <c r="Q21" i="7"/>
  <c r="Q24" i="7"/>
  <c r="Q27" i="7"/>
  <c r="Q30" i="7"/>
  <c r="Q33" i="7"/>
  <c r="Q36" i="7"/>
  <c r="Q39" i="7"/>
  <c r="Q42" i="7"/>
  <c r="Q45" i="7"/>
  <c r="Q48" i="7"/>
  <c r="Q51" i="7"/>
  <c r="Q54" i="7"/>
  <c r="Q57" i="7"/>
  <c r="Q60" i="7"/>
  <c r="Q63" i="7"/>
  <c r="Q66" i="7"/>
  <c r="Q69" i="7"/>
  <c r="Q72" i="7"/>
  <c r="E99" i="7"/>
  <c r="F99" i="7"/>
  <c r="Q101" i="7"/>
  <c r="J104" i="7"/>
  <c r="I104" i="7"/>
  <c r="J108" i="7"/>
  <c r="I108" i="7"/>
  <c r="J126" i="7"/>
  <c r="I126" i="7"/>
  <c r="J142" i="7"/>
  <c r="I142" i="7"/>
  <c r="G78" i="7"/>
  <c r="E78" i="7"/>
  <c r="G86" i="7"/>
  <c r="E86" i="7"/>
  <c r="G90" i="7"/>
  <c r="E90" i="7"/>
  <c r="P100" i="7"/>
  <c r="O100" i="7"/>
  <c r="E117" i="7"/>
  <c r="G117" i="7"/>
  <c r="F117" i="7"/>
  <c r="D117" i="7"/>
  <c r="E119" i="7"/>
  <c r="G119" i="7"/>
  <c r="F119" i="7"/>
  <c r="J122" i="7"/>
  <c r="I122" i="7"/>
  <c r="E135" i="7"/>
  <c r="G135" i="7"/>
  <c r="F135" i="7"/>
  <c r="D135" i="7"/>
  <c r="E137" i="7"/>
  <c r="G137" i="7"/>
  <c r="F137" i="7"/>
  <c r="J140" i="7"/>
  <c r="I140" i="7"/>
  <c r="E149" i="7"/>
  <c r="G149" i="7"/>
  <c r="F149" i="7"/>
  <c r="D149" i="7"/>
  <c r="N7" i="7"/>
  <c r="F50" i="7"/>
  <c r="F53" i="7"/>
  <c r="F56" i="7"/>
  <c r="F59" i="7"/>
  <c r="I77" i="7"/>
  <c r="D78" i="7"/>
  <c r="I81" i="7"/>
  <c r="I85" i="7"/>
  <c r="D86" i="7"/>
  <c r="I89" i="7"/>
  <c r="D90" i="7"/>
  <c r="P95" i="7"/>
  <c r="N95" i="7"/>
  <c r="I98" i="7"/>
  <c r="I117" i="7"/>
  <c r="J117" i="7"/>
  <c r="D119" i="7"/>
  <c r="I135" i="7"/>
  <c r="J135" i="7"/>
  <c r="D137" i="7"/>
  <c r="E147" i="7"/>
  <c r="G147" i="7"/>
  <c r="F147" i="7"/>
  <c r="D147" i="7"/>
  <c r="I149" i="7"/>
  <c r="J149" i="7"/>
  <c r="W7" i="9"/>
  <c r="W11" i="9"/>
  <c r="W10" i="9"/>
  <c r="W14" i="9"/>
  <c r="W13" i="9"/>
  <c r="W12" i="9"/>
  <c r="W9" i="9"/>
  <c r="W8" i="9"/>
  <c r="N15" i="7"/>
  <c r="G82" i="7"/>
  <c r="E82" i="7"/>
  <c r="W33" i="9"/>
  <c r="W30" i="9"/>
  <c r="W18" i="9"/>
  <c r="W54" i="9"/>
  <c r="W48" i="9"/>
  <c r="W45" i="9"/>
  <c r="W40" i="9"/>
  <c r="W32" i="9"/>
  <c r="W53" i="9"/>
  <c r="W39" i="9"/>
  <c r="W27" i="9"/>
  <c r="W17" i="9"/>
  <c r="W52" i="9"/>
  <c r="W42" i="9"/>
  <c r="W51" i="9"/>
  <c r="W37" i="9"/>
  <c r="W29" i="9"/>
  <c r="W50" i="9"/>
  <c r="W47" i="9"/>
  <c r="W44" i="9"/>
  <c r="W36" i="9"/>
  <c r="W24" i="9"/>
  <c r="W56" i="9"/>
  <c r="W35" i="9"/>
  <c r="W41" i="9"/>
  <c r="W21" i="9"/>
  <c r="W49" i="9"/>
  <c r="W46" i="9"/>
  <c r="W34" i="9"/>
  <c r="W28" i="9"/>
  <c r="W20" i="9"/>
  <c r="W55" i="9"/>
  <c r="W43" i="9"/>
  <c r="W38" i="9"/>
  <c r="W19" i="9"/>
  <c r="W31" i="9"/>
  <c r="W26" i="9"/>
  <c r="W25" i="9"/>
  <c r="W23" i="9"/>
  <c r="W22" i="9"/>
  <c r="O5" i="7"/>
  <c r="I6" i="7"/>
  <c r="O7" i="7"/>
  <c r="I8" i="7"/>
  <c r="O9" i="7"/>
  <c r="I10" i="7"/>
  <c r="O11" i="7"/>
  <c r="I12" i="7"/>
  <c r="O13" i="7"/>
  <c r="I14" i="7"/>
  <c r="O15" i="7"/>
  <c r="F17" i="7"/>
  <c r="F20" i="7"/>
  <c r="F23" i="7"/>
  <c r="F26" i="7"/>
  <c r="F29" i="7"/>
  <c r="F32" i="7"/>
  <c r="F35" i="7"/>
  <c r="F38" i="7"/>
  <c r="F41" i="7"/>
  <c r="F44" i="7"/>
  <c r="F47" i="7"/>
  <c r="D5" i="7"/>
  <c r="P5" i="7"/>
  <c r="G17" i="7"/>
  <c r="G20" i="7"/>
  <c r="G23" i="7"/>
  <c r="G26" i="7"/>
  <c r="G29" i="7"/>
  <c r="G32" i="7"/>
  <c r="G35" i="7"/>
  <c r="G38" i="7"/>
  <c r="G41" i="7"/>
  <c r="G44" i="7"/>
  <c r="G47" i="7"/>
  <c r="G50" i="7"/>
  <c r="G53" i="7"/>
  <c r="G56" i="7"/>
  <c r="G59" i="7"/>
  <c r="G62" i="7"/>
  <c r="G65" i="7"/>
  <c r="G68" i="7"/>
  <c r="G71" i="7"/>
  <c r="G74" i="7"/>
  <c r="F78" i="7"/>
  <c r="F82" i="7"/>
  <c r="F86" i="7"/>
  <c r="F90" i="7"/>
  <c r="N96" i="7"/>
  <c r="P101" i="7"/>
  <c r="N101" i="7"/>
  <c r="P103" i="7"/>
  <c r="E115" i="7"/>
  <c r="G115" i="7"/>
  <c r="F115" i="7"/>
  <c r="D115" i="7"/>
  <c r="I119" i="7"/>
  <c r="J119" i="7"/>
  <c r="E133" i="7"/>
  <c r="G133" i="7"/>
  <c r="F133" i="7"/>
  <c r="D133" i="7"/>
  <c r="I137" i="7"/>
  <c r="J137" i="7"/>
  <c r="I147" i="7"/>
  <c r="J147" i="7"/>
  <c r="J150" i="7"/>
  <c r="I150" i="7"/>
  <c r="J157" i="7"/>
  <c r="I160" i="7"/>
  <c r="D161" i="7"/>
  <c r="J163" i="7"/>
  <c r="I166" i="7"/>
  <c r="D167" i="7"/>
  <c r="J169" i="7"/>
  <c r="I172" i="7"/>
  <c r="D173" i="7"/>
  <c r="J175" i="7"/>
  <c r="I178" i="7"/>
  <c r="D179" i="7"/>
  <c r="J181" i="7"/>
  <c r="I184" i="7"/>
  <c r="D185" i="7"/>
  <c r="J187" i="7"/>
  <c r="P199" i="7"/>
  <c r="I204" i="7"/>
  <c r="P222" i="7"/>
  <c r="N222" i="7"/>
  <c r="N108" i="7"/>
  <c r="N114" i="7"/>
  <c r="N120" i="7"/>
  <c r="N126" i="7"/>
  <c r="N132" i="7"/>
  <c r="N138" i="7"/>
  <c r="N144" i="7"/>
  <c r="N150" i="7"/>
  <c r="N156" i="7"/>
  <c r="F161" i="7"/>
  <c r="N162" i="7"/>
  <c r="F167" i="7"/>
  <c r="N168" i="7"/>
  <c r="F173" i="7"/>
  <c r="N174" i="7"/>
  <c r="F179" i="7"/>
  <c r="N180" i="7"/>
  <c r="O183" i="7"/>
  <c r="F185" i="7"/>
  <c r="N186" i="7"/>
  <c r="N193" i="7"/>
  <c r="I194" i="7"/>
  <c r="F195" i="7"/>
  <c r="O203" i="7"/>
  <c r="G205" i="7"/>
  <c r="D209" i="7"/>
  <c r="D213" i="7"/>
  <c r="Q93" i="7"/>
  <c r="Q103" i="7"/>
  <c r="P108" i="7"/>
  <c r="Q109" i="7"/>
  <c r="P114" i="7"/>
  <c r="Q115" i="7"/>
  <c r="P120" i="7"/>
  <c r="Q121" i="7"/>
  <c r="P126" i="7"/>
  <c r="Q127" i="7"/>
  <c r="P132" i="7"/>
  <c r="Q133" i="7"/>
  <c r="P138" i="7"/>
  <c r="Q139" i="7"/>
  <c r="P144" i="7"/>
  <c r="Q145" i="7"/>
  <c r="P150" i="7"/>
  <c r="Q151" i="7"/>
  <c r="P156" i="7"/>
  <c r="Q157" i="7"/>
  <c r="G161" i="7"/>
  <c r="P162" i="7"/>
  <c r="Q163" i="7"/>
  <c r="G167" i="7"/>
  <c r="P168" i="7"/>
  <c r="Q169" i="7"/>
  <c r="G173" i="7"/>
  <c r="P174" i="7"/>
  <c r="G179" i="7"/>
  <c r="P180" i="7"/>
  <c r="G185" i="7"/>
  <c r="O193" i="7"/>
  <c r="G195" i="7"/>
  <c r="D199" i="7"/>
  <c r="N207" i="7"/>
  <c r="F209" i="7"/>
  <c r="F213" i="7"/>
  <c r="J227" i="7"/>
  <c r="I227" i="7"/>
  <c r="O207" i="7"/>
  <c r="G209" i="7"/>
  <c r="G213" i="7"/>
  <c r="N109" i="7"/>
  <c r="N115" i="7"/>
  <c r="N121" i="7"/>
  <c r="N127" i="7"/>
  <c r="N133" i="7"/>
  <c r="N139" i="7"/>
  <c r="N145" i="7"/>
  <c r="N151" i="7"/>
  <c r="D153" i="7"/>
  <c r="J155" i="7"/>
  <c r="N157" i="7"/>
  <c r="I158" i="7"/>
  <c r="D159" i="7"/>
  <c r="J161" i="7"/>
  <c r="N163" i="7"/>
  <c r="I164" i="7"/>
  <c r="D165" i="7"/>
  <c r="J167" i="7"/>
  <c r="N169" i="7"/>
  <c r="I170" i="7"/>
  <c r="D171" i="7"/>
  <c r="J173" i="7"/>
  <c r="N175" i="7"/>
  <c r="I176" i="7"/>
  <c r="D177" i="7"/>
  <c r="J179" i="7"/>
  <c r="N181" i="7"/>
  <c r="I182" i="7"/>
  <c r="D183" i="7"/>
  <c r="N187" i="7"/>
  <c r="N106" i="7"/>
  <c r="O109" i="7"/>
  <c r="N112" i="7"/>
  <c r="O115" i="7"/>
  <c r="N118" i="7"/>
  <c r="O121" i="7"/>
  <c r="N124" i="7"/>
  <c r="O127" i="7"/>
  <c r="N130" i="7"/>
  <c r="O133" i="7"/>
  <c r="N136" i="7"/>
  <c r="O139" i="7"/>
  <c r="N142" i="7"/>
  <c r="O145" i="7"/>
  <c r="N148" i="7"/>
  <c r="O151" i="7"/>
  <c r="F153" i="7"/>
  <c r="N154" i="7"/>
  <c r="O157" i="7"/>
  <c r="F159" i="7"/>
  <c r="N160" i="7"/>
  <c r="O163" i="7"/>
  <c r="F165" i="7"/>
  <c r="N166" i="7"/>
  <c r="O169" i="7"/>
  <c r="F171" i="7"/>
  <c r="N172" i="7"/>
  <c r="O175" i="7"/>
  <c r="F177" i="7"/>
  <c r="N178" i="7"/>
  <c r="O181" i="7"/>
  <c r="F183" i="7"/>
  <c r="N184" i="7"/>
  <c r="O187" i="7"/>
  <c r="G189" i="7"/>
  <c r="D193" i="7"/>
  <c r="N201" i="7"/>
  <c r="F203" i="7"/>
  <c r="Q107" i="7"/>
  <c r="Q113" i="7"/>
  <c r="Q119" i="7"/>
  <c r="Q125" i="7"/>
  <c r="Q131" i="7"/>
  <c r="Q137" i="7"/>
  <c r="Q143" i="7"/>
  <c r="Q149" i="7"/>
  <c r="G153" i="7"/>
  <c r="Q155" i="7"/>
  <c r="G159" i="7"/>
  <c r="Q161" i="7"/>
  <c r="G165" i="7"/>
  <c r="Q167" i="7"/>
  <c r="G171" i="7"/>
  <c r="G177" i="7"/>
  <c r="O201" i="7"/>
  <c r="G193" i="7"/>
  <c r="D197" i="7"/>
  <c r="I206" i="7"/>
  <c r="D211" i="7"/>
  <c r="G234" i="7"/>
  <c r="D234" i="7"/>
  <c r="F234" i="7"/>
  <c r="E234" i="7"/>
  <c r="Q99" i="7"/>
  <c r="N107" i="7"/>
  <c r="N113" i="7"/>
  <c r="N119" i="7"/>
  <c r="N125" i="7"/>
  <c r="N131" i="7"/>
  <c r="N137" i="7"/>
  <c r="N143" i="7"/>
  <c r="N149" i="7"/>
  <c r="J153" i="7"/>
  <c r="N155" i="7"/>
  <c r="I156" i="7"/>
  <c r="D157" i="7"/>
  <c r="J159" i="7"/>
  <c r="N161" i="7"/>
  <c r="I162" i="7"/>
  <c r="D163" i="7"/>
  <c r="J165" i="7"/>
  <c r="N167" i="7"/>
  <c r="I168" i="7"/>
  <c r="D169" i="7"/>
  <c r="J171" i="7"/>
  <c r="N173" i="7"/>
  <c r="I174" i="7"/>
  <c r="D175" i="7"/>
  <c r="J177" i="7"/>
  <c r="N179" i="7"/>
  <c r="I180" i="7"/>
  <c r="D181" i="7"/>
  <c r="J183" i="7"/>
  <c r="N185" i="7"/>
  <c r="I186" i="7"/>
  <c r="D187" i="7"/>
  <c r="N195" i="7"/>
  <c r="I196" i="7"/>
  <c r="F197" i="7"/>
  <c r="O205" i="7"/>
  <c r="G207" i="7"/>
  <c r="F211" i="7"/>
  <c r="N104" i="7"/>
  <c r="N110" i="7"/>
  <c r="N116" i="7"/>
  <c r="N122" i="7"/>
  <c r="N128" i="7"/>
  <c r="N134" i="7"/>
  <c r="N140" i="7"/>
  <c r="N146" i="7"/>
  <c r="N152" i="7"/>
  <c r="F157" i="7"/>
  <c r="N158" i="7"/>
  <c r="F163" i="7"/>
  <c r="N164" i="7"/>
  <c r="F169" i="7"/>
  <c r="N170" i="7"/>
  <c r="F175" i="7"/>
  <c r="N176" i="7"/>
  <c r="F181" i="7"/>
  <c r="N182" i="7"/>
  <c r="O185" i="7"/>
  <c r="F187" i="7"/>
  <c r="O195" i="7"/>
  <c r="G197" i="7"/>
  <c r="G211" i="7"/>
  <c r="N221" i="7"/>
  <c r="G226" i="7"/>
  <c r="D226" i="7"/>
  <c r="F226" i="7"/>
  <c r="Q97" i="7"/>
  <c r="P104" i="7"/>
  <c r="Q105" i="7"/>
  <c r="P110" i="7"/>
  <c r="Q111" i="7"/>
  <c r="P116" i="7"/>
  <c r="Q117" i="7"/>
  <c r="P122" i="7"/>
  <c r="Q123" i="7"/>
  <c r="P128" i="7"/>
  <c r="Q129" i="7"/>
  <c r="P134" i="7"/>
  <c r="Q135" i="7"/>
  <c r="P140" i="7"/>
  <c r="Q141" i="7"/>
  <c r="P146" i="7"/>
  <c r="Q147" i="7"/>
  <c r="P152" i="7"/>
  <c r="Q153" i="7"/>
  <c r="G157" i="7"/>
  <c r="P158" i="7"/>
  <c r="Q159" i="7"/>
  <c r="G163" i="7"/>
  <c r="P164" i="7"/>
  <c r="Q165" i="7"/>
  <c r="G169" i="7"/>
  <c r="P170" i="7"/>
  <c r="G175" i="7"/>
  <c r="P176" i="7"/>
  <c r="G181" i="7"/>
  <c r="P182" i="7"/>
  <c r="G187" i="7"/>
  <c r="N199" i="7"/>
  <c r="O221" i="7"/>
  <c r="E226" i="7"/>
  <c r="J233" i="7"/>
  <c r="I233" i="7"/>
  <c r="O222" i="7"/>
  <c r="G228" i="7"/>
  <c r="D228" i="7"/>
  <c r="F228" i="7"/>
  <c r="E228" i="7"/>
  <c r="G232" i="7"/>
  <c r="D232" i="7"/>
  <c r="G238" i="7"/>
  <c r="D238" i="7"/>
  <c r="G254" i="7"/>
  <c r="D254" i="7"/>
  <c r="O283" i="7"/>
  <c r="O295" i="7"/>
  <c r="E254" i="7"/>
  <c r="E259" i="7"/>
  <c r="G280" i="7"/>
  <c r="F280" i="7"/>
  <c r="D280" i="7"/>
  <c r="G292" i="7"/>
  <c r="F292" i="7"/>
  <c r="D292" i="7"/>
  <c r="P311" i="7"/>
  <c r="O227" i="7"/>
  <c r="F232" i="7"/>
  <c r="O233" i="7"/>
  <c r="O239" i="7"/>
  <c r="G250" i="7"/>
  <c r="D250" i="7"/>
  <c r="E308" i="7"/>
  <c r="D308" i="7"/>
  <c r="N219" i="7"/>
  <c r="I220" i="7"/>
  <c r="D221" i="7"/>
  <c r="I244" i="7"/>
  <c r="F245" i="7"/>
  <c r="N247" i="7"/>
  <c r="E250" i="7"/>
  <c r="N252" i="7"/>
  <c r="E255" i="7"/>
  <c r="G259" i="7"/>
  <c r="G260" i="7"/>
  <c r="D260" i="7"/>
  <c r="I264" i="7"/>
  <c r="G265" i="7"/>
  <c r="G266" i="7"/>
  <c r="D266" i="7"/>
  <c r="I270" i="7"/>
  <c r="G271" i="7"/>
  <c r="G272" i="7"/>
  <c r="D272" i="7"/>
  <c r="N275" i="7"/>
  <c r="G281" i="7"/>
  <c r="G282" i="7"/>
  <c r="F282" i="7"/>
  <c r="D282" i="7"/>
  <c r="E283" i="7"/>
  <c r="N287" i="7"/>
  <c r="G293" i="7"/>
  <c r="G294" i="7"/>
  <c r="F294" i="7"/>
  <c r="D294" i="7"/>
  <c r="E295" i="7"/>
  <c r="N299" i="7"/>
  <c r="F308" i="7"/>
  <c r="E221" i="7"/>
  <c r="G224" i="7"/>
  <c r="D224" i="7"/>
  <c r="G230" i="7"/>
  <c r="D230" i="7"/>
  <c r="G236" i="7"/>
  <c r="D236" i="7"/>
  <c r="G242" i="7"/>
  <c r="D242" i="7"/>
  <c r="G245" i="7"/>
  <c r="G246" i="7"/>
  <c r="D246" i="7"/>
  <c r="F250" i="7"/>
  <c r="O252" i="7"/>
  <c r="F255" i="7"/>
  <c r="N257" i="7"/>
  <c r="E272" i="7"/>
  <c r="O275" i="7"/>
  <c r="I280" i="7"/>
  <c r="E282" i="7"/>
  <c r="F283" i="7"/>
  <c r="O287" i="7"/>
  <c r="I292" i="7"/>
  <c r="E294" i="7"/>
  <c r="F295" i="7"/>
  <c r="O299" i="7"/>
  <c r="E307" i="7"/>
  <c r="F307" i="7"/>
  <c r="D307" i="7"/>
  <c r="G308" i="7"/>
  <c r="E309" i="7"/>
  <c r="G309" i="7"/>
  <c r="D309" i="7"/>
  <c r="E312" i="7"/>
  <c r="D312" i="7"/>
  <c r="N327" i="7"/>
  <c r="P327" i="7"/>
  <c r="N225" i="7"/>
  <c r="N231" i="7"/>
  <c r="I235" i="7"/>
  <c r="E236" i="7"/>
  <c r="N237" i="7"/>
  <c r="I241" i="7"/>
  <c r="E242" i="7"/>
  <c r="N243" i="7"/>
  <c r="E246" i="7"/>
  <c r="N248" i="7"/>
  <c r="E251" i="7"/>
  <c r="G255" i="7"/>
  <c r="G256" i="7"/>
  <c r="D256" i="7"/>
  <c r="O257" i="7"/>
  <c r="G283" i="7"/>
  <c r="G284" i="7"/>
  <c r="F284" i="7"/>
  <c r="D284" i="7"/>
  <c r="G295" i="7"/>
  <c r="G296" i="7"/>
  <c r="F296" i="7"/>
  <c r="D296" i="7"/>
  <c r="O303" i="7"/>
  <c r="N315" i="7"/>
  <c r="P315" i="7"/>
  <c r="F316" i="7"/>
  <c r="D316" i="7"/>
  <c r="O225" i="7"/>
  <c r="O231" i="7"/>
  <c r="O237" i="7"/>
  <c r="O243" i="7"/>
  <c r="O248" i="7"/>
  <c r="N253" i="7"/>
  <c r="J307" i="7"/>
  <c r="I307" i="7"/>
  <c r="E311" i="7"/>
  <c r="G311" i="7"/>
  <c r="D311" i="7"/>
  <c r="N244" i="7"/>
  <c r="E247" i="7"/>
  <c r="G251" i="7"/>
  <c r="G252" i="7"/>
  <c r="D252" i="7"/>
  <c r="O253" i="7"/>
  <c r="I255" i="7"/>
  <c r="F256" i="7"/>
  <c r="O258" i="7"/>
  <c r="I260" i="7"/>
  <c r="G261" i="7"/>
  <c r="G262" i="7"/>
  <c r="D262" i="7"/>
  <c r="I266" i="7"/>
  <c r="G267" i="7"/>
  <c r="G268" i="7"/>
  <c r="D268" i="7"/>
  <c r="I272" i="7"/>
  <c r="G273" i="7"/>
  <c r="G274" i="7"/>
  <c r="F274" i="7"/>
  <c r="D274" i="7"/>
  <c r="E275" i="7"/>
  <c r="N279" i="7"/>
  <c r="G285" i="7"/>
  <c r="G286" i="7"/>
  <c r="F286" i="7"/>
  <c r="D286" i="7"/>
  <c r="E287" i="7"/>
  <c r="N291" i="7"/>
  <c r="G297" i="7"/>
  <c r="G298" i="7"/>
  <c r="F298" i="7"/>
  <c r="D298" i="7"/>
  <c r="E299" i="7"/>
  <c r="O304" i="7"/>
  <c r="F311" i="7"/>
  <c r="G314" i="7"/>
  <c r="F314" i="7"/>
  <c r="D314" i="7"/>
  <c r="G316" i="7"/>
  <c r="G240" i="7"/>
  <c r="D240" i="7"/>
  <c r="J311" i="7"/>
  <c r="I311" i="7"/>
  <c r="P320" i="7"/>
  <c r="O320" i="7"/>
  <c r="O220" i="7"/>
  <c r="I239" i="7"/>
  <c r="E240" i="7"/>
  <c r="G247" i="7"/>
  <c r="G248" i="7"/>
  <c r="D248" i="7"/>
  <c r="I251" i="7"/>
  <c r="I256" i="7"/>
  <c r="E263" i="7"/>
  <c r="E269" i="7"/>
  <c r="G275" i="7"/>
  <c r="G276" i="7"/>
  <c r="F276" i="7"/>
  <c r="D276" i="7"/>
  <c r="E277" i="7"/>
  <c r="G287" i="7"/>
  <c r="G288" i="7"/>
  <c r="F288" i="7"/>
  <c r="D288" i="7"/>
  <c r="E289" i="7"/>
  <c r="G299" i="7"/>
  <c r="G300" i="7"/>
  <c r="F300" i="7"/>
  <c r="D300" i="7"/>
  <c r="E301" i="7"/>
  <c r="J315" i="7"/>
  <c r="N188" i="7"/>
  <c r="N190" i="7"/>
  <c r="N192" i="7"/>
  <c r="N194" i="7"/>
  <c r="N196" i="7"/>
  <c r="N198" i="7"/>
  <c r="N200" i="7"/>
  <c r="N202" i="7"/>
  <c r="N204" i="7"/>
  <c r="N206" i="7"/>
  <c r="N208" i="7"/>
  <c r="N210" i="7"/>
  <c r="N212" i="7"/>
  <c r="N214" i="7"/>
  <c r="N216" i="7"/>
  <c r="N218" i="7"/>
  <c r="O223" i="7"/>
  <c r="O229" i="7"/>
  <c r="O235" i="7"/>
  <c r="F240" i="7"/>
  <c r="O241" i="7"/>
  <c r="N245" i="7"/>
  <c r="E248" i="7"/>
  <c r="N250" i="7"/>
  <c r="E253" i="7"/>
  <c r="G258" i="7"/>
  <c r="D258" i="7"/>
  <c r="F263" i="7"/>
  <c r="F269" i="7"/>
  <c r="I274" i="7"/>
  <c r="E276" i="7"/>
  <c r="F277" i="7"/>
  <c r="I286" i="7"/>
  <c r="E288" i="7"/>
  <c r="F289" i="7"/>
  <c r="I298" i="7"/>
  <c r="E300" i="7"/>
  <c r="F301" i="7"/>
  <c r="E303" i="7"/>
  <c r="F303" i="7"/>
  <c r="D303" i="7"/>
  <c r="F304" i="7"/>
  <c r="D304" i="7"/>
  <c r="N308" i="7"/>
  <c r="I310" i="7"/>
  <c r="J326" i="7"/>
  <c r="I326" i="7"/>
  <c r="I219" i="7"/>
  <c r="E220" i="7"/>
  <c r="G244" i="7"/>
  <c r="D244" i="7"/>
  <c r="O245" i="7"/>
  <c r="I247" i="7"/>
  <c r="F248" i="7"/>
  <c r="O250" i="7"/>
  <c r="I252" i="7"/>
  <c r="F253" i="7"/>
  <c r="N255" i="7"/>
  <c r="E258" i="7"/>
  <c r="I262" i="7"/>
  <c r="G263" i="7"/>
  <c r="G264" i="7"/>
  <c r="D264" i="7"/>
  <c r="I268" i="7"/>
  <c r="G269" i="7"/>
  <c r="G270" i="7"/>
  <c r="D270" i="7"/>
  <c r="G277" i="7"/>
  <c r="G278" i="7"/>
  <c r="F278" i="7"/>
  <c r="D278" i="7"/>
  <c r="E279" i="7"/>
  <c r="N283" i="7"/>
  <c r="G289" i="7"/>
  <c r="G290" i="7"/>
  <c r="F290" i="7"/>
  <c r="D290" i="7"/>
  <c r="E291" i="7"/>
  <c r="N295" i="7"/>
  <c r="G301" i="7"/>
  <c r="G302" i="7"/>
  <c r="F302" i="7"/>
  <c r="D302" i="7"/>
  <c r="G303" i="7"/>
  <c r="E304" i="7"/>
  <c r="O308" i="7"/>
  <c r="Q312" i="7"/>
  <c r="O332" i="7"/>
  <c r="O340" i="7"/>
  <c r="G347" i="7"/>
  <c r="O365" i="7"/>
  <c r="G368" i="7"/>
  <c r="F368" i="7"/>
  <c r="E368" i="7"/>
  <c r="D368" i="7"/>
  <c r="J370" i="7"/>
  <c r="I370" i="7"/>
  <c r="P381" i="7"/>
  <c r="N381" i="7"/>
  <c r="O381" i="7"/>
  <c r="G324" i="7"/>
  <c r="P332" i="7"/>
  <c r="D337" i="7"/>
  <c r="P340" i="7"/>
  <c r="D345" i="7"/>
  <c r="D348" i="7"/>
  <c r="J368" i="7"/>
  <c r="I368" i="7"/>
  <c r="D381" i="7"/>
  <c r="F381" i="7"/>
  <c r="G381" i="7"/>
  <c r="E381" i="7"/>
  <c r="D315" i="7"/>
  <c r="I319" i="7"/>
  <c r="D320" i="7"/>
  <c r="D327" i="7"/>
  <c r="I331" i="7"/>
  <c r="D332" i="7"/>
  <c r="F337" i="7"/>
  <c r="N338" i="7"/>
  <c r="I339" i="7"/>
  <c r="D340" i="7"/>
  <c r="F345" i="7"/>
  <c r="N346" i="7"/>
  <c r="I347" i="7"/>
  <c r="E348" i="7"/>
  <c r="N353" i="7"/>
  <c r="P357" i="7"/>
  <c r="N358" i="7"/>
  <c r="D367" i="7"/>
  <c r="F367" i="7"/>
  <c r="Q309" i="7"/>
  <c r="F315" i="7"/>
  <c r="Q321" i="7"/>
  <c r="N323" i="7"/>
  <c r="F327" i="7"/>
  <c r="E332" i="7"/>
  <c r="G337" i="7"/>
  <c r="E340" i="7"/>
  <c r="G345" i="7"/>
  <c r="F348" i="7"/>
  <c r="O358" i="7"/>
  <c r="G366" i="7"/>
  <c r="E366" i="7"/>
  <c r="D366" i="7"/>
  <c r="G378" i="7"/>
  <c r="F378" i="7"/>
  <c r="E378" i="7"/>
  <c r="D378" i="7"/>
  <c r="G327" i="7"/>
  <c r="N328" i="7"/>
  <c r="F332" i="7"/>
  <c r="N333" i="7"/>
  <c r="F340" i="7"/>
  <c r="N341" i="7"/>
  <c r="F366" i="7"/>
  <c r="G367" i="7"/>
  <c r="O333" i="7"/>
  <c r="O341" i="7"/>
  <c r="N260" i="7"/>
  <c r="N262" i="7"/>
  <c r="N264" i="7"/>
  <c r="N266" i="7"/>
  <c r="N268" i="7"/>
  <c r="N270" i="7"/>
  <c r="N272" i="7"/>
  <c r="N274" i="7"/>
  <c r="N276" i="7"/>
  <c r="N278" i="7"/>
  <c r="N280" i="7"/>
  <c r="N282" i="7"/>
  <c r="N284" i="7"/>
  <c r="N286" i="7"/>
  <c r="N288" i="7"/>
  <c r="N290" i="7"/>
  <c r="N292" i="7"/>
  <c r="N294" i="7"/>
  <c r="N296" i="7"/>
  <c r="N298" i="7"/>
  <c r="N300" i="7"/>
  <c r="N302" i="7"/>
  <c r="G313" i="7"/>
  <c r="N314" i="7"/>
  <c r="D323" i="7"/>
  <c r="G325" i="7"/>
  <c r="N326" i="7"/>
  <c r="I327" i="7"/>
  <c r="D328" i="7"/>
  <c r="I332" i="7"/>
  <c r="E338" i="7"/>
  <c r="I340" i="7"/>
  <c r="E346" i="7"/>
  <c r="D349" i="7"/>
  <c r="N350" i="7"/>
  <c r="O354" i="7"/>
  <c r="D357" i="7"/>
  <c r="F358" i="7"/>
  <c r="E358" i="7"/>
  <c r="D358" i="7"/>
  <c r="I366" i="7"/>
  <c r="J380" i="7"/>
  <c r="I380" i="7"/>
  <c r="F323" i="7"/>
  <c r="E328" i="7"/>
  <c r="F338" i="7"/>
  <c r="F346" i="7"/>
  <c r="F349" i="7"/>
  <c r="F353" i="7"/>
  <c r="E353" i="7"/>
  <c r="D353" i="7"/>
  <c r="E357" i="7"/>
  <c r="J365" i="7"/>
  <c r="I365" i="7"/>
  <c r="D321" i="7"/>
  <c r="G323" i="7"/>
  <c r="D326" i="7"/>
  <c r="F328" i="7"/>
  <c r="F333" i="7"/>
  <c r="N334" i="7"/>
  <c r="D336" i="7"/>
  <c r="F341" i="7"/>
  <c r="N342" i="7"/>
  <c r="D344" i="7"/>
  <c r="G349" i="7"/>
  <c r="D350" i="7"/>
  <c r="G353" i="7"/>
  <c r="E354" i="7"/>
  <c r="N355" i="7"/>
  <c r="G357" i="7"/>
  <c r="P371" i="7"/>
  <c r="N371" i="7"/>
  <c r="O334" i="7"/>
  <c r="O342" i="7"/>
  <c r="J357" i="7"/>
  <c r="I357" i="7"/>
  <c r="G360" i="7"/>
  <c r="F360" i="7"/>
  <c r="N362" i="7"/>
  <c r="D371" i="7"/>
  <c r="F371" i="7"/>
  <c r="G371" i="7"/>
  <c r="E371" i="7"/>
  <c r="O305" i="7"/>
  <c r="N310" i="7"/>
  <c r="O317" i="7"/>
  <c r="D319" i="7"/>
  <c r="G321" i="7"/>
  <c r="N322" i="7"/>
  <c r="I323" i="7"/>
  <c r="D324" i="7"/>
  <c r="F326" i="7"/>
  <c r="O329" i="7"/>
  <c r="D331" i="7"/>
  <c r="F336" i="7"/>
  <c r="D339" i="7"/>
  <c r="F344" i="7"/>
  <c r="D347" i="7"/>
  <c r="I349" i="7"/>
  <c r="F350" i="7"/>
  <c r="J353" i="7"/>
  <c r="G354" i="7"/>
  <c r="D360" i="7"/>
  <c r="P362" i="7"/>
  <c r="J375" i="7"/>
  <c r="I375" i="7"/>
  <c r="P378" i="7"/>
  <c r="Q313" i="7"/>
  <c r="F319" i="7"/>
  <c r="Q325" i="7"/>
  <c r="F331" i="7"/>
  <c r="D334" i="7"/>
  <c r="F339" i="7"/>
  <c r="D342" i="7"/>
  <c r="F347" i="7"/>
  <c r="F355" i="7"/>
  <c r="G355" i="7"/>
  <c r="E360" i="7"/>
  <c r="F361" i="7"/>
  <c r="E361" i="7"/>
  <c r="D361" i="7"/>
  <c r="N365" i="7"/>
  <c r="D369" i="7"/>
  <c r="F369" i="7"/>
  <c r="G369" i="7"/>
  <c r="E369" i="7"/>
  <c r="I373" i="7"/>
  <c r="P392" i="7"/>
  <c r="N392" i="7"/>
  <c r="G398" i="7"/>
  <c r="F398" i="7"/>
  <c r="D398" i="7"/>
  <c r="N399" i="7"/>
  <c r="G387" i="7"/>
  <c r="E387" i="7"/>
  <c r="E398" i="7"/>
  <c r="P399" i="7"/>
  <c r="O375" i="7"/>
  <c r="D387" i="7"/>
  <c r="N388" i="7"/>
  <c r="P388" i="7"/>
  <c r="I397" i="7"/>
  <c r="G427" i="7"/>
  <c r="F427" i="7"/>
  <c r="E427" i="7"/>
  <c r="D427" i="7"/>
  <c r="O372" i="7"/>
  <c r="I377" i="7"/>
  <c r="D382" i="7"/>
  <c r="I386" i="7"/>
  <c r="F387" i="7"/>
  <c r="J391" i="7"/>
  <c r="J398" i="7"/>
  <c r="G415" i="7"/>
  <c r="F415" i="7"/>
  <c r="E415" i="7"/>
  <c r="D415" i="7"/>
  <c r="G416" i="7"/>
  <c r="F416" i="7"/>
  <c r="O363" i="7"/>
  <c r="D365" i="7"/>
  <c r="I367" i="7"/>
  <c r="N369" i="7"/>
  <c r="D375" i="7"/>
  <c r="F375" i="7"/>
  <c r="O379" i="7"/>
  <c r="E382" i="7"/>
  <c r="P395" i="7"/>
  <c r="O395" i="7"/>
  <c r="O402" i="7"/>
  <c r="F407" i="7"/>
  <c r="E407" i="7"/>
  <c r="D407" i="7"/>
  <c r="N361" i="7"/>
  <c r="E365" i="7"/>
  <c r="N366" i="7"/>
  <c r="O369" i="7"/>
  <c r="D372" i="7"/>
  <c r="I374" i="7"/>
  <c r="E375" i="7"/>
  <c r="F382" i="7"/>
  <c r="P384" i="7"/>
  <c r="N384" i="7"/>
  <c r="N385" i="7"/>
  <c r="J387" i="7"/>
  <c r="N396" i="7"/>
  <c r="Q398" i="7"/>
  <c r="G400" i="7"/>
  <c r="E400" i="7"/>
  <c r="P402" i="7"/>
  <c r="G407" i="7"/>
  <c r="G408" i="7"/>
  <c r="E408" i="7"/>
  <c r="D408" i="7"/>
  <c r="G414" i="7"/>
  <c r="F414" i="7"/>
  <c r="E414" i="7"/>
  <c r="D414" i="7"/>
  <c r="E416" i="7"/>
  <c r="J426" i="7"/>
  <c r="I426" i="7"/>
  <c r="G431" i="7"/>
  <c r="F431" i="7"/>
  <c r="E431" i="7"/>
  <c r="D431" i="7"/>
  <c r="G365" i="7"/>
  <c r="D379" i="7"/>
  <c r="F379" i="7"/>
  <c r="N380" i="7"/>
  <c r="O385" i="7"/>
  <c r="G394" i="7"/>
  <c r="D394" i="7"/>
  <c r="F394" i="7"/>
  <c r="O396" i="7"/>
  <c r="G409" i="7"/>
  <c r="F409" i="7"/>
  <c r="J414" i="7"/>
  <c r="I414" i="7"/>
  <c r="O380" i="7"/>
  <c r="G401" i="7"/>
  <c r="F401" i="7"/>
  <c r="D401" i="7"/>
  <c r="J406" i="7"/>
  <c r="I406" i="7"/>
  <c r="P419" i="7"/>
  <c r="O419" i="7"/>
  <c r="J430" i="7"/>
  <c r="I430" i="7"/>
  <c r="G351" i="7"/>
  <c r="G363" i="7"/>
  <c r="E376" i="7"/>
  <c r="N377" i="7"/>
  <c r="G379" i="7"/>
  <c r="F385" i="7"/>
  <c r="D385" i="7"/>
  <c r="I388" i="7"/>
  <c r="G389" i="7"/>
  <c r="J394" i="7"/>
  <c r="I394" i="7"/>
  <c r="O398" i="7"/>
  <c r="E401" i="7"/>
  <c r="G402" i="7"/>
  <c r="F402" i="7"/>
  <c r="I408" i="7"/>
  <c r="E409" i="7"/>
  <c r="G421" i="7"/>
  <c r="F421" i="7"/>
  <c r="E421" i="7"/>
  <c r="G435" i="7"/>
  <c r="F435" i="7"/>
  <c r="E435" i="7"/>
  <c r="D435" i="7"/>
  <c r="G443" i="7"/>
  <c r="F443" i="7"/>
  <c r="E443" i="7"/>
  <c r="D443" i="7"/>
  <c r="N367" i="7"/>
  <c r="D373" i="7"/>
  <c r="F373" i="7"/>
  <c r="N374" i="7"/>
  <c r="O377" i="7"/>
  <c r="N387" i="7"/>
  <c r="G390" i="7"/>
  <c r="F390" i="7"/>
  <c r="D390" i="7"/>
  <c r="D402" i="7"/>
  <c r="D421" i="7"/>
  <c r="O374" i="7"/>
  <c r="O387" i="7"/>
  <c r="O392" i="7"/>
  <c r="E397" i="7"/>
  <c r="D397" i="7"/>
  <c r="G410" i="7"/>
  <c r="F410" i="7"/>
  <c r="D410" i="7"/>
  <c r="G422" i="7"/>
  <c r="F422" i="7"/>
  <c r="E422" i="7"/>
  <c r="D422" i="7"/>
  <c r="J434" i="7"/>
  <c r="I434" i="7"/>
  <c r="J442" i="7"/>
  <c r="I442" i="7"/>
  <c r="D377" i="7"/>
  <c r="F377" i="7"/>
  <c r="I384" i="7"/>
  <c r="G386" i="7"/>
  <c r="D386" i="7"/>
  <c r="D391" i="7"/>
  <c r="J395" i="7"/>
  <c r="F397" i="7"/>
  <c r="E410" i="7"/>
  <c r="G383" i="7"/>
  <c r="E392" i="7"/>
  <c r="P401" i="7"/>
  <c r="E403" i="7"/>
  <c r="F405" i="7"/>
  <c r="F412" i="7"/>
  <c r="P415" i="7"/>
  <c r="F417" i="7"/>
  <c r="F424" i="7"/>
  <c r="E432" i="7"/>
  <c r="N433" i="7"/>
  <c r="N441" i="7"/>
  <c r="N449" i="7"/>
  <c r="I450" i="7"/>
  <c r="O459" i="7"/>
  <c r="F461" i="7"/>
  <c r="P469" i="7"/>
  <c r="O483" i="7"/>
  <c r="O487" i="7"/>
  <c r="O491" i="7"/>
  <c r="O495" i="7"/>
  <c r="P505" i="7"/>
  <c r="G524" i="7"/>
  <c r="F524" i="7"/>
  <c r="E524" i="7"/>
  <c r="D524" i="7"/>
  <c r="O433" i="7"/>
  <c r="O441" i="7"/>
  <c r="O449" i="7"/>
  <c r="P459" i="7"/>
  <c r="P483" i="7"/>
  <c r="P487" i="7"/>
  <c r="P491" i="7"/>
  <c r="P495" i="7"/>
  <c r="O507" i="7"/>
  <c r="P507" i="7"/>
  <c r="N507" i="7"/>
  <c r="G544" i="7"/>
  <c r="F544" i="7"/>
  <c r="E544" i="7"/>
  <c r="D544" i="7"/>
  <c r="N404" i="7"/>
  <c r="I412" i="7"/>
  <c r="D413" i="7"/>
  <c r="D420" i="7"/>
  <c r="I424" i="7"/>
  <c r="D425" i="7"/>
  <c r="D430" i="7"/>
  <c r="N453" i="7"/>
  <c r="I454" i="7"/>
  <c r="E455" i="7"/>
  <c r="O463" i="7"/>
  <c r="D469" i="7"/>
  <c r="N477" i="7"/>
  <c r="I478" i="7"/>
  <c r="E479" i="7"/>
  <c r="J501" i="7"/>
  <c r="J513" i="7"/>
  <c r="E420" i="7"/>
  <c r="E430" i="7"/>
  <c r="N431" i="7"/>
  <c r="N439" i="7"/>
  <c r="N467" i="7"/>
  <c r="E469" i="7"/>
  <c r="N498" i="7"/>
  <c r="N510" i="7"/>
  <c r="G528" i="7"/>
  <c r="F528" i="7"/>
  <c r="E528" i="7"/>
  <c r="D528" i="7"/>
  <c r="N457" i="7"/>
  <c r="O467" i="7"/>
  <c r="F469" i="7"/>
  <c r="D473" i="7"/>
  <c r="N481" i="7"/>
  <c r="O498" i="7"/>
  <c r="O510" i="7"/>
  <c r="O457" i="7"/>
  <c r="N471" i="7"/>
  <c r="O481" i="7"/>
  <c r="N485" i="7"/>
  <c r="N489" i="7"/>
  <c r="N493" i="7"/>
  <c r="I504" i="7"/>
  <c r="J504" i="7"/>
  <c r="I438" i="7"/>
  <c r="D439" i="7"/>
  <c r="G532" i="7"/>
  <c r="F532" i="7"/>
  <c r="E532" i="7"/>
  <c r="D532" i="7"/>
  <c r="F428" i="7"/>
  <c r="O429" i="7"/>
  <c r="O437" i="7"/>
  <c r="E439" i="7"/>
  <c r="O445" i="7"/>
  <c r="E447" i="7"/>
  <c r="N451" i="7"/>
  <c r="I452" i="7"/>
  <c r="E453" i="7"/>
  <c r="D467" i="7"/>
  <c r="N475" i="7"/>
  <c r="I476" i="7"/>
  <c r="E477" i="7"/>
  <c r="P502" i="7"/>
  <c r="P514" i="7"/>
  <c r="N405" i="7"/>
  <c r="N417" i="7"/>
  <c r="I418" i="7"/>
  <c r="D419" i="7"/>
  <c r="D426" i="7"/>
  <c r="D434" i="7"/>
  <c r="F439" i="7"/>
  <c r="F447" i="7"/>
  <c r="O451" i="7"/>
  <c r="F453" i="7"/>
  <c r="D457" i="7"/>
  <c r="E467" i="7"/>
  <c r="O475" i="7"/>
  <c r="F477" i="7"/>
  <c r="D481" i="7"/>
  <c r="G500" i="7"/>
  <c r="F500" i="7"/>
  <c r="E500" i="7"/>
  <c r="G512" i="7"/>
  <c r="F512" i="7"/>
  <c r="E512" i="7"/>
  <c r="N403" i="7"/>
  <c r="E419" i="7"/>
  <c r="E426" i="7"/>
  <c r="E434" i="7"/>
  <c r="F467" i="7"/>
  <c r="D500" i="7"/>
  <c r="D512" i="7"/>
  <c r="Q517" i="7"/>
  <c r="G536" i="7"/>
  <c r="F536" i="7"/>
  <c r="E536" i="7"/>
  <c r="D536" i="7"/>
  <c r="E396" i="7"/>
  <c r="D412" i="7"/>
  <c r="D424" i="7"/>
  <c r="F426" i="7"/>
  <c r="E429" i="7"/>
  <c r="F434" i="7"/>
  <c r="E437" i="7"/>
  <c r="E445" i="7"/>
  <c r="F457" i="7"/>
  <c r="D461" i="7"/>
  <c r="N469" i="7"/>
  <c r="I470" i="7"/>
  <c r="E471" i="7"/>
  <c r="F481" i="7"/>
  <c r="E485" i="7"/>
  <c r="E489" i="7"/>
  <c r="E493" i="7"/>
  <c r="D451" i="7"/>
  <c r="E461" i="7"/>
  <c r="F471" i="7"/>
  <c r="F485" i="7"/>
  <c r="F489" i="7"/>
  <c r="F493" i="7"/>
  <c r="J496" i="7"/>
  <c r="G502" i="7"/>
  <c r="D502" i="7"/>
  <c r="N505" i="7"/>
  <c r="J508" i="7"/>
  <c r="G514" i="7"/>
  <c r="D514" i="7"/>
  <c r="G540" i="7"/>
  <c r="F540" i="7"/>
  <c r="E540" i="7"/>
  <c r="D540" i="7"/>
  <c r="G563" i="7"/>
  <c r="E563" i="7"/>
  <c r="D563" i="7"/>
  <c r="F550" i="7"/>
  <c r="E550" i="7"/>
  <c r="F563" i="7"/>
  <c r="G549" i="7"/>
  <c r="F549" i="7"/>
  <c r="E549" i="7"/>
  <c r="D549" i="7"/>
  <c r="D550" i="7"/>
  <c r="G557" i="7"/>
  <c r="F557" i="7"/>
  <c r="E557" i="7"/>
  <c r="E558" i="7"/>
  <c r="D558" i="7"/>
  <c r="I563" i="7"/>
  <c r="J563" i="7"/>
  <c r="G550" i="7"/>
  <c r="G565" i="7"/>
  <c r="F565" i="7"/>
  <c r="E565" i="7"/>
  <c r="J557" i="7"/>
  <c r="I557" i="7"/>
  <c r="P560" i="7"/>
  <c r="O560" i="7"/>
  <c r="G567" i="7"/>
  <c r="F567" i="7"/>
  <c r="E567" i="7"/>
  <c r="D567" i="7"/>
  <c r="I599" i="7"/>
  <c r="J599" i="7"/>
  <c r="P603" i="7"/>
  <c r="N603" i="7"/>
  <c r="O603" i="7"/>
  <c r="N503" i="7"/>
  <c r="O515" i="7"/>
  <c r="N515" i="7"/>
  <c r="P515" i="7"/>
  <c r="E520" i="7"/>
  <c r="I565" i="7"/>
  <c r="J565" i="7"/>
  <c r="N450" i="7"/>
  <c r="N452" i="7"/>
  <c r="N454" i="7"/>
  <c r="N456" i="7"/>
  <c r="N458" i="7"/>
  <c r="N460" i="7"/>
  <c r="N462" i="7"/>
  <c r="N464" i="7"/>
  <c r="N466" i="7"/>
  <c r="N468" i="7"/>
  <c r="N470" i="7"/>
  <c r="N472" i="7"/>
  <c r="N474" i="7"/>
  <c r="N476" i="7"/>
  <c r="N478" i="7"/>
  <c r="N480" i="7"/>
  <c r="N482" i="7"/>
  <c r="N484" i="7"/>
  <c r="N486" i="7"/>
  <c r="N488" i="7"/>
  <c r="N490" i="7"/>
  <c r="N492" i="7"/>
  <c r="N494" i="7"/>
  <c r="O496" i="7"/>
  <c r="I497" i="7"/>
  <c r="D498" i="7"/>
  <c r="P503" i="7"/>
  <c r="O508" i="7"/>
  <c r="I509" i="7"/>
  <c r="D510" i="7"/>
  <c r="F520" i="7"/>
  <c r="O554" i="7"/>
  <c r="J567" i="7"/>
  <c r="J608" i="7"/>
  <c r="I608" i="7"/>
  <c r="E498" i="7"/>
  <c r="N501" i="7"/>
  <c r="J502" i="7"/>
  <c r="N506" i="7"/>
  <c r="E510" i="7"/>
  <c r="N513" i="7"/>
  <c r="J514" i="7"/>
  <c r="N516" i="7"/>
  <c r="G561" i="7"/>
  <c r="F561" i="7"/>
  <c r="E561" i="7"/>
  <c r="D561" i="7"/>
  <c r="N499" i="7"/>
  <c r="N511" i="7"/>
  <c r="O516" i="7"/>
  <c r="G553" i="7"/>
  <c r="E553" i="7"/>
  <c r="D553" i="7"/>
  <c r="F554" i="7"/>
  <c r="E554" i="7"/>
  <c r="D554" i="7"/>
  <c r="G616" i="7"/>
  <c r="D616" i="7"/>
  <c r="F616" i="7"/>
  <c r="E616" i="7"/>
  <c r="P499" i="7"/>
  <c r="O504" i="7"/>
  <c r="I505" i="7"/>
  <c r="D506" i="7"/>
  <c r="P511" i="7"/>
  <c r="P548" i="7"/>
  <c r="O548" i="7"/>
  <c r="F553" i="7"/>
  <c r="G554" i="7"/>
  <c r="J561" i="7"/>
  <c r="N497" i="7"/>
  <c r="J498" i="7"/>
  <c r="N509" i="7"/>
  <c r="J510" i="7"/>
  <c r="D546" i="7"/>
  <c r="J553" i="7"/>
  <c r="I553" i="7"/>
  <c r="Q559" i="7"/>
  <c r="G571" i="7"/>
  <c r="F571" i="7"/>
  <c r="E571" i="7"/>
  <c r="N517" i="7"/>
  <c r="N519" i="7"/>
  <c r="N521" i="7"/>
  <c r="N523" i="7"/>
  <c r="N525" i="7"/>
  <c r="N527" i="7"/>
  <c r="N529" i="7"/>
  <c r="N531" i="7"/>
  <c r="N533" i="7"/>
  <c r="N535" i="7"/>
  <c r="N537" i="7"/>
  <c r="N539" i="7"/>
  <c r="N541" i="7"/>
  <c r="N543" i="7"/>
  <c r="N545" i="7"/>
  <c r="P547" i="7"/>
  <c r="F551" i="7"/>
  <c r="N552" i="7"/>
  <c r="F556" i="7"/>
  <c r="J569" i="7"/>
  <c r="D573" i="7"/>
  <c r="J575" i="7"/>
  <c r="D579" i="7"/>
  <c r="J581" i="7"/>
  <c r="D585" i="7"/>
  <c r="J587" i="7"/>
  <c r="D591" i="7"/>
  <c r="J593" i="7"/>
  <c r="D597" i="7"/>
  <c r="E606" i="7"/>
  <c r="O610" i="7"/>
  <c r="N620" i="7"/>
  <c r="I622" i="7"/>
  <c r="J634" i="7"/>
  <c r="I634" i="7"/>
  <c r="I635" i="7"/>
  <c r="J635" i="7"/>
  <c r="G639" i="7"/>
  <c r="E639" i="7"/>
  <c r="D639" i="7"/>
  <c r="P640" i="7"/>
  <c r="I652" i="7"/>
  <c r="J670" i="7"/>
  <c r="I670" i="7"/>
  <c r="O521" i="7"/>
  <c r="I522" i="7"/>
  <c r="O523" i="7"/>
  <c r="I524" i="7"/>
  <c r="O525" i="7"/>
  <c r="I526" i="7"/>
  <c r="O527" i="7"/>
  <c r="I528" i="7"/>
  <c r="O529" i="7"/>
  <c r="I530" i="7"/>
  <c r="O531" i="7"/>
  <c r="I532" i="7"/>
  <c r="O533" i="7"/>
  <c r="I534" i="7"/>
  <c r="O535" i="7"/>
  <c r="I536" i="7"/>
  <c r="O537" i="7"/>
  <c r="I538" i="7"/>
  <c r="O539" i="7"/>
  <c r="I540" i="7"/>
  <c r="O541" i="7"/>
  <c r="I542" i="7"/>
  <c r="O543" i="7"/>
  <c r="I544" i="7"/>
  <c r="O545" i="7"/>
  <c r="I546" i="7"/>
  <c r="O552" i="7"/>
  <c r="N562" i="7"/>
  <c r="N568" i="7"/>
  <c r="E573" i="7"/>
  <c r="N574" i="7"/>
  <c r="E579" i="7"/>
  <c r="N580" i="7"/>
  <c r="E585" i="7"/>
  <c r="N586" i="7"/>
  <c r="E591" i="7"/>
  <c r="N592" i="7"/>
  <c r="E597" i="7"/>
  <c r="N598" i="7"/>
  <c r="Q599" i="7"/>
  <c r="G601" i="7"/>
  <c r="E601" i="7"/>
  <c r="N618" i="7"/>
  <c r="O620" i="7"/>
  <c r="I654" i="7"/>
  <c r="J654" i="7"/>
  <c r="O663" i="7"/>
  <c r="P663" i="7"/>
  <c r="O664" i="7"/>
  <c r="P664" i="7"/>
  <c r="N664" i="7"/>
  <c r="J676" i="7"/>
  <c r="I676" i="7"/>
  <c r="F573" i="7"/>
  <c r="F579" i="7"/>
  <c r="F585" i="7"/>
  <c r="F591" i="7"/>
  <c r="F597" i="7"/>
  <c r="P618" i="7"/>
  <c r="G625" i="7"/>
  <c r="E625" i="7"/>
  <c r="D602" i="7"/>
  <c r="G602" i="7"/>
  <c r="G609" i="7"/>
  <c r="F609" i="7"/>
  <c r="D609" i="7"/>
  <c r="G610" i="7"/>
  <c r="F610" i="7"/>
  <c r="D610" i="7"/>
  <c r="P617" i="7"/>
  <c r="N617" i="7"/>
  <c r="N621" i="7"/>
  <c r="Q623" i="7"/>
  <c r="Q629" i="7"/>
  <c r="O642" i="7"/>
  <c r="P642" i="7"/>
  <c r="N657" i="7"/>
  <c r="I661" i="7"/>
  <c r="J661" i="7"/>
  <c r="F620" i="7"/>
  <c r="D620" i="7"/>
  <c r="O666" i="7"/>
  <c r="P666" i="7"/>
  <c r="N566" i="7"/>
  <c r="N572" i="7"/>
  <c r="E577" i="7"/>
  <c r="N578" i="7"/>
  <c r="E583" i="7"/>
  <c r="N584" i="7"/>
  <c r="E589" i="7"/>
  <c r="N590" i="7"/>
  <c r="E595" i="7"/>
  <c r="N596" i="7"/>
  <c r="F602" i="7"/>
  <c r="N604" i="7"/>
  <c r="G611" i="7"/>
  <c r="E611" i="7"/>
  <c r="E620" i="7"/>
  <c r="O623" i="7"/>
  <c r="P627" i="7"/>
  <c r="N627" i="7"/>
  <c r="P643" i="7"/>
  <c r="N643" i="7"/>
  <c r="D555" i="7"/>
  <c r="P566" i="7"/>
  <c r="P572" i="7"/>
  <c r="F577" i="7"/>
  <c r="P578" i="7"/>
  <c r="F583" i="7"/>
  <c r="F589" i="7"/>
  <c r="F595" i="7"/>
  <c r="P604" i="7"/>
  <c r="G619" i="7"/>
  <c r="F619" i="7"/>
  <c r="E619" i="7"/>
  <c r="D619" i="7"/>
  <c r="G620" i="7"/>
  <c r="P623" i="7"/>
  <c r="P628" i="7"/>
  <c r="O628" i="7"/>
  <c r="O632" i="7"/>
  <c r="P637" i="7"/>
  <c r="G643" i="7"/>
  <c r="E643" i="7"/>
  <c r="D643" i="7"/>
  <c r="P645" i="7"/>
  <c r="O645" i="7"/>
  <c r="N645" i="7"/>
  <c r="G647" i="7"/>
  <c r="E647" i="7"/>
  <c r="F647" i="7"/>
  <c r="D647" i="7"/>
  <c r="G649" i="7"/>
  <c r="E649" i="7"/>
  <c r="D649" i="7"/>
  <c r="G599" i="7"/>
  <c r="E599" i="7"/>
  <c r="N600" i="7"/>
  <c r="G612" i="7"/>
  <c r="E612" i="7"/>
  <c r="J616" i="7"/>
  <c r="I616" i="7"/>
  <c r="F643" i="7"/>
  <c r="F649" i="7"/>
  <c r="O654" i="7"/>
  <c r="P654" i="7"/>
  <c r="O658" i="7"/>
  <c r="P658" i="7"/>
  <c r="O660" i="7"/>
  <c r="P660" i="7"/>
  <c r="N660" i="7"/>
  <c r="P667" i="7"/>
  <c r="N667" i="7"/>
  <c r="N556" i="7"/>
  <c r="D569" i="7"/>
  <c r="J571" i="7"/>
  <c r="D575" i="7"/>
  <c r="J577" i="7"/>
  <c r="D581" i="7"/>
  <c r="J583" i="7"/>
  <c r="D587" i="7"/>
  <c r="J589" i="7"/>
  <c r="D593" i="7"/>
  <c r="J595" i="7"/>
  <c r="D599" i="7"/>
  <c r="P600" i="7"/>
  <c r="N607" i="7"/>
  <c r="D612" i="7"/>
  <c r="I619" i="7"/>
  <c r="J620" i="7"/>
  <c r="G622" i="7"/>
  <c r="E622" i="7"/>
  <c r="D636" i="7"/>
  <c r="G636" i="7"/>
  <c r="E636" i="7"/>
  <c r="I649" i="7"/>
  <c r="J649" i="7"/>
  <c r="P669" i="7"/>
  <c r="O669" i="7"/>
  <c r="N669" i="7"/>
  <c r="G671" i="7"/>
  <c r="E671" i="7"/>
  <c r="F671" i="7"/>
  <c r="D671" i="7"/>
  <c r="N564" i="7"/>
  <c r="E569" i="7"/>
  <c r="N570" i="7"/>
  <c r="E575" i="7"/>
  <c r="N576" i="7"/>
  <c r="E581" i="7"/>
  <c r="N582" i="7"/>
  <c r="E587" i="7"/>
  <c r="N588" i="7"/>
  <c r="E593" i="7"/>
  <c r="N594" i="7"/>
  <c r="F599" i="7"/>
  <c r="F612" i="7"/>
  <c r="N614" i="7"/>
  <c r="G629" i="7"/>
  <c r="D629" i="7"/>
  <c r="G632" i="7"/>
  <c r="F632" i="7"/>
  <c r="D632" i="7"/>
  <c r="G634" i="7"/>
  <c r="D634" i="7"/>
  <c r="G637" i="7"/>
  <c r="E637" i="7"/>
  <c r="D637" i="7"/>
  <c r="P638" i="7"/>
  <c r="O638" i="7"/>
  <c r="G653" i="7"/>
  <c r="E653" i="7"/>
  <c r="F653" i="7"/>
  <c r="G605" i="7"/>
  <c r="D605" i="7"/>
  <c r="G623" i="7"/>
  <c r="F623" i="7"/>
  <c r="D623" i="7"/>
  <c r="J627" i="7"/>
  <c r="I627" i="7"/>
  <c r="F630" i="7"/>
  <c r="E630" i="7"/>
  <c r="D630" i="7"/>
  <c r="J646" i="7"/>
  <c r="I646" i="7"/>
  <c r="G655" i="7"/>
  <c r="E655" i="7"/>
  <c r="D655" i="7"/>
  <c r="F655" i="7"/>
  <c r="G677" i="7"/>
  <c r="E677" i="7"/>
  <c r="F677" i="7"/>
  <c r="D677" i="7"/>
  <c r="E605" i="7"/>
  <c r="F606" i="7"/>
  <c r="D606" i="7"/>
  <c r="E623" i="7"/>
  <c r="F629" i="7"/>
  <c r="G630" i="7"/>
  <c r="G633" i="7"/>
  <c r="E633" i="7"/>
  <c r="D633" i="7"/>
  <c r="F633" i="7"/>
  <c r="F634" i="7"/>
  <c r="I636" i="7"/>
  <c r="N640" i="7"/>
  <c r="I653" i="7"/>
  <c r="J653" i="7"/>
  <c r="I655" i="7"/>
  <c r="J655" i="7"/>
  <c r="P661" i="7"/>
  <c r="O661" i="7"/>
  <c r="N616" i="7"/>
  <c r="G626" i="7"/>
  <c r="P631" i="7"/>
  <c r="N634" i="7"/>
  <c r="N646" i="7"/>
  <c r="Q647" i="7"/>
  <c r="J651" i="7"/>
  <c r="P656" i="7"/>
  <c r="G659" i="7"/>
  <c r="E659" i="7"/>
  <c r="N670" i="7"/>
  <c r="Q671" i="7"/>
  <c r="J675" i="7"/>
  <c r="J678" i="7"/>
  <c r="D701" i="7"/>
  <c r="G701" i="7"/>
  <c r="E701" i="7"/>
  <c r="O711" i="7"/>
  <c r="P711" i="7"/>
  <c r="N711" i="7"/>
  <c r="I722" i="7"/>
  <c r="J722" i="7"/>
  <c r="G673" i="7"/>
  <c r="E673" i="7"/>
  <c r="F690" i="7"/>
  <c r="D690" i="7"/>
  <c r="P691" i="7"/>
  <c r="N691" i="7"/>
  <c r="N695" i="7"/>
  <c r="E607" i="7"/>
  <c r="E631" i="7"/>
  <c r="Q635" i="7"/>
  <c r="N650" i="7"/>
  <c r="Q651" i="7"/>
  <c r="F659" i="7"/>
  <c r="G663" i="7"/>
  <c r="E663" i="7"/>
  <c r="D673" i="7"/>
  <c r="N674" i="7"/>
  <c r="Q675" i="7"/>
  <c r="D681" i="7"/>
  <c r="G681" i="7"/>
  <c r="E690" i="7"/>
  <c r="O695" i="7"/>
  <c r="P714" i="7"/>
  <c r="O714" i="7"/>
  <c r="N714" i="7"/>
  <c r="Q722" i="7"/>
  <c r="G692" i="7"/>
  <c r="E692" i="7"/>
  <c r="D693" i="7"/>
  <c r="G693" i="7"/>
  <c r="E693" i="7"/>
  <c r="J700" i="7"/>
  <c r="I700" i="7"/>
  <c r="I704" i="7"/>
  <c r="J704" i="7"/>
  <c r="F714" i="7"/>
  <c r="E714" i="7"/>
  <c r="D714" i="7"/>
  <c r="Q716" i="7"/>
  <c r="G667" i="7"/>
  <c r="E667" i="7"/>
  <c r="N678" i="7"/>
  <c r="F682" i="7"/>
  <c r="D682" i="7"/>
  <c r="P683" i="7"/>
  <c r="N683" i="7"/>
  <c r="J689" i="7"/>
  <c r="D692" i="7"/>
  <c r="F693" i="7"/>
  <c r="I712" i="7"/>
  <c r="J712" i="7"/>
  <c r="N606" i="7"/>
  <c r="N630" i="7"/>
  <c r="Q633" i="7"/>
  <c r="N641" i="7"/>
  <c r="N644" i="7"/>
  <c r="Q645" i="7"/>
  <c r="G657" i="7"/>
  <c r="E657" i="7"/>
  <c r="N665" i="7"/>
  <c r="D667" i="7"/>
  <c r="N668" i="7"/>
  <c r="Q669" i="7"/>
  <c r="J673" i="7"/>
  <c r="P678" i="7"/>
  <c r="N679" i="7"/>
  <c r="I680" i="7"/>
  <c r="E682" i="7"/>
  <c r="F692" i="7"/>
  <c r="P696" i="7"/>
  <c r="N696" i="7"/>
  <c r="N697" i="7"/>
  <c r="J709" i="7"/>
  <c r="I709" i="7"/>
  <c r="O679" i="7"/>
  <c r="J681" i="7"/>
  <c r="G682" i="7"/>
  <c r="G684" i="7"/>
  <c r="E684" i="7"/>
  <c r="D685" i="7"/>
  <c r="G685" i="7"/>
  <c r="E685" i="7"/>
  <c r="D686" i="7"/>
  <c r="J692" i="7"/>
  <c r="I692" i="7"/>
  <c r="I693" i="7"/>
  <c r="O697" i="7"/>
  <c r="Q703" i="7"/>
  <c r="E608" i="7"/>
  <c r="N613" i="7"/>
  <c r="E621" i="7"/>
  <c r="N633" i="7"/>
  <c r="G635" i="7"/>
  <c r="E635" i="7"/>
  <c r="N648" i="7"/>
  <c r="Q649" i="7"/>
  <c r="F657" i="7"/>
  <c r="G661" i="7"/>
  <c r="E661" i="7"/>
  <c r="N672" i="7"/>
  <c r="Q673" i="7"/>
  <c r="J677" i="7"/>
  <c r="F686" i="7"/>
  <c r="Q690" i="7"/>
  <c r="N704" i="7"/>
  <c r="P724" i="7"/>
  <c r="O724" i="7"/>
  <c r="N724" i="7"/>
  <c r="G726" i="7"/>
  <c r="F726" i="7"/>
  <c r="E726" i="7"/>
  <c r="D726" i="7"/>
  <c r="O613" i="7"/>
  <c r="N624" i="7"/>
  <c r="G651" i="7"/>
  <c r="E651" i="7"/>
  <c r="N659" i="7"/>
  <c r="N662" i="7"/>
  <c r="G675" i="7"/>
  <c r="E675" i="7"/>
  <c r="G686" i="7"/>
  <c r="P688" i="7"/>
  <c r="N688" i="7"/>
  <c r="N689" i="7"/>
  <c r="P704" i="7"/>
  <c r="O719" i="7"/>
  <c r="P719" i="7"/>
  <c r="N719" i="7"/>
  <c r="D615" i="7"/>
  <c r="G641" i="7"/>
  <c r="E641" i="7"/>
  <c r="D651" i="7"/>
  <c r="N652" i="7"/>
  <c r="Q653" i="7"/>
  <c r="J657" i="7"/>
  <c r="P662" i="7"/>
  <c r="G665" i="7"/>
  <c r="E665" i="7"/>
  <c r="D675" i="7"/>
  <c r="N676" i="7"/>
  <c r="Q677" i="7"/>
  <c r="G679" i="7"/>
  <c r="E679" i="7"/>
  <c r="J684" i="7"/>
  <c r="I684" i="7"/>
  <c r="I685" i="7"/>
  <c r="O689" i="7"/>
  <c r="O706" i="7"/>
  <c r="P680" i="7"/>
  <c r="N680" i="7"/>
  <c r="N681" i="7"/>
  <c r="F698" i="7"/>
  <c r="D698" i="7"/>
  <c r="P699" i="7"/>
  <c r="N699" i="7"/>
  <c r="F720" i="7"/>
  <c r="G720" i="7"/>
  <c r="E720" i="7"/>
  <c r="D720" i="7"/>
  <c r="G645" i="7"/>
  <c r="E645" i="7"/>
  <c r="N656" i="7"/>
  <c r="G669" i="7"/>
  <c r="E669" i="7"/>
  <c r="O681" i="7"/>
  <c r="O691" i="7"/>
  <c r="E698" i="7"/>
  <c r="F702" i="7"/>
  <c r="E702" i="7"/>
  <c r="O705" i="7"/>
  <c r="P705" i="7"/>
  <c r="N705" i="7"/>
  <c r="I708" i="7"/>
  <c r="J708" i="7"/>
  <c r="O715" i="7"/>
  <c r="P715" i="7"/>
  <c r="G724" i="7"/>
  <c r="F724" i="7"/>
  <c r="O725" i="7"/>
  <c r="N725" i="7"/>
  <c r="I732" i="7"/>
  <c r="J732" i="7"/>
  <c r="I758" i="7"/>
  <c r="J758" i="7"/>
  <c r="Q765" i="7"/>
  <c r="I776" i="7"/>
  <c r="J776" i="7"/>
  <c r="O703" i="7"/>
  <c r="P703" i="7"/>
  <c r="I718" i="7"/>
  <c r="J718" i="7"/>
  <c r="D734" i="7"/>
  <c r="E734" i="7"/>
  <c r="I738" i="7"/>
  <c r="J738" i="7"/>
  <c r="F740" i="7"/>
  <c r="G740" i="7"/>
  <c r="E740" i="7"/>
  <c r="I752" i="7"/>
  <c r="J752" i="7"/>
  <c r="O763" i="7"/>
  <c r="P763" i="7"/>
  <c r="N763" i="7"/>
  <c r="G689" i="7"/>
  <c r="G697" i="7"/>
  <c r="E700" i="7"/>
  <c r="I702" i="7"/>
  <c r="J702" i="7"/>
  <c r="O707" i="7"/>
  <c r="P707" i="7"/>
  <c r="E710" i="7"/>
  <c r="I714" i="7"/>
  <c r="J714" i="7"/>
  <c r="O721" i="7"/>
  <c r="P721" i="7"/>
  <c r="N722" i="7"/>
  <c r="I724" i="7"/>
  <c r="J724" i="7"/>
  <c r="G734" i="7"/>
  <c r="Q737" i="7"/>
  <c r="I740" i="7"/>
  <c r="J740" i="7"/>
  <c r="I780" i="7"/>
  <c r="J780" i="7"/>
  <c r="N727" i="7"/>
  <c r="F736" i="7"/>
  <c r="G736" i="7"/>
  <c r="O743" i="7"/>
  <c r="P743" i="7"/>
  <c r="N743" i="7"/>
  <c r="I746" i="7"/>
  <c r="J746" i="7"/>
  <c r="I770" i="7"/>
  <c r="J770" i="7"/>
  <c r="O685" i="7"/>
  <c r="F687" i="7"/>
  <c r="O693" i="7"/>
  <c r="F695" i="7"/>
  <c r="O701" i="7"/>
  <c r="I706" i="7"/>
  <c r="J706" i="7"/>
  <c r="O708" i="7"/>
  <c r="I710" i="7"/>
  <c r="J710" i="7"/>
  <c r="D716" i="7"/>
  <c r="O717" i="7"/>
  <c r="P717" i="7"/>
  <c r="N718" i="7"/>
  <c r="P727" i="7"/>
  <c r="D736" i="7"/>
  <c r="F756" i="7"/>
  <c r="D756" i="7"/>
  <c r="E756" i="7"/>
  <c r="E716" i="7"/>
  <c r="O718" i="7"/>
  <c r="I720" i="7"/>
  <c r="J720" i="7"/>
  <c r="E736" i="7"/>
  <c r="O751" i="7"/>
  <c r="P751" i="7"/>
  <c r="N751" i="7"/>
  <c r="O775" i="7"/>
  <c r="P775" i="7"/>
  <c r="N775" i="7"/>
  <c r="N702" i="7"/>
  <c r="D712" i="7"/>
  <c r="O713" i="7"/>
  <c r="P713" i="7"/>
  <c r="G716" i="7"/>
  <c r="I716" i="7"/>
  <c r="J716" i="7"/>
  <c r="O723" i="7"/>
  <c r="P723" i="7"/>
  <c r="N739" i="7"/>
  <c r="F744" i="7"/>
  <c r="E744" i="7"/>
  <c r="D744" i="7"/>
  <c r="O709" i="7"/>
  <c r="P709" i="7"/>
  <c r="G712" i="7"/>
  <c r="D728" i="7"/>
  <c r="E728" i="7"/>
  <c r="N729" i="7"/>
  <c r="D732" i="7"/>
  <c r="P739" i="7"/>
  <c r="I742" i="7"/>
  <c r="J742" i="7"/>
  <c r="G744" i="7"/>
  <c r="F768" i="7"/>
  <c r="G768" i="7"/>
  <c r="E768" i="7"/>
  <c r="D768" i="7"/>
  <c r="N735" i="7"/>
  <c r="J744" i="7"/>
  <c r="Q758" i="7"/>
  <c r="D760" i="7"/>
  <c r="I766" i="7"/>
  <c r="J766" i="7"/>
  <c r="P779" i="7"/>
  <c r="P783" i="7"/>
  <c r="P787" i="7"/>
  <c r="P791" i="7"/>
  <c r="G760" i="7"/>
  <c r="E764" i="7"/>
  <c r="I774" i="7"/>
  <c r="J774" i="7"/>
  <c r="I734" i="7"/>
  <c r="J734" i="7"/>
  <c r="N747" i="7"/>
  <c r="J756" i="7"/>
  <c r="G764" i="7"/>
  <c r="Q770" i="7"/>
  <c r="I778" i="7"/>
  <c r="J778" i="7"/>
  <c r="I782" i="7"/>
  <c r="J782" i="7"/>
  <c r="I790" i="7"/>
  <c r="J790" i="7"/>
  <c r="I798" i="7"/>
  <c r="J798" i="7"/>
  <c r="I806" i="7"/>
  <c r="J806" i="7"/>
  <c r="I814" i="7"/>
  <c r="J814" i="7"/>
  <c r="E816" i="7"/>
  <c r="F816" i="7"/>
  <c r="E784" i="7"/>
  <c r="F784" i="7"/>
  <c r="E792" i="7"/>
  <c r="F792" i="7"/>
  <c r="E800" i="7"/>
  <c r="F800" i="7"/>
  <c r="E808" i="7"/>
  <c r="F808" i="7"/>
  <c r="N755" i="7"/>
  <c r="J764" i="7"/>
  <c r="G772" i="7"/>
  <c r="E776" i="7"/>
  <c r="Q778" i="7"/>
  <c r="E780" i="7"/>
  <c r="Q782" i="7"/>
  <c r="D784" i="7"/>
  <c r="Q786" i="7"/>
  <c r="E788" i="7"/>
  <c r="Q790" i="7"/>
  <c r="D792" i="7"/>
  <c r="Q794" i="7"/>
  <c r="E796" i="7"/>
  <c r="Q798" i="7"/>
  <c r="D800" i="7"/>
  <c r="Q802" i="7"/>
  <c r="E804" i="7"/>
  <c r="Q806" i="7"/>
  <c r="D808" i="7"/>
  <c r="Q814" i="7"/>
  <c r="G816" i="7"/>
  <c r="I820" i="7"/>
  <c r="J820" i="7"/>
  <c r="J871" i="7"/>
  <c r="I871" i="7"/>
  <c r="N759" i="7"/>
  <c r="G776" i="7"/>
  <c r="G780" i="7"/>
  <c r="G784" i="7"/>
  <c r="G788" i="7"/>
  <c r="G792" i="7"/>
  <c r="G796" i="7"/>
  <c r="G800" i="7"/>
  <c r="G808" i="7"/>
  <c r="I816" i="7"/>
  <c r="J816" i="7"/>
  <c r="I726" i="7"/>
  <c r="J726" i="7"/>
  <c r="I750" i="7"/>
  <c r="J750" i="7"/>
  <c r="N767" i="7"/>
  <c r="J784" i="7"/>
  <c r="J788" i="7"/>
  <c r="J792" i="7"/>
  <c r="J796" i="7"/>
  <c r="J800" i="7"/>
  <c r="J804" i="7"/>
  <c r="J808" i="7"/>
  <c r="J812" i="7"/>
  <c r="J870" i="7"/>
  <c r="I870" i="7"/>
  <c r="N731" i="7"/>
  <c r="Q746" i="7"/>
  <c r="D748" i="7"/>
  <c r="I754" i="7"/>
  <c r="J754" i="7"/>
  <c r="P767" i="7"/>
  <c r="N771" i="7"/>
  <c r="Q779" i="7"/>
  <c r="Q787" i="7"/>
  <c r="Q795" i="7"/>
  <c r="Q803" i="7"/>
  <c r="Q811" i="7"/>
  <c r="N819" i="7"/>
  <c r="G748" i="7"/>
  <c r="I762" i="7"/>
  <c r="J762" i="7"/>
  <c r="N779" i="7"/>
  <c r="N783" i="7"/>
  <c r="N787" i="7"/>
  <c r="N791" i="7"/>
  <c r="N795" i="7"/>
  <c r="N799" i="7"/>
  <c r="N803" i="7"/>
  <c r="N807" i="7"/>
  <c r="N811" i="7"/>
  <c r="I822" i="7"/>
  <c r="J822" i="7"/>
  <c r="I828" i="7"/>
  <c r="J828" i="7"/>
  <c r="N737" i="7"/>
  <c r="N745" i="7"/>
  <c r="N753" i="7"/>
  <c r="N761" i="7"/>
  <c r="N769" i="7"/>
  <c r="N777" i="7"/>
  <c r="N785" i="7"/>
  <c r="J786" i="7"/>
  <c r="N793" i="7"/>
  <c r="J794" i="7"/>
  <c r="N801" i="7"/>
  <c r="J802" i="7"/>
  <c r="N809" i="7"/>
  <c r="J810" i="7"/>
  <c r="N817" i="7"/>
  <c r="J818" i="7"/>
  <c r="F824" i="7"/>
  <c r="N825" i="7"/>
  <c r="J826" i="7"/>
  <c r="N833" i="7"/>
  <c r="N841" i="7"/>
  <c r="P849" i="7"/>
  <c r="O849" i="7"/>
  <c r="N849" i="7"/>
  <c r="J854" i="7"/>
  <c r="I854" i="7"/>
  <c r="O899" i="7"/>
  <c r="P899" i="7"/>
  <c r="N899" i="7"/>
  <c r="P853" i="7"/>
  <c r="O853" i="7"/>
  <c r="N853" i="7"/>
  <c r="J858" i="7"/>
  <c r="I858" i="7"/>
  <c r="J862" i="7"/>
  <c r="I862" i="7"/>
  <c r="J866" i="7"/>
  <c r="I866" i="7"/>
  <c r="O883" i="7"/>
  <c r="P883" i="7"/>
  <c r="N883" i="7"/>
  <c r="N815" i="7"/>
  <c r="N823" i="7"/>
  <c r="J824" i="7"/>
  <c r="N831" i="7"/>
  <c r="J832" i="7"/>
  <c r="N839" i="7"/>
  <c r="J840" i="7"/>
  <c r="N847" i="7"/>
  <c r="J848" i="7"/>
  <c r="P886" i="7"/>
  <c r="O886" i="7"/>
  <c r="J893" i="7"/>
  <c r="I893" i="7"/>
  <c r="I896" i="7"/>
  <c r="J896" i="7"/>
  <c r="P857" i="7"/>
  <c r="O857" i="7"/>
  <c r="N857" i="7"/>
  <c r="P861" i="7"/>
  <c r="O861" i="7"/>
  <c r="N861" i="7"/>
  <c r="P865" i="7"/>
  <c r="O865" i="7"/>
  <c r="N865" i="7"/>
  <c r="P869" i="7"/>
  <c r="O869" i="7"/>
  <c r="N869" i="7"/>
  <c r="J879" i="7"/>
  <c r="I879" i="7"/>
  <c r="I920" i="7"/>
  <c r="J920" i="7"/>
  <c r="J852" i="7"/>
  <c r="I852" i="7"/>
  <c r="N733" i="7"/>
  <c r="N741" i="7"/>
  <c r="N749" i="7"/>
  <c r="N757" i="7"/>
  <c r="N765" i="7"/>
  <c r="N773" i="7"/>
  <c r="N781" i="7"/>
  <c r="N789" i="7"/>
  <c r="N797" i="7"/>
  <c r="N805" i="7"/>
  <c r="N813" i="7"/>
  <c r="N821" i="7"/>
  <c r="N829" i="7"/>
  <c r="J830" i="7"/>
  <c r="N837" i="7"/>
  <c r="J838" i="7"/>
  <c r="N845" i="7"/>
  <c r="J846" i="7"/>
  <c r="N874" i="7"/>
  <c r="Q878" i="7"/>
  <c r="P890" i="7"/>
  <c r="O890" i="7"/>
  <c r="N890" i="7"/>
  <c r="J899" i="7"/>
  <c r="I899" i="7"/>
  <c r="I902" i="7"/>
  <c r="J902" i="7"/>
  <c r="P910" i="7"/>
  <c r="O910" i="7"/>
  <c r="N910" i="7"/>
  <c r="P851" i="7"/>
  <c r="O851" i="7"/>
  <c r="N851" i="7"/>
  <c r="J856" i="7"/>
  <c r="I856" i="7"/>
  <c r="O874" i="7"/>
  <c r="J860" i="7"/>
  <c r="I860" i="7"/>
  <c r="J864" i="7"/>
  <c r="I864" i="7"/>
  <c r="J868" i="7"/>
  <c r="I868" i="7"/>
  <c r="P876" i="7"/>
  <c r="O876" i="7"/>
  <c r="J883" i="7"/>
  <c r="I883" i="7"/>
  <c r="N827" i="7"/>
  <c r="N835" i="7"/>
  <c r="J836" i="7"/>
  <c r="N843" i="7"/>
  <c r="J844" i="7"/>
  <c r="P855" i="7"/>
  <c r="O855" i="7"/>
  <c r="N855" i="7"/>
  <c r="P872" i="7"/>
  <c r="N872" i="7"/>
  <c r="D873" i="7"/>
  <c r="O877" i="7"/>
  <c r="N877" i="7"/>
  <c r="O893" i="7"/>
  <c r="P893" i="7"/>
  <c r="N893" i="7"/>
  <c r="J850" i="7"/>
  <c r="I850" i="7"/>
  <c r="P859" i="7"/>
  <c r="O859" i="7"/>
  <c r="N859" i="7"/>
  <c r="P863" i="7"/>
  <c r="O863" i="7"/>
  <c r="N863" i="7"/>
  <c r="P867" i="7"/>
  <c r="O867" i="7"/>
  <c r="N867" i="7"/>
  <c r="F871" i="7"/>
  <c r="E871" i="7"/>
  <c r="D872" i="7"/>
  <c r="G872" i="7"/>
  <c r="F872" i="7"/>
  <c r="E872" i="7"/>
  <c r="P878" i="7"/>
  <c r="O878" i="7"/>
  <c r="N878" i="7"/>
  <c r="I888" i="7"/>
  <c r="J888" i="7"/>
  <c r="D871" i="7"/>
  <c r="G873" i="7"/>
  <c r="P880" i="7"/>
  <c r="O880" i="7"/>
  <c r="N880" i="7"/>
  <c r="J889" i="7"/>
  <c r="I889" i="7"/>
  <c r="O903" i="7"/>
  <c r="P903" i="7"/>
  <c r="E912" i="7"/>
  <c r="P929" i="7"/>
  <c r="I932" i="7"/>
  <c r="J932" i="7"/>
  <c r="G978" i="7"/>
  <c r="F978" i="7"/>
  <c r="E978" i="7"/>
  <c r="D978" i="7"/>
  <c r="G912" i="7"/>
  <c r="J978" i="7"/>
  <c r="I978" i="7"/>
  <c r="P882" i="7"/>
  <c r="O882" i="7"/>
  <c r="J895" i="7"/>
  <c r="I895" i="7"/>
  <c r="J901" i="7"/>
  <c r="I901" i="7"/>
  <c r="N905" i="7"/>
  <c r="P923" i="7"/>
  <c r="I926" i="7"/>
  <c r="J926" i="7"/>
  <c r="Q932" i="7"/>
  <c r="J933" i="7"/>
  <c r="I962" i="7"/>
  <c r="D975" i="7"/>
  <c r="G975" i="7"/>
  <c r="F975" i="7"/>
  <c r="J885" i="7"/>
  <c r="I885" i="7"/>
  <c r="P892" i="7"/>
  <c r="O892" i="7"/>
  <c r="Q894" i="7"/>
  <c r="P898" i="7"/>
  <c r="O898" i="7"/>
  <c r="Q900" i="7"/>
  <c r="F904" i="7"/>
  <c r="E904" i="7"/>
  <c r="D904" i="7"/>
  <c r="D959" i="7"/>
  <c r="F959" i="7"/>
  <c r="G959" i="7"/>
  <c r="E959" i="7"/>
  <c r="E975" i="7"/>
  <c r="D977" i="7"/>
  <c r="E977" i="7"/>
  <c r="G977" i="7"/>
  <c r="F977" i="7"/>
  <c r="J992" i="7"/>
  <c r="I992" i="7"/>
  <c r="G970" i="7"/>
  <c r="F970" i="7"/>
  <c r="E970" i="7"/>
  <c r="D970" i="7"/>
  <c r="O875" i="7"/>
  <c r="J881" i="7"/>
  <c r="I881" i="7"/>
  <c r="P888" i="7"/>
  <c r="O888" i="7"/>
  <c r="P932" i="7"/>
  <c r="I935" i="7"/>
  <c r="J935" i="7"/>
  <c r="I941" i="7"/>
  <c r="J941" i="7"/>
  <c r="O944" i="7"/>
  <c r="P944" i="7"/>
  <c r="J948" i="7"/>
  <c r="J954" i="7"/>
  <c r="J970" i="7"/>
  <c r="I970" i="7"/>
  <c r="P989" i="7"/>
  <c r="O989" i="7"/>
  <c r="N989" i="7"/>
  <c r="J891" i="7"/>
  <c r="I891" i="7"/>
  <c r="J897" i="7"/>
  <c r="I897" i="7"/>
  <c r="J903" i="7"/>
  <c r="I903" i="7"/>
  <c r="N911" i="7"/>
  <c r="I914" i="7"/>
  <c r="J914" i="7"/>
  <c r="Q947" i="7"/>
  <c r="D967" i="7"/>
  <c r="G967" i="7"/>
  <c r="F967" i="7"/>
  <c r="O870" i="7"/>
  <c r="N873" i="7"/>
  <c r="I874" i="7"/>
  <c r="D875" i="7"/>
  <c r="J877" i="7"/>
  <c r="I877" i="7"/>
  <c r="P884" i="7"/>
  <c r="O884" i="7"/>
  <c r="N885" i="7"/>
  <c r="P894" i="7"/>
  <c r="O894" i="7"/>
  <c r="P895" i="7"/>
  <c r="Q896" i="7"/>
  <c r="P900" i="7"/>
  <c r="O900" i="7"/>
  <c r="P901" i="7"/>
  <c r="Q902" i="7"/>
  <c r="G906" i="7"/>
  <c r="F906" i="7"/>
  <c r="F910" i="7"/>
  <c r="P911" i="7"/>
  <c r="P926" i="7"/>
  <c r="I929" i="7"/>
  <c r="J929" i="7"/>
  <c r="Q935" i="7"/>
  <c r="J936" i="7"/>
  <c r="Q941" i="7"/>
  <c r="J942" i="7"/>
  <c r="E967" i="7"/>
  <c r="D969" i="7"/>
  <c r="E969" i="7"/>
  <c r="G969" i="7"/>
  <c r="F969" i="7"/>
  <c r="P885" i="7"/>
  <c r="J887" i="7"/>
  <c r="I887" i="7"/>
  <c r="Q904" i="7"/>
  <c r="Q914" i="7"/>
  <c r="N920" i="7"/>
  <c r="J980" i="7"/>
  <c r="I980" i="7"/>
  <c r="I910" i="7"/>
  <c r="J910" i="7"/>
  <c r="P920" i="7"/>
  <c r="I923" i="7"/>
  <c r="J923" i="7"/>
  <c r="Q929" i="7"/>
  <c r="N914" i="7"/>
  <c r="P891" i="7"/>
  <c r="Q892" i="7"/>
  <c r="P896" i="7"/>
  <c r="O896" i="7"/>
  <c r="P897" i="7"/>
  <c r="Q898" i="7"/>
  <c r="P902" i="7"/>
  <c r="O902" i="7"/>
  <c r="J909" i="7"/>
  <c r="D912" i="7"/>
  <c r="P914" i="7"/>
  <c r="I917" i="7"/>
  <c r="J917" i="7"/>
  <c r="Q923" i="7"/>
  <c r="J924" i="7"/>
  <c r="N929" i="7"/>
  <c r="I938" i="7"/>
  <c r="J938" i="7"/>
  <c r="J951" i="7"/>
  <c r="P913" i="7"/>
  <c r="P916" i="7"/>
  <c r="P919" i="7"/>
  <c r="P922" i="7"/>
  <c r="P925" i="7"/>
  <c r="P928" i="7"/>
  <c r="P931" i="7"/>
  <c r="P934" i="7"/>
  <c r="P937" i="7"/>
  <c r="P940" i="7"/>
  <c r="P943" i="7"/>
  <c r="P946" i="7"/>
  <c r="P949" i="7"/>
  <c r="P952" i="7"/>
  <c r="P955" i="7"/>
  <c r="D961" i="7"/>
  <c r="E961" i="7"/>
  <c r="G962" i="7"/>
  <c r="F962" i="7"/>
  <c r="E962" i="7"/>
  <c r="D962" i="7"/>
  <c r="F966" i="7"/>
  <c r="D966" i="7"/>
  <c r="P967" i="7"/>
  <c r="N967" i="7"/>
  <c r="D971" i="7"/>
  <c r="F971" i="7"/>
  <c r="P972" i="7"/>
  <c r="N972" i="7"/>
  <c r="P974" i="7"/>
  <c r="N974" i="7"/>
  <c r="P975" i="7"/>
  <c r="N975" i="7"/>
  <c r="D991" i="7"/>
  <c r="F991" i="7"/>
  <c r="E991" i="7"/>
  <c r="P1001" i="7"/>
  <c r="O1001" i="7"/>
  <c r="N1001" i="7"/>
  <c r="D988" i="7"/>
  <c r="G988" i="7"/>
  <c r="E988" i="7"/>
  <c r="P947" i="7"/>
  <c r="P950" i="7"/>
  <c r="P953" i="7"/>
  <c r="P956" i="7"/>
  <c r="N956" i="7"/>
  <c r="J960" i="7"/>
  <c r="I960" i="7"/>
  <c r="J961" i="7"/>
  <c r="I966" i="7"/>
  <c r="D987" i="7"/>
  <c r="F987" i="7"/>
  <c r="E987" i="7"/>
  <c r="F988" i="7"/>
  <c r="N909" i="7"/>
  <c r="J965" i="7"/>
  <c r="J969" i="7"/>
  <c r="I969" i="7"/>
  <c r="I974" i="7"/>
  <c r="J977" i="7"/>
  <c r="I977" i="7"/>
  <c r="J988" i="7"/>
  <c r="I988" i="7"/>
  <c r="D999" i="7"/>
  <c r="G999" i="7"/>
  <c r="F999" i="7"/>
  <c r="E999" i="7"/>
  <c r="J1000" i="7"/>
  <c r="I1000" i="7"/>
  <c r="P909" i="7"/>
  <c r="Q960" i="7"/>
  <c r="N962" i="7"/>
  <c r="P985" i="7"/>
  <c r="O985" i="7"/>
  <c r="N907" i="7"/>
  <c r="J908" i="7"/>
  <c r="N912" i="7"/>
  <c r="J913" i="7"/>
  <c r="N915" i="7"/>
  <c r="J916" i="7"/>
  <c r="N918" i="7"/>
  <c r="J919" i="7"/>
  <c r="N921" i="7"/>
  <c r="J922" i="7"/>
  <c r="N924" i="7"/>
  <c r="J925" i="7"/>
  <c r="N927" i="7"/>
  <c r="J928" i="7"/>
  <c r="N930" i="7"/>
  <c r="J931" i="7"/>
  <c r="N933" i="7"/>
  <c r="J934" i="7"/>
  <c r="N936" i="7"/>
  <c r="N939" i="7"/>
  <c r="N942" i="7"/>
  <c r="N945" i="7"/>
  <c r="N948" i="7"/>
  <c r="N951" i="7"/>
  <c r="N954" i="7"/>
  <c r="D957" i="7"/>
  <c r="E957" i="7"/>
  <c r="F958" i="7"/>
  <c r="D958" i="7"/>
  <c r="O962" i="7"/>
  <c r="Q965" i="7"/>
  <c r="J968" i="7"/>
  <c r="I968" i="7"/>
  <c r="J976" i="7"/>
  <c r="I976" i="7"/>
  <c r="D984" i="7"/>
  <c r="E984" i="7"/>
  <c r="D985" i="7"/>
  <c r="G985" i="7"/>
  <c r="F985" i="7"/>
  <c r="P997" i="7"/>
  <c r="O997" i="7"/>
  <c r="N997" i="7"/>
  <c r="P912" i="7"/>
  <c r="P915" i="7"/>
  <c r="P918" i="7"/>
  <c r="P921" i="7"/>
  <c r="P924" i="7"/>
  <c r="P927" i="7"/>
  <c r="P930" i="7"/>
  <c r="P933" i="7"/>
  <c r="P936" i="7"/>
  <c r="P939" i="7"/>
  <c r="P942" i="7"/>
  <c r="P945" i="7"/>
  <c r="P948" i="7"/>
  <c r="P951" i="7"/>
  <c r="P954" i="7"/>
  <c r="P959" i="7"/>
  <c r="N959" i="7"/>
  <c r="O966" i="7"/>
  <c r="Q973" i="7"/>
  <c r="D983" i="7"/>
  <c r="F983" i="7"/>
  <c r="E983" i="7"/>
  <c r="D996" i="7"/>
  <c r="G996" i="7"/>
  <c r="E996" i="7"/>
  <c r="P981" i="7"/>
  <c r="O981" i="7"/>
  <c r="D995" i="7"/>
  <c r="F995" i="7"/>
  <c r="E995" i="7"/>
  <c r="J956" i="7"/>
  <c r="I956" i="7"/>
  <c r="P960" i="7"/>
  <c r="N960" i="7"/>
  <c r="D980" i="7"/>
  <c r="E980" i="7"/>
  <c r="D981" i="7"/>
  <c r="G981" i="7"/>
  <c r="F981" i="7"/>
  <c r="J984" i="7"/>
  <c r="I984" i="7"/>
  <c r="P993" i="7"/>
  <c r="O993" i="7"/>
  <c r="G995" i="7"/>
  <c r="J996" i="7"/>
  <c r="I996" i="7"/>
  <c r="J944" i="7"/>
  <c r="J947" i="7"/>
  <c r="J950" i="7"/>
  <c r="J953" i="7"/>
  <c r="J957" i="7"/>
  <c r="I958" i="7"/>
  <c r="D963" i="7"/>
  <c r="F963" i="7"/>
  <c r="P964" i="7"/>
  <c r="N964" i="7"/>
  <c r="D979" i="7"/>
  <c r="F979" i="7"/>
  <c r="E979" i="7"/>
  <c r="F980" i="7"/>
  <c r="E981" i="7"/>
  <c r="D992" i="7"/>
  <c r="G992" i="7"/>
  <c r="E992" i="7"/>
  <c r="O957" i="7"/>
  <c r="O965" i="7"/>
  <c r="N968" i="7"/>
  <c r="O973" i="7"/>
  <c r="N976" i="7"/>
  <c r="I1004" i="7"/>
  <c r="O968" i="7"/>
  <c r="O976" i="7"/>
  <c r="N963" i="7"/>
  <c r="I964" i="7"/>
  <c r="E965" i="7"/>
  <c r="N971" i="7"/>
  <c r="I972" i="7"/>
  <c r="E973" i="7"/>
  <c r="O979" i="7"/>
  <c r="E982" i="7"/>
  <c r="O983" i="7"/>
  <c r="E986" i="7"/>
  <c r="O987" i="7"/>
  <c r="E990" i="7"/>
  <c r="O991" i="7"/>
  <c r="E994" i="7"/>
  <c r="O995" i="7"/>
  <c r="E998" i="7"/>
  <c r="O999" i="7"/>
  <c r="E1002" i="7"/>
  <c r="O1003" i="7"/>
  <c r="O963" i="7"/>
  <c r="F965" i="7"/>
  <c r="O971" i="7"/>
  <c r="F973" i="7"/>
  <c r="F982" i="7"/>
  <c r="F986" i="7"/>
  <c r="F990" i="7"/>
  <c r="F994" i="7"/>
  <c r="F998" i="7"/>
  <c r="F1002" i="7"/>
  <c r="N1000" i="7"/>
  <c r="G1002" i="7"/>
  <c r="N1004" i="7"/>
  <c r="O961" i="7"/>
  <c r="O969" i="7"/>
  <c r="D974" i="7"/>
  <c r="O977" i="7"/>
  <c r="I982" i="7"/>
  <c r="I986" i="7"/>
  <c r="I990" i="7"/>
  <c r="I994" i="7"/>
  <c r="I998" i="7"/>
  <c r="I1002" i="7"/>
  <c r="E1000" i="7"/>
  <c r="E1004" i="7"/>
  <c r="N986" i="7"/>
  <c r="N990" i="7"/>
  <c r="N994" i="7"/>
  <c r="N998" i="7"/>
  <c r="G1000" i="7"/>
  <c r="N1002" i="7"/>
  <c r="G1004" i="7"/>
  <c r="H57" i="9" l="1"/>
  <c r="B33" i="9"/>
  <c r="B32" i="9"/>
  <c r="H54" i="9"/>
  <c r="H49" i="9"/>
  <c r="E41" i="9"/>
  <c r="E40" i="9"/>
  <c r="E39" i="9"/>
  <c r="E42" i="9"/>
  <c r="B30" i="9"/>
  <c r="C13" i="10"/>
  <c r="B31" i="9"/>
  <c r="B29" i="9"/>
  <c r="B34" i="9"/>
  <c r="G8" i="9"/>
  <c r="E8" i="9"/>
  <c r="G32" i="9"/>
  <c r="E32" i="9" s="1"/>
  <c r="F32" i="9" s="1"/>
  <c r="G25" i="9"/>
  <c r="E25" i="9" s="1"/>
  <c r="F25" i="9" s="1"/>
  <c r="G31" i="9"/>
  <c r="E31" i="9" s="1"/>
  <c r="F31" i="9" s="1"/>
  <c r="G27" i="9"/>
  <c r="E27" i="9" s="1"/>
  <c r="F27" i="9" s="1"/>
  <c r="G26" i="9"/>
  <c r="E26" i="9" s="1"/>
  <c r="F26" i="9" s="1"/>
  <c r="G34" i="9"/>
  <c r="E34" i="9" s="1"/>
  <c r="F34" i="9" s="1"/>
  <c r="G29" i="9"/>
  <c r="E29" i="9" s="1"/>
  <c r="F29" i="9" s="1"/>
  <c r="G28" i="9"/>
  <c r="E28" i="9" s="1"/>
  <c r="F28" i="9" s="1"/>
  <c r="A8" i="9"/>
  <c r="G33" i="9"/>
  <c r="E33" i="9" s="1"/>
  <c r="F33" i="9" s="1"/>
  <c r="G30" i="9"/>
  <c r="E30" i="9" s="1"/>
  <c r="F30" i="9" s="1"/>
  <c r="H47" i="9"/>
  <c r="H52" i="9"/>
  <c r="H51" i="9"/>
  <c r="C12" i="10"/>
  <c r="C14" i="10" l="1"/>
  <c r="B40" i="9" l="1"/>
  <c r="B41" i="9"/>
  <c r="B39" i="9"/>
  <c r="B42" i="9"/>
</calcChain>
</file>

<file path=xl/sharedStrings.xml><?xml version="1.0" encoding="utf-8"?>
<sst xmlns="http://schemas.openxmlformats.org/spreadsheetml/2006/main" count="4567" uniqueCount="628">
  <si>
    <t>date</t>
  </si>
  <si>
    <t>branch</t>
  </si>
  <si>
    <t>employee</t>
  </si>
  <si>
    <t>product</t>
  </si>
  <si>
    <t>qty</t>
  </si>
  <si>
    <t>revenue</t>
  </si>
  <si>
    <t>target</t>
  </si>
  <si>
    <t>2025-01-01</t>
  </si>
  <si>
    <t>Mumbai Central</t>
  </si>
  <si>
    <t>E021</t>
  </si>
  <si>
    <t>P021 - Assorted Spices Kit</t>
  </si>
  <si>
    <t>Kolkata Central</t>
  </si>
  <si>
    <t>E018</t>
  </si>
  <si>
    <t>P008 - Denim Jeans</t>
  </si>
  <si>
    <t>2025-01-02</t>
  </si>
  <si>
    <t>E024</t>
  </si>
  <si>
    <t>P006 - Laptop Stand</t>
  </si>
  <si>
    <t>Chennai South</t>
  </si>
  <si>
    <t>E019</t>
  </si>
  <si>
    <t>E032</t>
  </si>
  <si>
    <t>P029 - Dumbbell Set 10kg</t>
  </si>
  <si>
    <t>2025-01-03</t>
  </si>
  <si>
    <t>Ahmedabad West</t>
  </si>
  <si>
    <t>E039</t>
  </si>
  <si>
    <t>P005 - LED Monitor</t>
  </si>
  <si>
    <t>E017</t>
  </si>
  <si>
    <t>P016 - Dinner Set</t>
  </si>
  <si>
    <t>2025-01-05</t>
  </si>
  <si>
    <t>Delhi NCR</t>
  </si>
  <si>
    <t>E031</t>
  </si>
  <si>
    <t>P019 - Organic Honey</t>
  </si>
  <si>
    <t>2025-01-06</t>
  </si>
  <si>
    <t>E009</t>
  </si>
  <si>
    <t>P001 - Wireless Earbuds</t>
  </si>
  <si>
    <t>Pune East</t>
  </si>
  <si>
    <t>E023</t>
  </si>
  <si>
    <t>P014 - Air Fryer</t>
  </si>
  <si>
    <t>E010</t>
  </si>
  <si>
    <t>E005</t>
  </si>
  <si>
    <t>P015 - Water Bottle</t>
  </si>
  <si>
    <t>2025-01-08</t>
  </si>
  <si>
    <t>E016</t>
  </si>
  <si>
    <t>Hyderabad Hitech</t>
  </si>
  <si>
    <t>E026</t>
  </si>
  <si>
    <t>P011 - Winter Jacket</t>
  </si>
  <si>
    <t>2025-01-09</t>
  </si>
  <si>
    <t>2025-01-10</t>
  </si>
  <si>
    <t>E030</t>
  </si>
  <si>
    <t>P010 - Running Shoes</t>
  </si>
  <si>
    <t>P002 - Smart Watch</t>
  </si>
  <si>
    <t>2025-01-11</t>
  </si>
  <si>
    <t>P023 - Sunscreen SPF50</t>
  </si>
  <si>
    <t>2025-01-12</t>
  </si>
  <si>
    <t>Bangalore North</t>
  </si>
  <si>
    <t>E038</t>
  </si>
  <si>
    <t>P003 - Bluetooth Speaker</t>
  </si>
  <si>
    <t>P026 - Yoga Mat</t>
  </si>
  <si>
    <t>2025-01-13</t>
  </si>
  <si>
    <t>E006</t>
  </si>
  <si>
    <t>2025-01-14</t>
  </si>
  <si>
    <t>E028</t>
  </si>
  <si>
    <t>P025 - Lipstick Set</t>
  </si>
  <si>
    <t>E020</t>
  </si>
  <si>
    <t>E011</t>
  </si>
  <si>
    <t>2025-01-15</t>
  </si>
  <si>
    <t>P018 - Cooking Oil 1L</t>
  </si>
  <si>
    <t>E013</t>
  </si>
  <si>
    <t>2025-01-16</t>
  </si>
  <si>
    <t>E015</t>
  </si>
  <si>
    <t>P012 - Non-Stick Pan</t>
  </si>
  <si>
    <t>2025-01-17</t>
  </si>
  <si>
    <t>E004</t>
  </si>
  <si>
    <t>P022 - Face Wash</t>
  </si>
  <si>
    <t>2025-01-18</t>
  </si>
  <si>
    <t>E007</t>
  </si>
  <si>
    <t>E022</t>
  </si>
  <si>
    <t>E029</t>
  </si>
  <si>
    <t>2025-01-19</t>
  </si>
  <si>
    <t>E002</t>
  </si>
  <si>
    <t>E034</t>
  </si>
  <si>
    <t>P009 - Formal Shirt</t>
  </si>
  <si>
    <t>2025-01-20</t>
  </si>
  <si>
    <t>P017 - Basmati Rice 5kg</t>
  </si>
  <si>
    <t>E012</t>
  </si>
  <si>
    <t>2025-01-21</t>
  </si>
  <si>
    <t>E014</t>
  </si>
  <si>
    <t>P028 - Football</t>
  </si>
  <si>
    <t>2025-01-22</t>
  </si>
  <si>
    <t>2025-01-23</t>
  </si>
  <si>
    <t>2025-01-24</t>
  </si>
  <si>
    <t>E036</t>
  </si>
  <si>
    <t>P020 - Green Tea Pack</t>
  </si>
  <si>
    <t>2025-01-25</t>
  </si>
  <si>
    <t>E003</t>
  </si>
  <si>
    <t>E040</t>
  </si>
  <si>
    <t>2025-01-26</t>
  </si>
  <si>
    <t>P024 - Hair Serum</t>
  </si>
  <si>
    <t>P027 - Cricket Bat</t>
  </si>
  <si>
    <t>2025-01-27</t>
  </si>
  <si>
    <t>P004 - Power Bank</t>
  </si>
  <si>
    <t>E037</t>
  </si>
  <si>
    <t>2025-01-28</t>
  </si>
  <si>
    <t>E027</t>
  </si>
  <si>
    <t>P013 - Mixer Grinder</t>
  </si>
  <si>
    <t>2025-01-29</t>
  </si>
  <si>
    <t>2025-01-30</t>
  </si>
  <si>
    <t>2025-01-31</t>
  </si>
  <si>
    <t>E025</t>
  </si>
  <si>
    <t>2025-02-01</t>
  </si>
  <si>
    <t>2025-02-02</t>
  </si>
  <si>
    <t>2025-02-03</t>
  </si>
  <si>
    <t>E035</t>
  </si>
  <si>
    <t>2025-02-04</t>
  </si>
  <si>
    <t>P007 - Cotton T-Shirt</t>
  </si>
  <si>
    <t>E008</t>
  </si>
  <si>
    <t>2025-02-05</t>
  </si>
  <si>
    <t>2025-02-06</t>
  </si>
  <si>
    <t>2025-02-07</t>
  </si>
  <si>
    <t>2025-02-08</t>
  </si>
  <si>
    <t>2025-02-09</t>
  </si>
  <si>
    <t>2025-02-10</t>
  </si>
  <si>
    <t>2025-02-11</t>
  </si>
  <si>
    <t>2025-02-12</t>
  </si>
  <si>
    <t>E001</t>
  </si>
  <si>
    <t>2025-02-13</t>
  </si>
  <si>
    <t>2025-02-14</t>
  </si>
  <si>
    <t>E033</t>
  </si>
  <si>
    <t>2025-02-15</t>
  </si>
  <si>
    <t>2025-02-16</t>
  </si>
  <si>
    <t>P999 - Discontinued Item</t>
  </si>
  <si>
    <t>2025-02-17</t>
  </si>
  <si>
    <t>2025-02-18</t>
  </si>
  <si>
    <t>2025-02-19</t>
  </si>
  <si>
    <t>2025-02-21</t>
  </si>
  <si>
    <t>2025-02-22</t>
  </si>
  <si>
    <t>2025-02-23</t>
  </si>
  <si>
    <t>2025-02-24</t>
  </si>
  <si>
    <t>2025-02-25</t>
  </si>
  <si>
    <t>2025-02-26</t>
  </si>
  <si>
    <t>2025-02-27</t>
  </si>
  <si>
    <t>2025-02-28</t>
  </si>
  <si>
    <t>2025-03-01</t>
  </si>
  <si>
    <t>2025-03-02</t>
  </si>
  <si>
    <t>2025-03-03</t>
  </si>
  <si>
    <t>2025-03-05</t>
  </si>
  <si>
    <t>2025-03-06</t>
  </si>
  <si>
    <t>2025-03-07</t>
  </si>
  <si>
    <t>2025-03-08</t>
  </si>
  <si>
    <t>2025-03-09</t>
  </si>
  <si>
    <t>2025-03-10</t>
  </si>
  <si>
    <t>2025-03-11</t>
  </si>
  <si>
    <t>2025-03-13</t>
  </si>
  <si>
    <t>2025-03-14</t>
  </si>
  <si>
    <t>2025-03-15</t>
  </si>
  <si>
    <t>2025-03-16</t>
  </si>
  <si>
    <t>2025-03-17</t>
  </si>
  <si>
    <t>2025-03-18</t>
  </si>
  <si>
    <t>2025-03-19</t>
  </si>
  <si>
    <t>2025-03-20</t>
  </si>
  <si>
    <t>2025-03-21</t>
  </si>
  <si>
    <t>2025-03-22</t>
  </si>
  <si>
    <t>2025-03-23</t>
  </si>
  <si>
    <t>2025-03-25</t>
  </si>
  <si>
    <t>2025-03-26</t>
  </si>
  <si>
    <t>2025-03-28</t>
  </si>
  <si>
    <t>2025-03-29</t>
  </si>
  <si>
    <t>2025-03-30</t>
  </si>
  <si>
    <t>2025-03-31</t>
  </si>
  <si>
    <t>2025-04-01</t>
  </si>
  <si>
    <t>2025-04-02</t>
  </si>
  <si>
    <t>2025-04-03</t>
  </si>
  <si>
    <t>2025-04-04</t>
  </si>
  <si>
    <t>2025-04-05</t>
  </si>
  <si>
    <t>2025-04-06</t>
  </si>
  <si>
    <t>2025-04-07</t>
  </si>
  <si>
    <t>2025-04-08</t>
  </si>
  <si>
    <t>2025-04-09</t>
  </si>
  <si>
    <t>2025-04-10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</si>
  <si>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</si>
  <si>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</si>
  <si>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</si>
  <si>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</si>
  <si>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</si>
  <si>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</si>
  <si>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</si>
  <si>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</si>
  <si>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</si>
  <si>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</si>
  <si>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</si>
  <si>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</si>
  <si>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</si>
  <si>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</si>
  <si>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</si>
  <si>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2025-04-26</t>
  </si>
  <si>
    <t>2025-04-29</t>
  </si>
  <si>
    <t>2025-04-30</t>
  </si>
  <si>
    <t>2025-05-01</t>
  </si>
  <si>
    <t>2025-05-02</t>
  </si>
  <si>
    <t>2025-05-03</t>
  </si>
  <si>
    <t>2025-05-04</t>
  </si>
  <si>
    <t>2025-05-05</t>
  </si>
  <si>
    <t>2025-05-06</t>
  </si>
  <si>
    <t>2025-05-07</t>
  </si>
  <si>
    <t>2025-05-08</t>
  </si>
  <si>
    <t>2025-05-09</t>
  </si>
  <si>
    <t>2025-05-10</t>
  </si>
  <si>
    <t>2025-05-11</t>
  </si>
  <si>
    <t>2025-05-12</t>
  </si>
  <si>
    <t>2025-05-13</t>
  </si>
  <si>
    <t>2025-05-14</t>
  </si>
  <si>
    <t>2025-05-15</t>
  </si>
  <si>
    <t>2025-05-16</t>
  </si>
  <si>
    <t>2025-05-18</t>
  </si>
  <si>
    <t>2025-05-19</t>
  </si>
  <si>
    <t>2025-05-20</t>
  </si>
  <si>
    <t>2025-05-21</t>
  </si>
  <si>
    <t>2025-05-22</t>
  </si>
  <si>
    <t>2025-05-23</t>
  </si>
  <si>
    <t>2025-05-24</t>
  </si>
  <si>
    <t>2025-05-25</t>
  </si>
  <si>
    <t>2025-05-26</t>
  </si>
  <si>
    <t>2025-05-27</t>
  </si>
  <si>
    <t>2025-05-28</t>
  </si>
  <si>
    <t>2025-05-29</t>
  </si>
  <si>
    <t>2025-05-30</t>
  </si>
  <si>
    <t>2025-05-31</t>
  </si>
  <si>
    <t>2025-06-01</t>
  </si>
  <si>
    <t>2025-06-02</t>
  </si>
  <si>
    <t>2025-06-03</t>
  </si>
  <si>
    <t>2025-06-04</t>
  </si>
  <si>
    <t>2025-06-06</t>
  </si>
  <si>
    <t>2025-06-07</t>
  </si>
  <si>
    <t>2025-06-08</t>
  </si>
  <si>
    <t>2025-06-09</t>
  </si>
  <si>
    <t>2025-06-10</t>
  </si>
  <si>
    <t>2025-06-11</t>
  </si>
  <si>
    <t>2025-06-12</t>
  </si>
  <si>
    <t>2025-06-13</t>
  </si>
  <si>
    <t>2025-06-14</t>
  </si>
  <si>
    <t>2025-06-15</t>
  </si>
  <si>
    <t>2025-06-16</t>
  </si>
  <si>
    <t>2025-06-17</t>
  </si>
  <si>
    <t>2025-06-18</t>
  </si>
  <si>
    <t>2025-06-19</t>
  </si>
  <si>
    <t>2025-06-20</t>
  </si>
  <si>
    <t>2025-06-21</t>
  </si>
  <si>
    <t>2025-06-22</t>
  </si>
  <si>
    <t>2025-06-23</t>
  </si>
  <si>
    <t>2025-06-24</t>
  </si>
  <si>
    <t>2025-06-25</t>
  </si>
  <si>
    <t>2025-06-26</t>
  </si>
  <si>
    <t>2025-06-27</t>
  </si>
  <si>
    <t>2025-06-28</t>
  </si>
  <si>
    <t>2025-06-29</t>
  </si>
  <si>
    <t>2025-06-30</t>
  </si>
  <si>
    <t>2025-07-01</t>
  </si>
  <si>
    <t>2025-07-02</t>
  </si>
  <si>
    <t>2025-07-03</t>
  </si>
  <si>
    <t>2025-07-04</t>
  </si>
  <si>
    <t>2025-07-05</t>
  </si>
  <si>
    <t>2025-07-06</t>
  </si>
  <si>
    <t>2025-07-07</t>
  </si>
  <si>
    <t>2025-07-08</t>
  </si>
  <si>
    <t>2025-07-09</t>
  </si>
  <si>
    <t>2025-07-10</t>
  </si>
  <si>
    <t>2025-07-11</t>
  </si>
  <si>
    <t>2025-07-12</t>
  </si>
  <si>
    <t>2025-07-13</t>
  </si>
  <si>
    <t>2025-07-14</t>
  </si>
  <si>
    <t>2025-07-15</t>
  </si>
  <si>
    <t>2025-07-16</t>
  </si>
  <si>
    <t>2025-07-17</t>
  </si>
  <si>
    <t>2025-07-18</t>
  </si>
  <si>
    <t>2025-07-19</t>
  </si>
  <si>
    <t>2025-07-20</t>
  </si>
  <si>
    <t>2025-07-21</t>
  </si>
  <si>
    <t>2025-07-22</t>
  </si>
  <si>
    <t>2025-07-23</t>
  </si>
  <si>
    <t>2025-07-24</t>
  </si>
  <si>
    <t>2025-07-25</t>
  </si>
  <si>
    <t>2025-07-26</t>
  </si>
  <si>
    <t>2025-07-27</t>
  </si>
  <si>
    <t>2025-07-28</t>
  </si>
  <si>
    <t>2025-07-29</t>
  </si>
  <si>
    <t>2025-07-30</t>
  </si>
  <si>
    <t>2025-07-31</t>
  </si>
  <si>
    <t>2025-08-01</t>
  </si>
  <si>
    <t>2025-08-02</t>
  </si>
  <si>
    <t>2025-08-03</t>
  </si>
  <si>
    <t>2025-08-04</t>
  </si>
  <si>
    <t>2025-08-05</t>
  </si>
  <si>
    <t>2025-08-06</t>
  </si>
  <si>
    <t>2025-08-07</t>
  </si>
  <si>
    <t>2025-08-09</t>
  </si>
  <si>
    <t>2025-08-10</t>
  </si>
  <si>
    <t>2025-08-11</t>
  </si>
  <si>
    <t>2025-08-12</t>
  </si>
  <si>
    <t>2025-08-13</t>
  </si>
  <si>
    <t>2025-08-14</t>
  </si>
  <si>
    <t>2025-08-15</t>
  </si>
  <si>
    <t>2025-08-16</t>
  </si>
  <si>
    <t>2025-08-17</t>
  </si>
  <si>
    <t>2025-08-18</t>
  </si>
  <si>
    <t>2025-08-19</t>
  </si>
  <si>
    <t>2025-08-20</t>
  </si>
  <si>
    <t>2025-08-21</t>
  </si>
  <si>
    <t>2025-08-22</t>
  </si>
  <si>
    <t>2025-08-23</t>
  </si>
  <si>
    <t>2025-08-25</t>
  </si>
  <si>
    <t>2025-08-26</t>
  </si>
  <si>
    <t>2025-08-27</t>
  </si>
  <si>
    <t>2025-08-28</t>
  </si>
  <si>
    <t>2025-08-29</t>
  </si>
  <si>
    <t>2025-08-30</t>
  </si>
  <si>
    <t>2025-08-31</t>
  </si>
  <si>
    <t>2025-09-01</t>
  </si>
  <si>
    <t>2025-09-02</t>
  </si>
  <si>
    <t>2025-09-03</t>
  </si>
  <si>
    <t>2025-09-04</t>
  </si>
  <si>
    <t>2025-09-05</t>
  </si>
  <si>
    <t>2025-09-06</t>
  </si>
  <si>
    <t>2025-09-07</t>
  </si>
  <si>
    <t>2025-09-08</t>
  </si>
  <si>
    <t>2025-09-09</t>
  </si>
  <si>
    <t>2025-09-10</t>
  </si>
  <si>
    <t>2025-09-11</t>
  </si>
  <si>
    <t>2025-09-12</t>
  </si>
  <si>
    <t>2025-09-13</t>
  </si>
  <si>
    <t>2025-09-14</t>
  </si>
  <si>
    <t>2025-09-15</t>
  </si>
  <si>
    <t>2025-09-16</t>
  </si>
  <si>
    <t>2025-09-17</t>
  </si>
  <si>
    <t>2025-09-18</t>
  </si>
  <si>
    <t>2025-09-19</t>
  </si>
  <si>
    <t>2025-09-20</t>
  </si>
  <si>
    <t>2025-09-21</t>
  </si>
  <si>
    <t>2025-09-22</t>
  </si>
  <si>
    <t>2025-09-23</t>
  </si>
  <si>
    <t>2025-09-24</t>
  </si>
  <si>
    <t>2025-09-25</t>
  </si>
  <si>
    <t>2025-09-26</t>
  </si>
  <si>
    <t>2025-09-27</t>
  </si>
  <si>
    <t>2025-09-28</t>
  </si>
  <si>
    <t>2025-09-29</t>
  </si>
  <si>
    <t>2025-10-01</t>
  </si>
  <si>
    <t>2025-10-02</t>
  </si>
  <si>
    <t>2025-10-03</t>
  </si>
  <si>
    <t>2025-10-04</t>
  </si>
  <si>
    <t>2025-10-05</t>
  </si>
  <si>
    <t>2025-10-06</t>
  </si>
  <si>
    <t>2025-10-07</t>
  </si>
  <si>
    <t>2025-10-08</t>
  </si>
  <si>
    <t>2025-10-09</t>
  </si>
  <si>
    <t>2025-10-10</t>
  </si>
  <si>
    <t>2025-10-11</t>
  </si>
  <si>
    <t>2025-10-12</t>
  </si>
  <si>
    <t>2025-10-13</t>
  </si>
  <si>
    <t>2025-10-14</t>
  </si>
  <si>
    <t>2025-10-15</t>
  </si>
  <si>
    <t>2025-10-16</t>
  </si>
  <si>
    <t>2025-10-17</t>
  </si>
  <si>
    <t>2025-10-18</t>
  </si>
  <si>
    <t>2025-10-19</t>
  </si>
  <si>
    <t>2025-10-20</t>
  </si>
  <si>
    <t>2025-10-21</t>
  </si>
  <si>
    <t>2025-10-22</t>
  </si>
  <si>
    <t>2025-10-23</t>
  </si>
  <si>
    <t>2025-10-24</t>
  </si>
  <si>
    <t>2025-10-26</t>
  </si>
  <si>
    <t>2025-10-27</t>
  </si>
  <si>
    <t>2025-10-28</t>
  </si>
  <si>
    <t>2025-10-29</t>
  </si>
  <si>
    <t>2025-10-30</t>
  </si>
  <si>
    <t>2025-10-31</t>
  </si>
  <si>
    <t>2025-11-01</t>
  </si>
  <si>
    <t>2025-11-02</t>
  </si>
  <si>
    <t>2025-11-03</t>
  </si>
  <si>
    <t>2025-11-04</t>
  </si>
  <si>
    <t>2025-11-05</t>
  </si>
  <si>
    <t>2025-11-06</t>
  </si>
  <si>
    <t>2025-11-07</t>
  </si>
  <si>
    <t>2025-11-08</t>
  </si>
  <si>
    <t>2025-11-09</t>
  </si>
  <si>
    <t>2025-11-10</t>
  </si>
  <si>
    <t>2025-11-11</t>
  </si>
  <si>
    <t>2025-11-12</t>
  </si>
  <si>
    <t>2025-11-13</t>
  </si>
  <si>
    <t>2025-11-14</t>
  </si>
  <si>
    <t>2025-11-15</t>
  </si>
  <si>
    <t>2025-11-16</t>
  </si>
  <si>
    <t>2025-11-17</t>
  </si>
  <si>
    <t>2025-11-18</t>
  </si>
  <si>
    <t>2025-11-19</t>
  </si>
  <si>
    <t>2025-11-20</t>
  </si>
  <si>
    <t>2025-11-21</t>
  </si>
  <si>
    <t>2025-11-22</t>
  </si>
  <si>
    <t>2025-11-23</t>
  </si>
  <si>
    <t>2025-11-24</t>
  </si>
  <si>
    <t>2025-11-25</t>
  </si>
  <si>
    <t>2025-11-26</t>
  </si>
  <si>
    <t>2025-11-27</t>
  </si>
  <si>
    <t>2025-11-28</t>
  </si>
  <si>
    <t>2025-11-29</t>
  </si>
  <si>
    <t>2025-11-30</t>
  </si>
  <si>
    <t>2025-12-01</t>
  </si>
  <si>
    <t>2025-12-02</t>
  </si>
  <si>
    <t>2025-12-03</t>
  </si>
  <si>
    <t>2025-12-04</t>
  </si>
  <si>
    <t>2025-12-05</t>
  </si>
  <si>
    <t>2025-12-06</t>
  </si>
  <si>
    <t>2025-12-07</t>
  </si>
  <si>
    <t>2025-12-08</t>
  </si>
  <si>
    <t>2025-12-09</t>
  </si>
  <si>
    <t>2025-12-10</t>
  </si>
  <si>
    <t>2025-12-11</t>
  </si>
  <si>
    <t>2025-12-12</t>
  </si>
  <si>
    <t>2025-12-13</t>
  </si>
  <si>
    <t>2025-12-14</t>
  </si>
  <si>
    <t>2025-12-16</t>
  </si>
  <si>
    <t>2025-12-17</t>
  </si>
  <si>
    <t>2025-12-18</t>
  </si>
  <si>
    <t>2025-12-19</t>
  </si>
  <si>
    <t>2025-12-20</t>
  </si>
  <si>
    <t>2025-12-21</t>
  </si>
  <si>
    <t>2025-12-22</t>
  </si>
  <si>
    <t>2025-12-23</t>
  </si>
  <si>
    <t>2025-12-24</t>
  </si>
  <si>
    <t>2025-12-25</t>
  </si>
  <si>
    <t>2025-12-26</t>
  </si>
  <si>
    <t>2025-12-27</t>
  </si>
  <si>
    <t>2025-12-29</t>
  </si>
  <si>
    <t>2025-12-30</t>
  </si>
  <si>
    <t>2025-12-31</t>
  </si>
  <si>
    <t>employee_id</t>
  </si>
  <si>
    <t>employee_name</t>
  </si>
  <si>
    <t>department</t>
  </si>
  <si>
    <t>manager</t>
  </si>
  <si>
    <t>region</t>
  </si>
  <si>
    <t>David Johnson</t>
  </si>
  <si>
    <t>Customer Support</t>
  </si>
  <si>
    <t>Joseph Brown</t>
  </si>
  <si>
    <t>West</t>
  </si>
  <si>
    <t>Jeremiah Kirby</t>
  </si>
  <si>
    <t>Marketing</t>
  </si>
  <si>
    <t>Margaret Porter</t>
  </si>
  <si>
    <t>Jose Soto</t>
  </si>
  <si>
    <t>South</t>
  </si>
  <si>
    <t>Judith Ramirez</t>
  </si>
  <si>
    <t>Sales</t>
  </si>
  <si>
    <t>Dr. Sara Zimmerman MD</t>
  </si>
  <si>
    <t>Operations</t>
  </si>
  <si>
    <t>Dylan Jones</t>
  </si>
  <si>
    <t>Jennifer Bradford</t>
  </si>
  <si>
    <t>Justin Glass</t>
  </si>
  <si>
    <t>Tyler Boone</t>
  </si>
  <si>
    <t>Daniel Kent</t>
  </si>
  <si>
    <t>William Sanders</t>
  </si>
  <si>
    <t>Mark Osborne</t>
  </si>
  <si>
    <t>Anna Turner</t>
  </si>
  <si>
    <t>Brandon Cook</t>
  </si>
  <si>
    <t>Norma Wilson</t>
  </si>
  <si>
    <t>William Oconnell</t>
  </si>
  <si>
    <t>North</t>
  </si>
  <si>
    <t>Brian Brown</t>
  </si>
  <si>
    <t>Cassandra Hansen</t>
  </si>
  <si>
    <t>Robert Steele</t>
  </si>
  <si>
    <t>Connor Dennis</t>
  </si>
  <si>
    <t>Mathew Wilson</t>
  </si>
  <si>
    <t>Daniel Nelson</t>
  </si>
  <si>
    <t>Lisa Moore</t>
  </si>
  <si>
    <t>East</t>
  </si>
  <si>
    <t>Regina Torres</t>
  </si>
  <si>
    <t>Christine Long</t>
  </si>
  <si>
    <t>Maria Garcia</t>
  </si>
  <si>
    <t>Cindy Green PhD</t>
  </si>
  <si>
    <t>Jordan Matthews</t>
  </si>
  <si>
    <t>Edward Jones</t>
  </si>
  <si>
    <t>Kevin Sanchez</t>
  </si>
  <si>
    <t>Jacqueline Chavez</t>
  </si>
  <si>
    <t>Karen Andrews</t>
  </si>
  <si>
    <t>Catherine Moore</t>
  </si>
  <si>
    <t>Sabrina Wright</t>
  </si>
  <si>
    <t>Patrick Shepard</t>
  </si>
  <si>
    <t>Travis Khan</t>
  </si>
  <si>
    <t>Jennifer Garcia</t>
  </si>
  <si>
    <t>Victor Allen</t>
  </si>
  <si>
    <t>Dawn Colon</t>
  </si>
  <si>
    <t>Elaine Thompson</t>
  </si>
  <si>
    <t>Andrea Perez</t>
  </si>
  <si>
    <t>Sarah Mendez</t>
  </si>
  <si>
    <t>Thomas Harris</t>
  </si>
  <si>
    <t>Derrick Griffin</t>
  </si>
  <si>
    <t>Christopher Wood</t>
  </si>
  <si>
    <t>Bonnie Cox</t>
  </si>
  <si>
    <t>Margaret Porter (dup)</t>
  </si>
  <si>
    <t>Mark Osborne (dup)</t>
  </si>
  <si>
    <t>Karen Andrews (dup)</t>
  </si>
  <si>
    <t>city</t>
  </si>
  <si>
    <t>state</t>
  </si>
  <si>
    <t>Mumbai</t>
  </si>
  <si>
    <t>Maharashtra</t>
  </si>
  <si>
    <t>Pune</t>
  </si>
  <si>
    <t>Bangalore</t>
  </si>
  <si>
    <t>Karnataka</t>
  </si>
  <si>
    <t>Hyderabad</t>
  </si>
  <si>
    <t>Telangana</t>
  </si>
  <si>
    <t>Chennai</t>
  </si>
  <si>
    <t>Tamil Nadu</t>
  </si>
  <si>
    <t>New Delhi</t>
  </si>
  <si>
    <t>Delhi</t>
  </si>
  <si>
    <t>Kolkata</t>
  </si>
  <si>
    <t>West Bengal</t>
  </si>
  <si>
    <t>Ahmedabad</t>
  </si>
  <si>
    <t>Gujarat</t>
  </si>
  <si>
    <t>category</t>
  </si>
  <si>
    <t>price_inr</t>
  </si>
  <si>
    <t>Electronics</t>
  </si>
  <si>
    <t>Apparel</t>
  </si>
  <si>
    <t>Home &amp; Kitchen</t>
  </si>
  <si>
    <t>Grocery</t>
  </si>
  <si>
    <t>Beauty</t>
  </si>
  <si>
    <t>Sports</t>
  </si>
  <si>
    <t>monthly_target_inr</t>
  </si>
  <si>
    <t>Merged_Data -- Power-Query-style consolidated table (every Sales_Data row enriched via lookups)</t>
  </si>
  <si>
    <t>Date</t>
  </si>
  <si>
    <t>Branch</t>
  </si>
  <si>
    <t>Employee ID</t>
  </si>
  <si>
    <t>Employee Name</t>
  </si>
  <si>
    <t>Department</t>
  </si>
  <si>
    <t>Manager</t>
  </si>
  <si>
    <t>Region</t>
  </si>
  <si>
    <t>Product</t>
  </si>
  <si>
    <t>Category</t>
  </si>
  <si>
    <t>Price (INR)</t>
  </si>
  <si>
    <t>Qty</t>
  </si>
  <si>
    <t>Revenue</t>
  </si>
  <si>
    <t>Row Target</t>
  </si>
  <si>
    <t>City</t>
  </si>
  <si>
    <t>State</t>
  </si>
  <si>
    <t>Monthly Target</t>
  </si>
  <si>
    <t>Target Achieved?</t>
  </si>
  <si>
    <t>Month</t>
  </si>
  <si>
    <t>Automated Data Validation &amp; Quality Checks</t>
  </si>
  <si>
    <t>CHECK SUMMARY</t>
  </si>
  <si>
    <t>Duplicate Employee IDs in Employee_Master</t>
  </si>
  <si>
    <t>Blank Revenue rows in Sales_Data</t>
  </si>
  <si>
    <t>Invalid Product Codes in Sales_Data (not found in Product_Master)</t>
  </si>
  <si>
    <t>DETAIL: Duplicate Employee IDs</t>
  </si>
  <si>
    <t>Duplicate Count</t>
  </si>
  <si>
    <t>Sales Operations MIS Dashboard</t>
  </si>
  <si>
    <t>HELPER TABLES (calculation only -- not part of the visual dashboard)</t>
  </si>
  <si>
    <t>Total Revenue (Rs)</t>
  </si>
  <si>
    <t>Total Orders</t>
  </si>
  <si>
    <t>Total Revenue</t>
  </si>
  <si>
    <t>Average Order Value (Rs)</t>
  </si>
  <si>
    <t>Target Achievement %</t>
  </si>
  <si>
    <t>Top Branch (by Revenue)</t>
  </si>
  <si>
    <t>Bottom Branch (by Revenue)</t>
  </si>
  <si>
    <t>Employee</t>
  </si>
  <si>
    <t>Best Employee (by Revenue)</t>
  </si>
  <si>
    <t>Monthly Growth % (Dec vs Nov)</t>
  </si>
  <si>
    <t>PIVOT: Monthly Revenue</t>
  </si>
  <si>
    <t>PIVOT: Branch Performance / Top Performing Branch</t>
  </si>
  <si>
    <t>Achievement %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</si>
  <si>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</si>
  <si>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</si>
  <si>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</si>
  <si>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</si>
  <si>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</si>
  <si>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</si>
  <si>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</si>
  <si>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</si>
  <si>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</si>
  <si>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</si>
  <si>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</si>
  <si>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</si>
  <si>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PIVOT: Top 10 Employees by Revenue</t>
  </si>
  <si>
    <t>PIVOT: Department Revenue</t>
  </si>
  <si>
    <t>Rank</t>
  </si>
  <si>
    <t>PIVOT: Revenue by Region</t>
  </si>
  <si>
    <t>PIVOT: Revenue by Product Category</t>
  </si>
  <si>
    <t>Monthly Growth % (MoM)</t>
  </si>
  <si>
    <t>Growth %</t>
  </si>
  <si>
    <t>Filtered View (Slicer Substitute)</t>
  </si>
  <si>
    <t>Native Excel Slicers can't be written by the tool used to build this file (see README) -- these Data Validation dropdowns give the identical filtering behavior against Merged_Data</t>
  </si>
  <si>
    <t>Branch:</t>
  </si>
  <si>
    <t>(All)</t>
  </si>
  <si>
    <t>Department:</t>
  </si>
  <si>
    <t>Month:</t>
  </si>
  <si>
    <t>Region:</t>
  </si>
  <si>
    <t>FILTERED RESULTS (updates as you change the dropdowns above)</t>
  </si>
  <si>
    <t>Filtered Revenue (Rs)</t>
  </si>
  <si>
    <t>Filtered Orders</t>
  </si>
  <si>
    <t>Filtered Avg Order Value (Rs)</t>
  </si>
  <si>
    <t>One-Click 'Refresh Dashboard' Button -- Setup Guide</t>
  </si>
  <si>
    <t>openpyxl cannot embed a compiled VBA project into a .xlsx file, so this tab gives you the exact code and steps to add it yourself in under 2 minutes</t>
  </si>
  <si>
    <t>WHY THIS ISN'T ALREADY IN THE FILE</t>
  </si>
  <si>
    <t>A working macro button requires a .xlsm file with a compiled VBA project (vbaProject.bin),</t>
  </si>
  <si>
    <t>which is a binary format no Python library can generate reliably from scratch. Rather than</t>
  </si>
  <si>
    <t>ship a macro that might not actually run, the exact VBA code is provided below for you to</t>
  </si>
  <si>
    <t>paste in yourself -- this also means you fully understand what the macro does, which is</t>
  </si>
  <si>
    <t>exactly what an interviewer will ask about.</t>
  </si>
  <si>
    <t>SETUP STEPS (2 minutes)</t>
  </si>
  <si>
    <t xml:space="preserve">  1. Save this file as .xlsm (File &gt; Save As &gt; Excel Macro-Enabled Workbook)</t>
  </si>
  <si>
    <t xml:space="preserve">  2. Press Alt+F11 to open the VBA editor</t>
  </si>
  <si>
    <t xml:space="preserve">  3. Insert &gt; Module, then paste the code below</t>
  </si>
  <si>
    <t xml:space="preserve">  4. Close the VBA editor</t>
  </si>
  <si>
    <t xml:space="preserve">  5. Insert &gt; Shapes (or Developer tab &gt; Insert &gt; Button), draw a button on the Dashboard tab</t>
  </si>
  <si>
    <t xml:space="preserve">  6. Right-click the button &gt; Assign Macro &gt; RefreshDashboard</t>
  </si>
  <si>
    <t xml:space="preserve">  7. Label the button 'Refresh Dashboard' -- one click now recalculates every formula and</t>
  </si>
  <si>
    <t xml:space="preserve">     resets the Filters dropdowns to (All)</t>
  </si>
  <si>
    <t>VBA CODE (paste into the module)</t>
  </si>
  <si>
    <t>Sub RefreshDashboard()</t>
  </si>
  <si>
    <t xml:space="preserve">    ' Recalculate every formula in the workbook</t>
  </si>
  <si>
    <t xml:space="preserve">    Application.CalculateFullRebuild</t>
  </si>
  <si>
    <t xml:space="preserve">    ' Refresh any Power Query connections (if you rebuild Merged_Data as a real</t>
  </si>
  <si>
    <t xml:space="preserve">    ' Power Query merge instead of the INDEX/MATCH formulas used in this file)</t>
  </si>
  <si>
    <t xml:space="preserve">    ThisWorkbook.RefreshAll</t>
  </si>
  <si>
    <t xml:space="preserve">    ' Reset all Filters dropdowns back to (All)</t>
  </si>
  <si>
    <t xml:space="preserve">    Dim ws As Worksheet</t>
  </si>
  <si>
    <t xml:space="preserve">    Set ws = ThisWorkbook.Sheets("Filters")</t>
  </si>
  <si>
    <t xml:space="preserve">    ws.Range("C5").Value = "(All)"   ' Branch</t>
  </si>
  <si>
    <t xml:space="preserve">    ws.Range("C6").Value = "(All)"   ' Department</t>
  </si>
  <si>
    <t xml:space="preserve">    ws.Range("C7").Value = "(All)"   ' Month</t>
  </si>
  <si>
    <t xml:space="preserve">    ws.Range("C8").Value = "(All)"   ' Region</t>
  </si>
  <si>
    <t xml:space="preserve">    MsgBox "Dashboard refreshed as of " &amp; Format(Now, "dd-mmm-yyyy hh:mm"), vbInformation</t>
  </si>
  <si>
    <t>End Sub</t>
  </si>
  <si>
    <t xml:space="preserve">            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</si>
</sst>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"/>
    </font>
    <font>
      <b/>
      <sz val="14"/>
      <color rgb="FF1F4E7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FFFF"/>
      <name val="Arial"/>
      <family val="2"/>
    </font>
    <font>
      <b/>
      <sz val="13"/>
      <color rgb="FF1F4E78"/>
      <name val="Arial"/>
      <family val="2"/>
    </font>
    <font>
      <i/>
      <sz val="9"/>
      <color rgb="FF555555"/>
      <name val="Arial"/>
      <family val="2"/>
    </font>
    <font>
      <b/>
      <sz val="16"/>
      <color rgb="FF1F4E78"/>
      <name val="Arial"/>
      <family val="2"/>
    </font>
    <font>
      <b/>
      <sz val="11"/>
      <color rgb="FF0000FF"/>
      <name val="Arial"/>
      <family val="2"/>
    </font>
    <font>
      <sz val="10"/>
      <color rgb="FF1F4E78"/>
      <name val="Consolas"/>
      <family val="3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11"/>
      <color theme="1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2F6FB"/>
        <bgColor rgb="FFFFFFFF"/>
      </patternFill>
    </fill>
    <fill>
      <patternFill patternType="solid">
        <fgColor rgb="FFFFF2CC"/>
        <bgColor rgb="FFF2F6FB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rgb="FFFFFFFF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4" fillId="2" borderId="1" xfId="0" applyFont="1" applyFill="1" applyBorder="1"/>
    <xf numFmtId="0" fontId="8" fillId="4" borderId="1" xfId="0" applyFont="1" applyFill="1" applyBorder="1"/>
    <xf numFmtId="0" fontId="3" fillId="0" borderId="1" xfId="0" applyFont="1" applyBorder="1"/>
    <xf numFmtId="0" fontId="9" fillId="3" borderId="0" xfId="0" applyFont="1" applyFill="1"/>
    <xf numFmtId="0" fontId="7" fillId="5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5" fillId="0" borderId="0" xfId="0" applyFont="1"/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0" xfId="1" applyFont="1"/>
  </cellXfs>
  <cellStyles count="2">
    <cellStyle name="Normal" xfId="0" builtinId="0"/>
    <cellStyle name="Percent" xfId="1" builtinId="5"/>
  </cellStyles>
  <dxfs count="2"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2CC"/>
      <rgbColor rgb="FFF2F6FB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55555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45013123359579"/>
          <c:y val="0.19486111111111112"/>
          <c:w val="0.85219685039370074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Dashboard!$B$12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Dashboard!$A$13:$A$24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Dashboard!$B$13:$B$24</c:f>
              <c:numCache>
                <c:formatCode>General</c:formatCode>
                <c:ptCount val="12"/>
                <c:pt idx="0">
                  <c:v>323438</c:v>
                </c:pt>
                <c:pt idx="1">
                  <c:v>276990</c:v>
                </c:pt>
                <c:pt idx="2">
                  <c:v>303775</c:v>
                </c:pt>
                <c:pt idx="3">
                  <c:v>385118</c:v>
                </c:pt>
                <c:pt idx="4">
                  <c:v>390349</c:v>
                </c:pt>
                <c:pt idx="5">
                  <c:v>273496</c:v>
                </c:pt>
                <c:pt idx="6">
                  <c:v>355876</c:v>
                </c:pt>
                <c:pt idx="7">
                  <c:v>305458</c:v>
                </c:pt>
                <c:pt idx="8">
                  <c:v>301412</c:v>
                </c:pt>
                <c:pt idx="9">
                  <c:v>560707</c:v>
                </c:pt>
                <c:pt idx="10">
                  <c:v>464124</c:v>
                </c:pt>
                <c:pt idx="11">
                  <c:v>299523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5-4477-87B6-F3674CB2F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609024"/>
        <c:axId val="943889328"/>
      </c:lineChart>
      <c:catAx>
        <c:axId val="95160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889328"/>
        <c:crosses val="autoZero"/>
        <c:auto val="1"/>
        <c:lblAlgn val="ctr"/>
        <c:lblOffset val="100"/>
        <c:noMultiLvlLbl val="0"/>
      </c:catAx>
      <c:valAx>
        <c:axId val="9438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60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Branch</a:t>
            </a:r>
            <a:r>
              <a:rPr lang="en-US" sz="1100" b="1" baseline="0"/>
              <a:t> Wise Revenue Comparison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04002624671916"/>
          <c:y val="0.13930555555555557"/>
          <c:w val="0.7072933070866142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Dashboard!$E$13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Dashboard!$D$14:$D$21</c:f>
              <c:strCache>
                <c:ptCount val="8"/>
                <c:pt idx="0">
                  <c:v>Mumbai Central</c:v>
                </c:pt>
                <c:pt idx="1">
                  <c:v>Pune East</c:v>
                </c:pt>
                <c:pt idx="2">
                  <c:v>Bangalore North</c:v>
                </c:pt>
                <c:pt idx="3">
                  <c:v>Hyderabad Hitech</c:v>
                </c:pt>
                <c:pt idx="4">
                  <c:v>Chennai South</c:v>
                </c:pt>
                <c:pt idx="5">
                  <c:v>Delhi NCR</c:v>
                </c:pt>
                <c:pt idx="6">
                  <c:v>Kolkata Central</c:v>
                </c:pt>
                <c:pt idx="7">
                  <c:v>Ahmedabad West</c:v>
                </c:pt>
              </c:strCache>
            </c:strRef>
          </c:cat>
          <c:val>
            <c:numRef>
              <c:f>Dashboard!$E$14:$E$21</c:f>
              <c:numCache>
                <c:formatCode>General</c:formatCode>
                <c:ptCount val="8"/>
                <c:pt idx="0">
                  <c:v>547764</c:v>
                </c:pt>
                <c:pt idx="1">
                  <c:v>681369</c:v>
                </c:pt>
                <c:pt idx="2">
                  <c:v>535603</c:v>
                </c:pt>
                <c:pt idx="3">
                  <c:v>492056</c:v>
                </c:pt>
                <c:pt idx="4">
                  <c:v>578079</c:v>
                </c:pt>
                <c:pt idx="5">
                  <c:v>465720</c:v>
                </c:pt>
                <c:pt idx="6">
                  <c:v>398836</c:v>
                </c:pt>
                <c:pt idx="7">
                  <c:v>540839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4-4643-8317-579364869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57581600"/>
        <c:axId val="943892208"/>
      </c:barChart>
      <c:catAx>
        <c:axId val="1057581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892208"/>
        <c:crosses val="autoZero"/>
        <c:auto val="1"/>
        <c:lblAlgn val="ctr"/>
        <c:lblOffset val="100"/>
        <c:noMultiLvlLbl val="0"/>
      </c:catAx>
      <c:valAx>
        <c:axId val="94389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58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Dashboard!$B$28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Dashboard!$A$29:$A$34</c:f>
              <c:strCache>
                <c:ptCount val="6"/>
                <c:pt idx="0">
                  <c:v>Electronics</c:v>
                </c:pt>
                <c:pt idx="1">
                  <c:v>Apparel</c:v>
                </c:pt>
                <c:pt idx="2">
                  <c:v>Home &amp; Kitchen</c:v>
                </c:pt>
                <c:pt idx="3">
                  <c:v>Grocery</c:v>
                </c:pt>
                <c:pt idx="4">
                  <c:v>Beauty</c:v>
                </c:pt>
                <c:pt idx="5">
                  <c:v>Sports</c:v>
                </c:pt>
              </c:strCache>
            </c:strRef>
          </c:cat>
          <c:val>
            <c:numRef>
              <c:f>Dashboard!$B$29:$B$34</c:f>
              <c:numCache>
                <c:formatCode>General</c:formatCode>
                <c:ptCount val="6"/>
                <c:pt idx="0">
                  <c:v>749719</c:v>
                </c:pt>
                <c:pt idx="1">
                  <c:v>531168</c:v>
                </c:pt>
                <c:pt idx="2">
                  <c:v>545766</c:v>
                </c:pt>
                <c:pt idx="3">
                  <c:v>1016855</c:v>
                </c:pt>
                <c:pt idx="4">
                  <c:v>901809</c:v>
                </c:pt>
                <c:pt idx="5">
                  <c:v>483826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60-4F33-B7CD-11588ADE0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9561344"/>
        <c:axId val="943901328"/>
      </c:barChart>
      <c:catAx>
        <c:axId val="105956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901328"/>
        <c:crosses val="autoZero"/>
        <c:auto val="1"/>
        <c:lblAlgn val="ctr"/>
        <c:lblOffset val="100"/>
        <c:noMultiLvlLbl val="0"/>
      </c:catAx>
      <c:valAx>
        <c:axId val="94390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956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Monthly Growth %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rgbClr val="000000">
                  <a:lumMod val="65000"/>
                  <a:lumOff val="35000"/>
                </a:srgbClr>
              </a:solidFill>
              <a:latin typeface="Calibri"/>
            </a:rPr>
            <a:t>Monthly Growth %</a:t>
          </a:r>
        </a:p>
      </cx:txPr>
    </cx:title>
    <cx:plotArea>
      <cx:plotAreaRegion>
        <cx:series layoutId="waterfall" uniqueId="{3F5862BD-B4F1-44DE-AF88-A54BAB1D16E1}">
          <cx:tx>
            <cx:txData>
              <cx:f>_xlchart.v1.1</cx:f>
              <cx:v>Growth %              -</cx:v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137160</xdr:colOff>
      <xdr:row>34</xdr:row>
      <xdr:rowOff>110490</xdr:rowOff>
    </xdr:from>
    <xdr:to>
      <xdr:col>8</xdr:col>
      <xdr:colOff>243840</xdr:colOff>
      <xdr:row>42</xdr:row>
      <xdr:rowOff>45720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46FF94-BF92-9C51-AF81-3DB70DAF2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60960</xdr:colOff>
      <xdr:row>43</xdr:row>
      <xdr:rowOff>41910</xdr:rowOff>
    </xdr:from>
    <xdr:to>
      <xdr:col>3</xdr:col>
      <xdr:colOff>213360</xdr:colOff>
      <xdr:row>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A0A3C6D-71CA-36A9-B11C-3FE3260681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388620</xdr:colOff>
      <xdr:row>43</xdr:row>
      <xdr:rowOff>38100</xdr:rowOff>
    </xdr:from>
    <xdr:to>
      <xdr:col>5</xdr:col>
      <xdr:colOff>845820</xdr:colOff>
      <xdr:row>57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20B8736-3355-7DA9-6365-CD4AF741B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967740</xdr:colOff>
      <xdr:row>42</xdr:row>
      <xdr:rowOff>179070</xdr:rowOff>
    </xdr:from>
    <xdr:to>
      <xdr:col>9</xdr:col>
      <xdr:colOff>1043940</xdr:colOff>
      <xdr:row>57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6216193-C8D8-D402-7A3D-EB92CF1AE4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8279130"/>
              <a:ext cx="3756660" cy="2701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1021080</xdr:colOff>
          <xdr:row>0</xdr:row>
          <xdr:rowOff>22860</xdr:rowOff>
        </xdr:from>
        <xdr:to>
          <xdr:col>8</xdr:col>
          <xdr:colOff>22860</xdr:colOff>
          <xdr:row>1</xdr:row>
          <xdr:rowOff>68580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8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bl_sales" displayName="tbl_sales" ref="A1:G1001" totalsRowShown="0">
  <autoFilter ref="A1:G1001" xr:uid="{00000000-0009-0000-0100-000005000000}"/>
  <tableColumns count="7">
    <tableColumn id="1" xr3:uid="{00000000-0010-0000-0000-000001000000}" name="date"/>
    <tableColumn id="2" xr3:uid="{00000000-0010-0000-0000-000002000000}" name="branch"/>
    <tableColumn id="3" xr3:uid="{00000000-0010-0000-0000-000003000000}" name="employee"/>
    <tableColumn id="4" xr3:uid="{00000000-0010-0000-0000-000004000000}" name="product"/>
    <tableColumn id="5" xr3:uid="{00000000-0010-0000-0000-000005000000}" name="qty"/>
    <tableColumn id="6" xr3:uid="{00000000-0010-0000-0000-000006000000}" name="revenue"/>
    <tableColumn id="7" xr3:uid="{00000000-0010-0000-0000-000007000000}" name="targe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employee" displayName="tbl_employee" ref="A1:E44" totalsRowShown="0">
  <autoFilter ref="A1:E44" xr:uid="{00000000-0009-0000-0100-000002000000}"/>
  <tableColumns count="5">
    <tableColumn id="1" xr3:uid="{00000000-0010-0000-0100-000001000000}" name="employee_id"/>
    <tableColumn id="2" xr3:uid="{00000000-0010-0000-0100-000002000000}" name="employee_name"/>
    <tableColumn id="3" xr3:uid="{00000000-0010-0000-0100-000003000000}" name="department"/>
    <tableColumn id="4" xr3:uid="{00000000-0010-0000-0100-000004000000}" name="manager"/>
    <tableColumn id="5" xr3:uid="{00000000-0010-0000-0100-000005000000}" name="region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branch" displayName="tbl_branch" ref="A1:C9" totalsRowShown="0">
  <autoFilter ref="A1:C9" xr:uid="{00000000-0009-0000-0100-000001000000}"/>
  <tableColumns count="3">
    <tableColumn id="1" xr3:uid="{00000000-0010-0000-0200-000001000000}" name="branch"/>
    <tableColumn id="2" xr3:uid="{00000000-0010-0000-0200-000002000000}" name="city"/>
    <tableColumn id="3" xr3:uid="{00000000-0010-0000-0200-000003000000}" name="state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product" displayName="tbl_product" ref="A1:C30" totalsRowShown="0">
  <autoFilter ref="A1:C30" xr:uid="{00000000-0009-0000-0100-000004000000}"/>
  <tableColumns count="3">
    <tableColumn id="1" xr3:uid="{00000000-0010-0000-0300-000001000000}" name="product"/>
    <tableColumn id="2" xr3:uid="{00000000-0010-0000-0300-000002000000}" name="category"/>
    <tableColumn id="3" xr3:uid="{00000000-0010-0000-0300-000003000000}" name="price_inr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_targets" displayName="tbl_targets" ref="A1:B9" totalsRowShown="0">
  <autoFilter ref="A1:B9" xr:uid="{00000000-0009-0000-0100-000006000000}"/>
  <tableColumns count="2">
    <tableColumn id="1" xr3:uid="{00000000-0010-0000-0400-000001000000}" name="branch"/>
    <tableColumn id="2" xr3:uid="{00000000-0010-0000-0400-000002000000}" name="monthly_target_inr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merged" displayName="tbl_merged" ref="A4:R1004" totalsRowShown="0">
  <autoFilter ref="A4:R1004" xr:uid="{00000000-0009-0000-0100-000003000000}"/>
  <tableColumns count="18">
    <tableColumn id="1" xr3:uid="{00000000-0010-0000-0500-000001000000}" name="Date"/>
    <tableColumn id="2" xr3:uid="{00000000-0010-0000-0500-000002000000}" name="Branch"/>
    <tableColumn id="3" xr3:uid="{00000000-0010-0000-0500-000003000000}" name="Employee ID"/>
    <tableColumn id="4" xr3:uid="{00000000-0010-0000-0500-000004000000}" name="Employee Name"/>
    <tableColumn id="5" xr3:uid="{00000000-0010-0000-0500-000005000000}" name="Department"/>
    <tableColumn id="6" xr3:uid="{00000000-0010-0000-0500-000006000000}" name="Manager"/>
    <tableColumn id="7" xr3:uid="{00000000-0010-0000-0500-000007000000}" name="Region"/>
    <tableColumn id="8" xr3:uid="{00000000-0010-0000-0500-000008000000}" name="Product"/>
    <tableColumn id="9" xr3:uid="{00000000-0010-0000-0500-000009000000}" name="Category"/>
    <tableColumn id="10" xr3:uid="{00000000-0010-0000-0500-00000A000000}" name="Price (INR)"/>
    <tableColumn id="11" xr3:uid="{00000000-0010-0000-0500-00000B000000}" name="Qty"/>
    <tableColumn id="12" xr3:uid="{00000000-0010-0000-0500-00000C000000}" name="Revenue"/>
    <tableColumn id="13" xr3:uid="{00000000-0010-0000-0500-00000D000000}" name="Row Target"/>
    <tableColumn id="14" xr3:uid="{00000000-0010-0000-0500-00000E000000}" name="City"/>
    <tableColumn id="15" xr3:uid="{00000000-0010-0000-0500-00000F000000}" name="State"/>
    <tableColumn id="16" xr3:uid="{00000000-0010-0000-0500-000010000000}" name="Monthly Target"/>
    <tableColumn id="17" xr3:uid="{00000000-0010-0000-0500-000011000000}" name="Target Achieved?"/>
    <tableColumn id="18" xr3:uid="{00000000-0010-0000-0500-000012000000}" name="Month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01"/>
  <sheetViews>
    <sheetView tabSelected="1" zoomScaleNormal="100" workbookViewId="0">
      <selection activeCell="F5" sqref="F5"/>
    </sheetView>
  </sheetViews>
  <sheetFormatPr defaultColWidth="8.6640625" defaultRowHeight="14.4" x14ac:dyDescent="0.3"/>
  <cols>
    <col min="1" max="1" width="12" customWidth="1"/>
    <col min="2" max="2" width="18" customWidth="1"/>
    <col min="3" max="3" width="10" customWidth="1"/>
    <col min="4" max="4" width="28" customWidth="1"/>
    <col min="5" max="7" width="10" customWidth="1"/>
  </cols>
  <sheetData>
    <row r="1" spans="1:10" ht="15" customHeigh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10" ht="15" customHeight="1" x14ac:dyDescent="0.3">
      <c r="A2" s="5" t="s">
        <v>7</v>
      </c>
      <c r="B2" s="5" t="s">
        <v>8</v>
      </c>
      <c r="C2" s="5" t="s">
        <v>9</v>
      </c>
      <c r="D2" s="5" t="s">
        <v>10</v>
      </c>
      <c r="E2" s="5">
        <v>5</v>
      </c>
      <c r="F2" s="5">
        <v>5272.08</v>
      </c>
      <c r="G2" s="5">
        <v>5316.1</v>
      </c>
    </row>
    <row r="3" spans="1:10" ht="15" customHeight="1" x14ac:dyDescent="0.3">
      <c r="A3" s="5" t="s">
        <v>7</v>
      </c>
      <c r="B3" s="5" t="s">
        <v>11</v>
      </c>
      <c r="C3" s="5" t="s">
        <v>12</v>
      </c>
      <c r="D3" s="5" t="s">
        <v>13</v>
      </c>
      <c r="E3" s="5">
        <v>9</v>
      </c>
      <c r="F3" s="5">
        <v>5523.25</v>
      </c>
      <c r="G3" s="5">
        <v>5779.46</v>
      </c>
    </row>
    <row r="4" spans="1:10" ht="15" customHeight="1" x14ac:dyDescent="0.3">
      <c r="A4" s="5" t="s">
        <v>14</v>
      </c>
      <c r="B4" s="5" t="s">
        <v>11</v>
      </c>
      <c r="C4" s="5" t="s">
        <v>15</v>
      </c>
      <c r="D4" s="5" t="s">
        <v>16</v>
      </c>
      <c r="E4" s="5">
        <v>6</v>
      </c>
      <c r="F4" s="5">
        <v>2471.77</v>
      </c>
      <c r="G4" s="5">
        <v>2527.73</v>
      </c>
    </row>
    <row r="5" spans="1:10" ht="15" customHeight="1" x14ac:dyDescent="0.3">
      <c r="A5" s="5" t="s">
        <v>14</v>
      </c>
      <c r="B5" s="5" t="s">
        <v>17</v>
      </c>
      <c r="C5" s="5" t="s">
        <v>18</v>
      </c>
      <c r="D5" s="5" t="s">
        <v>10</v>
      </c>
      <c r="E5" s="5">
        <v>8</v>
      </c>
      <c r="F5" s="5">
        <v>8020.89</v>
      </c>
      <c r="G5" s="5">
        <v>9025.16</v>
      </c>
      <c r="J5">
        <v>2471.77</v>
      </c>
    </row>
    <row r="6" spans="1:10" ht="15" customHeight="1" x14ac:dyDescent="0.3">
      <c r="A6" s="5" t="s">
        <v>14</v>
      </c>
      <c r="B6" s="5" t="s">
        <v>17</v>
      </c>
      <c r="C6" s="5" t="s">
        <v>19</v>
      </c>
      <c r="D6" s="5" t="s">
        <v>20</v>
      </c>
      <c r="E6" s="5">
        <v>6</v>
      </c>
      <c r="F6" s="5">
        <v>2474.73</v>
      </c>
      <c r="G6" s="5">
        <v>2667.62</v>
      </c>
    </row>
    <row r="7" spans="1:10" ht="15" customHeight="1" x14ac:dyDescent="0.3">
      <c r="A7" s="5" t="s">
        <v>21</v>
      </c>
      <c r="B7" s="5" t="s">
        <v>22</v>
      </c>
      <c r="C7" s="5" t="s">
        <v>23</v>
      </c>
      <c r="D7" s="5" t="s">
        <v>24</v>
      </c>
      <c r="E7" s="5">
        <v>6</v>
      </c>
      <c r="F7" s="5">
        <v>2698.85</v>
      </c>
      <c r="G7" s="5">
        <v>2749.55</v>
      </c>
    </row>
    <row r="8" spans="1:10" ht="15" customHeight="1" x14ac:dyDescent="0.3">
      <c r="A8" s="5" t="s">
        <v>21</v>
      </c>
      <c r="B8" s="5" t="s">
        <v>22</v>
      </c>
      <c r="C8" s="5" t="s">
        <v>25</v>
      </c>
      <c r="D8" s="5" t="s">
        <v>26</v>
      </c>
      <c r="E8" s="5">
        <v>6</v>
      </c>
      <c r="F8" s="5">
        <v>1277.8900000000001</v>
      </c>
      <c r="G8" s="5">
        <v>1522.23</v>
      </c>
    </row>
    <row r="9" spans="1:10" ht="15" customHeight="1" x14ac:dyDescent="0.3">
      <c r="A9" s="5" t="s">
        <v>27</v>
      </c>
      <c r="B9" s="5" t="s">
        <v>28</v>
      </c>
      <c r="C9" s="5" t="s">
        <v>29</v>
      </c>
      <c r="D9" s="5" t="s">
        <v>30</v>
      </c>
      <c r="E9" s="5">
        <v>2</v>
      </c>
      <c r="F9" s="5">
        <v>869.24</v>
      </c>
      <c r="G9" s="5">
        <v>991.31</v>
      </c>
    </row>
    <row r="10" spans="1:10" ht="15" customHeight="1" x14ac:dyDescent="0.3">
      <c r="A10" s="5" t="s">
        <v>31</v>
      </c>
      <c r="B10" s="5" t="s">
        <v>8</v>
      </c>
      <c r="C10" s="5" t="s">
        <v>32</v>
      </c>
      <c r="D10" s="5" t="s">
        <v>33</v>
      </c>
      <c r="E10" s="5">
        <v>10</v>
      </c>
      <c r="F10" s="5">
        <v>18236.54</v>
      </c>
      <c r="G10" s="5">
        <v>15580.3</v>
      </c>
    </row>
    <row r="11" spans="1:10" ht="15" customHeight="1" x14ac:dyDescent="0.3">
      <c r="A11" s="5" t="s">
        <v>31</v>
      </c>
      <c r="B11" s="5" t="s">
        <v>34</v>
      </c>
      <c r="C11" s="5" t="s">
        <v>35</v>
      </c>
      <c r="D11" s="5" t="s">
        <v>36</v>
      </c>
      <c r="E11" s="5">
        <v>3</v>
      </c>
      <c r="F11" s="5">
        <v>2078.1999999999998</v>
      </c>
      <c r="G11" s="5">
        <v>1967.7</v>
      </c>
    </row>
    <row r="12" spans="1:10" ht="15" customHeight="1" x14ac:dyDescent="0.3">
      <c r="A12" s="5" t="s">
        <v>31</v>
      </c>
      <c r="B12" s="5" t="s">
        <v>8</v>
      </c>
      <c r="C12" s="5" t="s">
        <v>37</v>
      </c>
      <c r="D12" s="5" t="s">
        <v>26</v>
      </c>
      <c r="E12" s="5">
        <v>3</v>
      </c>
      <c r="F12" s="5">
        <v>625.52</v>
      </c>
      <c r="G12" s="5">
        <v>601.46</v>
      </c>
    </row>
    <row r="13" spans="1:10" ht="15" customHeight="1" x14ac:dyDescent="0.3">
      <c r="A13" s="5" t="s">
        <v>31</v>
      </c>
      <c r="B13" s="5" t="s">
        <v>22</v>
      </c>
      <c r="C13" s="5" t="s">
        <v>38</v>
      </c>
      <c r="D13" s="5" t="s">
        <v>39</v>
      </c>
      <c r="E13" s="5">
        <v>4</v>
      </c>
      <c r="F13" s="5">
        <v>823.99</v>
      </c>
      <c r="G13" s="5">
        <v>815.43</v>
      </c>
    </row>
    <row r="14" spans="1:10" ht="15" customHeight="1" x14ac:dyDescent="0.3">
      <c r="A14" s="5" t="s">
        <v>40</v>
      </c>
      <c r="B14" s="5" t="s">
        <v>8</v>
      </c>
      <c r="C14" s="5" t="s">
        <v>41</v>
      </c>
      <c r="D14" s="5" t="s">
        <v>33</v>
      </c>
      <c r="E14" s="5">
        <v>3</v>
      </c>
      <c r="F14" s="5">
        <v>5459.5</v>
      </c>
      <c r="G14" s="5">
        <v>4434.66</v>
      </c>
    </row>
    <row r="15" spans="1:10" ht="15" customHeight="1" x14ac:dyDescent="0.3">
      <c r="A15" s="5" t="s">
        <v>40</v>
      </c>
      <c r="B15" s="5" t="s">
        <v>42</v>
      </c>
      <c r="C15" s="5" t="s">
        <v>43</v>
      </c>
      <c r="D15" s="5" t="s">
        <v>44</v>
      </c>
      <c r="E15" s="5">
        <v>1</v>
      </c>
      <c r="F15" s="5">
        <v>247.74</v>
      </c>
      <c r="G15" s="5">
        <v>292.64999999999998</v>
      </c>
    </row>
    <row r="16" spans="1:10" ht="15" customHeight="1" x14ac:dyDescent="0.3">
      <c r="A16" s="5" t="s">
        <v>45</v>
      </c>
      <c r="B16" s="5" t="s">
        <v>17</v>
      </c>
      <c r="C16" s="5" t="s">
        <v>18</v>
      </c>
      <c r="D16" s="5" t="s">
        <v>20</v>
      </c>
      <c r="E16" s="5">
        <v>5</v>
      </c>
      <c r="F16" s="5">
        <v>2288.94</v>
      </c>
      <c r="G16" s="5">
        <v>2020.43</v>
      </c>
    </row>
    <row r="17" spans="1:7" ht="15" customHeight="1" x14ac:dyDescent="0.3">
      <c r="A17" s="5" t="s">
        <v>46</v>
      </c>
      <c r="B17" s="5" t="s">
        <v>42</v>
      </c>
      <c r="C17" s="5" t="s">
        <v>47</v>
      </c>
      <c r="D17" s="5" t="s">
        <v>48</v>
      </c>
      <c r="E17" s="5">
        <v>9</v>
      </c>
      <c r="F17" s="5">
        <v>2197.62</v>
      </c>
      <c r="G17" s="5">
        <v>1947.31</v>
      </c>
    </row>
    <row r="18" spans="1:7" ht="15" customHeight="1" x14ac:dyDescent="0.3">
      <c r="A18" s="5" t="s">
        <v>46</v>
      </c>
      <c r="B18" s="5" t="s">
        <v>8</v>
      </c>
      <c r="C18" s="5" t="s">
        <v>9</v>
      </c>
      <c r="D18" s="5" t="s">
        <v>49</v>
      </c>
      <c r="E18" s="5">
        <v>9</v>
      </c>
      <c r="F18" s="5">
        <v>3539.48</v>
      </c>
      <c r="G18" s="5">
        <v>3388.82</v>
      </c>
    </row>
    <row r="19" spans="1:7" ht="15" customHeight="1" x14ac:dyDescent="0.3">
      <c r="A19" s="5" t="s">
        <v>50</v>
      </c>
      <c r="B19" s="5" t="s">
        <v>22</v>
      </c>
      <c r="C19" s="5" t="s">
        <v>23</v>
      </c>
      <c r="D19" s="5" t="s">
        <v>30</v>
      </c>
      <c r="E19" s="5">
        <v>11</v>
      </c>
      <c r="F19" s="5">
        <v>5379.4</v>
      </c>
      <c r="G19" s="5">
        <v>5937.45</v>
      </c>
    </row>
    <row r="20" spans="1:7" ht="15" customHeight="1" x14ac:dyDescent="0.3">
      <c r="A20" s="5" t="s">
        <v>50</v>
      </c>
      <c r="B20" s="5" t="s">
        <v>34</v>
      </c>
      <c r="C20" s="5" t="s">
        <v>35</v>
      </c>
      <c r="D20" s="5" t="s">
        <v>51</v>
      </c>
      <c r="E20" s="5">
        <v>9</v>
      </c>
      <c r="F20" s="5">
        <v>7443.84</v>
      </c>
      <c r="G20" s="5">
        <v>8288.84</v>
      </c>
    </row>
    <row r="21" spans="1:7" ht="15" customHeight="1" x14ac:dyDescent="0.3">
      <c r="A21" s="5" t="s">
        <v>52</v>
      </c>
      <c r="B21" s="5" t="s">
        <v>17</v>
      </c>
      <c r="C21" s="5" t="s">
        <v>19</v>
      </c>
      <c r="D21" s="5" t="s">
        <v>44</v>
      </c>
      <c r="E21" s="5">
        <v>9</v>
      </c>
      <c r="F21" s="5">
        <v>2600.89</v>
      </c>
      <c r="G21" s="5">
        <v>2260.9899999999998</v>
      </c>
    </row>
    <row r="22" spans="1:7" ht="15" customHeight="1" x14ac:dyDescent="0.3">
      <c r="A22" s="5" t="s">
        <v>52</v>
      </c>
      <c r="B22" s="5" t="s">
        <v>11</v>
      </c>
      <c r="C22" s="5" t="s">
        <v>12</v>
      </c>
      <c r="D22" s="5" t="s">
        <v>30</v>
      </c>
      <c r="E22" s="5">
        <v>9</v>
      </c>
      <c r="F22" s="5">
        <v>4170.53</v>
      </c>
      <c r="G22" s="5">
        <v>4398.5200000000004</v>
      </c>
    </row>
    <row r="23" spans="1:7" ht="15" customHeight="1" x14ac:dyDescent="0.3">
      <c r="A23" s="5" t="s">
        <v>52</v>
      </c>
      <c r="B23" s="5" t="s">
        <v>53</v>
      </c>
      <c r="C23" s="5" t="s">
        <v>54</v>
      </c>
      <c r="D23" s="5" t="s">
        <v>55</v>
      </c>
      <c r="E23" s="5">
        <v>6</v>
      </c>
      <c r="F23" s="5">
        <v>1967.23</v>
      </c>
      <c r="G23" s="5">
        <v>2109.6999999999998</v>
      </c>
    </row>
    <row r="24" spans="1:7" ht="15" customHeight="1" x14ac:dyDescent="0.3">
      <c r="A24" s="5" t="s">
        <v>52</v>
      </c>
      <c r="B24" s="5" t="s">
        <v>28</v>
      </c>
      <c r="C24" s="5" t="s">
        <v>29</v>
      </c>
      <c r="D24" s="5" t="s">
        <v>56</v>
      </c>
      <c r="E24" s="5">
        <v>11</v>
      </c>
      <c r="F24" s="5">
        <v>5832.49</v>
      </c>
      <c r="G24" s="5">
        <v>6410.03</v>
      </c>
    </row>
    <row r="25" spans="1:7" ht="15" customHeight="1" x14ac:dyDescent="0.3">
      <c r="A25" s="5" t="s">
        <v>52</v>
      </c>
      <c r="B25" s="5" t="s">
        <v>42</v>
      </c>
      <c r="C25" s="5" t="s">
        <v>47</v>
      </c>
      <c r="D25" s="5" t="s">
        <v>49</v>
      </c>
      <c r="E25" s="5">
        <v>9</v>
      </c>
      <c r="F25" s="5">
        <v>3382.18</v>
      </c>
      <c r="G25" s="5">
        <v>3407.68</v>
      </c>
    </row>
    <row r="26" spans="1:7" ht="15" customHeight="1" x14ac:dyDescent="0.3">
      <c r="A26" s="5" t="s">
        <v>57</v>
      </c>
      <c r="B26" s="5" t="s">
        <v>42</v>
      </c>
      <c r="C26" s="5" t="s">
        <v>43</v>
      </c>
      <c r="D26" s="5" t="s">
        <v>56</v>
      </c>
      <c r="E26" s="5">
        <v>8</v>
      </c>
      <c r="F26" s="5">
        <v>4243.2</v>
      </c>
      <c r="G26" s="5">
        <v>3606.18</v>
      </c>
    </row>
    <row r="27" spans="1:7" ht="15" customHeight="1" x14ac:dyDescent="0.3">
      <c r="A27" s="5" t="s">
        <v>57</v>
      </c>
      <c r="B27" s="5" t="s">
        <v>53</v>
      </c>
      <c r="C27" s="5" t="s">
        <v>58</v>
      </c>
      <c r="D27" s="5" t="s">
        <v>33</v>
      </c>
      <c r="E27" s="5">
        <v>3</v>
      </c>
      <c r="F27" s="5">
        <v>4833.41</v>
      </c>
      <c r="G27" s="5">
        <v>4338.43</v>
      </c>
    </row>
    <row r="28" spans="1:7" ht="15" customHeight="1" x14ac:dyDescent="0.3">
      <c r="A28" s="5" t="s">
        <v>59</v>
      </c>
      <c r="B28" s="5" t="s">
        <v>11</v>
      </c>
      <c r="C28" s="5" t="s">
        <v>60</v>
      </c>
      <c r="D28" s="5" t="s">
        <v>16</v>
      </c>
      <c r="E28" s="5">
        <v>2</v>
      </c>
      <c r="F28" s="5">
        <v>778.93</v>
      </c>
      <c r="G28" s="5">
        <v>866.66</v>
      </c>
    </row>
    <row r="29" spans="1:7" ht="15" customHeight="1" x14ac:dyDescent="0.3">
      <c r="A29" s="5" t="s">
        <v>59</v>
      </c>
      <c r="B29" s="5" t="s">
        <v>17</v>
      </c>
      <c r="C29" s="5" t="s">
        <v>19</v>
      </c>
      <c r="D29" s="5" t="s">
        <v>30</v>
      </c>
      <c r="E29" s="5">
        <v>10</v>
      </c>
      <c r="F29" s="5">
        <v>4631.45</v>
      </c>
      <c r="G29" s="5">
        <v>4769.6499999999996</v>
      </c>
    </row>
    <row r="30" spans="1:7" ht="15" customHeight="1" x14ac:dyDescent="0.3">
      <c r="A30" s="5" t="s">
        <v>59</v>
      </c>
      <c r="B30" s="5" t="s">
        <v>17</v>
      </c>
      <c r="C30" s="5" t="s">
        <v>19</v>
      </c>
      <c r="D30" s="5" t="s">
        <v>61</v>
      </c>
      <c r="E30" s="5">
        <v>2</v>
      </c>
      <c r="F30" s="5">
        <v>1479.9</v>
      </c>
      <c r="G30" s="5">
        <v>1728.07</v>
      </c>
    </row>
    <row r="31" spans="1:7" ht="15" customHeight="1" x14ac:dyDescent="0.3">
      <c r="A31" s="5" t="s">
        <v>59</v>
      </c>
      <c r="B31" s="5" t="s">
        <v>34</v>
      </c>
      <c r="C31" s="5" t="s">
        <v>35</v>
      </c>
      <c r="D31" s="5" t="s">
        <v>51</v>
      </c>
      <c r="E31" s="5">
        <v>4</v>
      </c>
      <c r="F31" s="5">
        <v>3473.21</v>
      </c>
      <c r="G31" s="5">
        <v>2959.27</v>
      </c>
    </row>
    <row r="32" spans="1:7" ht="15" customHeight="1" x14ac:dyDescent="0.3">
      <c r="A32" s="5" t="s">
        <v>59</v>
      </c>
      <c r="B32" s="5" t="s">
        <v>42</v>
      </c>
      <c r="C32" s="5" t="s">
        <v>62</v>
      </c>
      <c r="D32" s="5" t="s">
        <v>33</v>
      </c>
      <c r="E32" s="5">
        <v>8</v>
      </c>
      <c r="F32" s="5">
        <v>12227.07</v>
      </c>
      <c r="G32" s="5">
        <v>13745.74</v>
      </c>
    </row>
    <row r="33" spans="1:7" ht="15" customHeight="1" x14ac:dyDescent="0.3">
      <c r="A33" s="5" t="s">
        <v>59</v>
      </c>
      <c r="B33" s="5" t="s">
        <v>42</v>
      </c>
      <c r="C33" s="5" t="s">
        <v>63</v>
      </c>
      <c r="D33" s="5" t="s">
        <v>24</v>
      </c>
      <c r="E33" s="5">
        <v>4</v>
      </c>
      <c r="F33" s="5">
        <v>1950.93</v>
      </c>
      <c r="G33" s="5">
        <v>1911.1</v>
      </c>
    </row>
    <row r="34" spans="1:7" ht="15" customHeight="1" x14ac:dyDescent="0.3">
      <c r="A34" s="5" t="s">
        <v>64</v>
      </c>
      <c r="B34" s="5" t="s">
        <v>34</v>
      </c>
      <c r="C34" s="5" t="s">
        <v>35</v>
      </c>
      <c r="D34" s="5" t="s">
        <v>65</v>
      </c>
      <c r="E34" s="5">
        <v>8</v>
      </c>
      <c r="F34" s="5">
        <v>11923.36</v>
      </c>
      <c r="G34" s="5">
        <v>11172.78</v>
      </c>
    </row>
    <row r="35" spans="1:7" ht="15" customHeight="1" x14ac:dyDescent="0.3">
      <c r="A35" s="5" t="s">
        <v>64</v>
      </c>
      <c r="B35" s="5" t="s">
        <v>53</v>
      </c>
      <c r="C35" s="5" t="s">
        <v>54</v>
      </c>
      <c r="D35" s="5" t="s">
        <v>30</v>
      </c>
      <c r="E35" s="5">
        <v>7</v>
      </c>
      <c r="F35" s="5">
        <v>3316.91</v>
      </c>
      <c r="G35" s="5">
        <v>3423.63</v>
      </c>
    </row>
    <row r="36" spans="1:7" ht="15" customHeight="1" x14ac:dyDescent="0.3">
      <c r="A36" s="5" t="s">
        <v>64</v>
      </c>
      <c r="B36" s="5" t="s">
        <v>42</v>
      </c>
      <c r="C36" s="5" t="s">
        <v>62</v>
      </c>
      <c r="D36" s="5" t="s">
        <v>33</v>
      </c>
      <c r="E36" s="5">
        <v>7</v>
      </c>
      <c r="F36" s="5">
        <v>12647.46</v>
      </c>
      <c r="G36" s="5">
        <v>12045.89</v>
      </c>
    </row>
    <row r="37" spans="1:7" ht="15" customHeight="1" x14ac:dyDescent="0.3">
      <c r="A37" s="5" t="s">
        <v>64</v>
      </c>
      <c r="B37" s="5" t="s">
        <v>53</v>
      </c>
      <c r="C37" s="5" t="s">
        <v>54</v>
      </c>
      <c r="D37" s="5" t="s">
        <v>20</v>
      </c>
      <c r="E37" s="5">
        <v>3</v>
      </c>
      <c r="F37" s="5">
        <v>1392.41</v>
      </c>
      <c r="G37" s="5">
        <v>1433.84</v>
      </c>
    </row>
    <row r="38" spans="1:7" ht="15" customHeight="1" x14ac:dyDescent="0.3">
      <c r="A38" s="5" t="s">
        <v>64</v>
      </c>
      <c r="B38" s="5" t="s">
        <v>28</v>
      </c>
      <c r="C38" s="5" t="s">
        <v>66</v>
      </c>
      <c r="D38" s="5" t="s">
        <v>39</v>
      </c>
      <c r="E38" s="5">
        <v>9</v>
      </c>
      <c r="F38" s="5">
        <v>1787.25</v>
      </c>
      <c r="G38" s="5">
        <v>1524.25</v>
      </c>
    </row>
    <row r="39" spans="1:7" ht="15" customHeight="1" x14ac:dyDescent="0.3">
      <c r="A39" s="5" t="s">
        <v>67</v>
      </c>
      <c r="B39" s="5" t="s">
        <v>17</v>
      </c>
      <c r="C39" s="5" t="s">
        <v>68</v>
      </c>
      <c r="D39" s="5" t="s">
        <v>69</v>
      </c>
      <c r="E39" s="5">
        <v>9</v>
      </c>
      <c r="F39" s="5">
        <v>3301.8</v>
      </c>
      <c r="G39" s="5">
        <v>2882.78</v>
      </c>
    </row>
    <row r="40" spans="1:7" ht="15" customHeight="1" x14ac:dyDescent="0.3">
      <c r="A40" s="5" t="s">
        <v>70</v>
      </c>
      <c r="B40" s="5" t="s">
        <v>53</v>
      </c>
      <c r="C40" s="5" t="s">
        <v>71</v>
      </c>
      <c r="D40" s="5" t="s">
        <v>51</v>
      </c>
      <c r="E40" s="5">
        <v>10</v>
      </c>
      <c r="F40" s="5">
        <v>8221.8799999999992</v>
      </c>
      <c r="G40" s="5">
        <v>8386.23</v>
      </c>
    </row>
    <row r="41" spans="1:7" ht="15" customHeight="1" x14ac:dyDescent="0.3">
      <c r="A41" s="5" t="s">
        <v>70</v>
      </c>
      <c r="B41" s="5" t="s">
        <v>34</v>
      </c>
      <c r="C41" s="5" t="s">
        <v>35</v>
      </c>
      <c r="D41" s="5" t="s">
        <v>72</v>
      </c>
      <c r="E41" s="5">
        <v>4</v>
      </c>
      <c r="F41" s="5">
        <v>1694.13</v>
      </c>
      <c r="G41" s="5">
        <v>1363.33</v>
      </c>
    </row>
    <row r="42" spans="1:7" ht="15" customHeight="1" x14ac:dyDescent="0.3">
      <c r="A42" s="5" t="s">
        <v>70</v>
      </c>
      <c r="B42" s="5" t="s">
        <v>28</v>
      </c>
      <c r="C42" s="5" t="s">
        <v>29</v>
      </c>
      <c r="D42" s="5" t="s">
        <v>26</v>
      </c>
      <c r="E42" s="5">
        <v>4</v>
      </c>
      <c r="F42" s="5">
        <v>903.82</v>
      </c>
      <c r="G42" s="5">
        <v>907.49</v>
      </c>
    </row>
    <row r="43" spans="1:7" ht="15" customHeight="1" x14ac:dyDescent="0.3">
      <c r="A43" s="5" t="s">
        <v>73</v>
      </c>
      <c r="B43" s="5" t="s">
        <v>8</v>
      </c>
      <c r="C43" s="5" t="s">
        <v>74</v>
      </c>
      <c r="D43" s="5" t="s">
        <v>48</v>
      </c>
      <c r="E43" s="5">
        <v>12</v>
      </c>
      <c r="F43" s="5">
        <v>2904.47</v>
      </c>
      <c r="G43" s="5">
        <v>2436.34</v>
      </c>
    </row>
    <row r="44" spans="1:7" ht="15" customHeight="1" x14ac:dyDescent="0.3">
      <c r="A44" s="5" t="s">
        <v>73</v>
      </c>
      <c r="B44" s="5" t="s">
        <v>34</v>
      </c>
      <c r="C44" s="5" t="s">
        <v>75</v>
      </c>
      <c r="D44" s="5" t="s">
        <v>49</v>
      </c>
      <c r="E44" s="5">
        <v>9</v>
      </c>
      <c r="F44" s="5">
        <v>3288.36</v>
      </c>
      <c r="G44" s="5">
        <v>4057.84</v>
      </c>
    </row>
    <row r="45" spans="1:7" ht="15" customHeight="1" x14ac:dyDescent="0.3">
      <c r="A45" s="5" t="s">
        <v>73</v>
      </c>
      <c r="B45" s="5" t="s">
        <v>11</v>
      </c>
      <c r="C45" s="5" t="s">
        <v>76</v>
      </c>
      <c r="D45" s="5" t="s">
        <v>69</v>
      </c>
      <c r="E45" s="5">
        <v>5</v>
      </c>
      <c r="F45" s="5">
        <v>1932.7</v>
      </c>
      <c r="G45" s="5">
        <v>1691.59</v>
      </c>
    </row>
    <row r="46" spans="1:7" ht="15" customHeight="1" x14ac:dyDescent="0.3">
      <c r="A46" s="5" t="s">
        <v>77</v>
      </c>
      <c r="B46" s="5" t="s">
        <v>22</v>
      </c>
      <c r="C46" s="5" t="s">
        <v>78</v>
      </c>
      <c r="D46" s="5" t="s">
        <v>55</v>
      </c>
      <c r="E46" s="5">
        <v>4</v>
      </c>
      <c r="F46" s="5">
        <v>1271.76</v>
      </c>
      <c r="G46" s="5">
        <v>1260.97</v>
      </c>
    </row>
    <row r="47" spans="1:7" ht="15" customHeight="1" x14ac:dyDescent="0.3">
      <c r="A47" s="5" t="s">
        <v>77</v>
      </c>
      <c r="B47" s="5" t="s">
        <v>34</v>
      </c>
      <c r="C47" s="5" t="s">
        <v>79</v>
      </c>
      <c r="D47" s="5" t="s">
        <v>65</v>
      </c>
      <c r="E47" s="5">
        <v>1</v>
      </c>
      <c r="F47" s="5">
        <v>1475.63</v>
      </c>
      <c r="G47" s="5">
        <v>1592.5</v>
      </c>
    </row>
    <row r="48" spans="1:7" ht="15" customHeight="1" x14ac:dyDescent="0.3">
      <c r="A48" s="5" t="s">
        <v>77</v>
      </c>
      <c r="B48" s="5" t="s">
        <v>42</v>
      </c>
      <c r="C48" s="5" t="s">
        <v>47</v>
      </c>
      <c r="D48" s="5" t="s">
        <v>80</v>
      </c>
      <c r="E48" s="5">
        <v>5</v>
      </c>
      <c r="F48" s="5">
        <v>3584.5</v>
      </c>
      <c r="G48" s="5">
        <v>3481.4</v>
      </c>
    </row>
    <row r="49" spans="1:7" ht="15" customHeight="1" x14ac:dyDescent="0.3">
      <c r="A49" s="5" t="s">
        <v>81</v>
      </c>
      <c r="B49" s="5" t="s">
        <v>28</v>
      </c>
      <c r="C49" s="5" t="s">
        <v>29</v>
      </c>
      <c r="D49" s="5" t="s">
        <v>82</v>
      </c>
      <c r="E49" s="5">
        <v>6</v>
      </c>
      <c r="F49" s="5">
        <v>4906.49</v>
      </c>
      <c r="G49" s="5">
        <v>5005.9399999999996</v>
      </c>
    </row>
    <row r="50" spans="1:7" ht="15" customHeight="1" x14ac:dyDescent="0.3">
      <c r="A50" s="5" t="s">
        <v>81</v>
      </c>
      <c r="B50" s="5" t="s">
        <v>8</v>
      </c>
      <c r="C50" s="5" t="s">
        <v>83</v>
      </c>
      <c r="D50" s="5" t="s">
        <v>20</v>
      </c>
      <c r="E50" s="5">
        <v>11</v>
      </c>
      <c r="F50" s="5">
        <v>4671.09</v>
      </c>
      <c r="G50" s="5">
        <v>4191.42</v>
      </c>
    </row>
    <row r="51" spans="1:7" ht="15" customHeight="1" x14ac:dyDescent="0.3">
      <c r="A51" s="5" t="s">
        <v>81</v>
      </c>
      <c r="B51" s="5" t="s">
        <v>11</v>
      </c>
      <c r="C51" s="5" t="s">
        <v>60</v>
      </c>
      <c r="D51" s="5" t="s">
        <v>30</v>
      </c>
      <c r="E51" s="5">
        <v>11</v>
      </c>
      <c r="F51" s="5">
        <v>4852.07</v>
      </c>
      <c r="G51" s="5">
        <v>5672.38</v>
      </c>
    </row>
    <row r="52" spans="1:7" ht="15" customHeight="1" x14ac:dyDescent="0.3">
      <c r="A52" s="5" t="s">
        <v>84</v>
      </c>
      <c r="B52" s="5" t="s">
        <v>22</v>
      </c>
      <c r="C52" s="5" t="s">
        <v>38</v>
      </c>
      <c r="D52" s="5" t="s">
        <v>82</v>
      </c>
      <c r="E52" s="5">
        <v>4</v>
      </c>
      <c r="F52" s="5">
        <v>3213.83</v>
      </c>
      <c r="G52" s="5">
        <v>3720.09</v>
      </c>
    </row>
    <row r="53" spans="1:7" ht="15" customHeight="1" x14ac:dyDescent="0.3">
      <c r="A53" s="5" t="s">
        <v>84</v>
      </c>
      <c r="B53" s="5" t="s">
        <v>42</v>
      </c>
      <c r="C53" s="5" t="s">
        <v>85</v>
      </c>
      <c r="D53" s="5" t="s">
        <v>86</v>
      </c>
      <c r="E53" s="5">
        <v>9</v>
      </c>
      <c r="F53" s="5">
        <v>2836.71</v>
      </c>
      <c r="G53" s="5">
        <v>2867.74</v>
      </c>
    </row>
    <row r="54" spans="1:7" ht="15" customHeight="1" x14ac:dyDescent="0.3">
      <c r="A54" s="5" t="s">
        <v>84</v>
      </c>
      <c r="B54" s="5" t="s">
        <v>8</v>
      </c>
      <c r="C54" s="5" t="s">
        <v>37</v>
      </c>
      <c r="D54" s="5" t="s">
        <v>26</v>
      </c>
      <c r="E54" s="5">
        <v>4</v>
      </c>
      <c r="F54" s="5">
        <v>851.78</v>
      </c>
      <c r="G54" s="5">
        <v>932.19</v>
      </c>
    </row>
    <row r="55" spans="1:7" ht="15" customHeight="1" x14ac:dyDescent="0.3">
      <c r="A55" s="5" t="s">
        <v>87</v>
      </c>
      <c r="B55" s="5" t="s">
        <v>53</v>
      </c>
      <c r="C55" s="5" t="s">
        <v>54</v>
      </c>
      <c r="D55" s="5" t="s">
        <v>61</v>
      </c>
      <c r="E55" s="5">
        <v>10</v>
      </c>
      <c r="F55" s="5">
        <v>8403.74</v>
      </c>
      <c r="G55" s="5">
        <v>6842.35</v>
      </c>
    </row>
    <row r="56" spans="1:7" ht="15" customHeight="1" x14ac:dyDescent="0.3">
      <c r="A56" s="5" t="s">
        <v>87</v>
      </c>
      <c r="B56" s="5" t="s">
        <v>17</v>
      </c>
      <c r="C56" s="5" t="s">
        <v>68</v>
      </c>
      <c r="D56" s="5" t="s">
        <v>72</v>
      </c>
      <c r="E56" s="5">
        <v>8</v>
      </c>
      <c r="F56" s="5">
        <v>2924.35</v>
      </c>
      <c r="G56" s="5">
        <v>2828.87</v>
      </c>
    </row>
    <row r="57" spans="1:7" ht="15" customHeight="1" x14ac:dyDescent="0.3">
      <c r="A57" s="5" t="s">
        <v>87</v>
      </c>
      <c r="B57" s="5" t="s">
        <v>34</v>
      </c>
      <c r="C57" s="5" t="s">
        <v>79</v>
      </c>
      <c r="D57" s="5" t="s">
        <v>69</v>
      </c>
      <c r="E57" s="5">
        <v>12</v>
      </c>
      <c r="F57" s="5">
        <v>4213.71</v>
      </c>
      <c r="G57" s="5">
        <v>3615.93</v>
      </c>
    </row>
    <row r="58" spans="1:7" ht="15" customHeight="1" x14ac:dyDescent="0.3">
      <c r="A58" s="5" t="s">
        <v>87</v>
      </c>
      <c r="B58" s="5" t="s">
        <v>42</v>
      </c>
      <c r="C58" s="5" t="s">
        <v>85</v>
      </c>
      <c r="D58" s="5" t="s">
        <v>24</v>
      </c>
      <c r="E58" s="5">
        <v>12</v>
      </c>
      <c r="F58" s="5">
        <v>6088.33</v>
      </c>
      <c r="G58" s="5">
        <v>6553.44</v>
      </c>
    </row>
    <row r="59" spans="1:7" ht="15" customHeight="1" x14ac:dyDescent="0.3">
      <c r="A59" s="5" t="s">
        <v>87</v>
      </c>
      <c r="B59" s="5" t="s">
        <v>42</v>
      </c>
      <c r="C59" s="5" t="s">
        <v>63</v>
      </c>
      <c r="D59" s="5" t="s">
        <v>56</v>
      </c>
      <c r="E59" s="5">
        <v>3</v>
      </c>
      <c r="F59" s="5">
        <v>1614.91</v>
      </c>
      <c r="G59" s="5">
        <v>1445.83</v>
      </c>
    </row>
    <row r="60" spans="1:7" ht="15" customHeight="1" x14ac:dyDescent="0.3">
      <c r="A60" s="5" t="s">
        <v>88</v>
      </c>
      <c r="B60" s="5" t="s">
        <v>53</v>
      </c>
      <c r="C60" s="5" t="s">
        <v>58</v>
      </c>
      <c r="D60" s="5" t="s">
        <v>69</v>
      </c>
      <c r="E60" s="5">
        <v>2</v>
      </c>
      <c r="F60" s="5">
        <v>732.52</v>
      </c>
      <c r="G60" s="5">
        <v>791.3</v>
      </c>
    </row>
    <row r="61" spans="1:7" ht="15" customHeight="1" x14ac:dyDescent="0.3">
      <c r="A61" s="5" t="s">
        <v>89</v>
      </c>
      <c r="B61" s="5" t="s">
        <v>28</v>
      </c>
      <c r="C61" s="5" t="s">
        <v>66</v>
      </c>
      <c r="D61" s="5" t="s">
        <v>30</v>
      </c>
      <c r="E61" s="5">
        <v>9</v>
      </c>
      <c r="F61" s="5">
        <v>4166.55</v>
      </c>
      <c r="G61" s="5">
        <v>4110.82</v>
      </c>
    </row>
    <row r="62" spans="1:7" ht="15" customHeight="1" x14ac:dyDescent="0.3">
      <c r="A62" s="5" t="s">
        <v>89</v>
      </c>
      <c r="B62" s="5" t="s">
        <v>8</v>
      </c>
      <c r="C62" s="5" t="s">
        <v>90</v>
      </c>
      <c r="D62" s="5" t="s">
        <v>30</v>
      </c>
      <c r="E62" s="5">
        <v>5</v>
      </c>
      <c r="F62" s="5">
        <v>2428.71</v>
      </c>
      <c r="G62" s="5">
        <v>2355.39</v>
      </c>
    </row>
    <row r="63" spans="1:7" ht="15" customHeight="1" x14ac:dyDescent="0.3">
      <c r="A63" s="5" t="s">
        <v>89</v>
      </c>
      <c r="B63" s="5" t="s">
        <v>53</v>
      </c>
      <c r="C63" s="5" t="s">
        <v>58</v>
      </c>
      <c r="D63" s="5" t="s">
        <v>91</v>
      </c>
      <c r="E63" s="5">
        <v>1</v>
      </c>
      <c r="F63" s="5">
        <v>311.04000000000002</v>
      </c>
      <c r="G63" s="5">
        <v>280.64999999999998</v>
      </c>
    </row>
    <row r="64" spans="1:7" ht="15" customHeight="1" x14ac:dyDescent="0.3">
      <c r="A64" s="5" t="s">
        <v>92</v>
      </c>
      <c r="B64" s="5" t="s">
        <v>42</v>
      </c>
      <c r="C64" s="5" t="s">
        <v>43</v>
      </c>
      <c r="D64" s="5" t="s">
        <v>65</v>
      </c>
      <c r="E64" s="5">
        <v>5</v>
      </c>
      <c r="F64" s="5">
        <v>7919.18</v>
      </c>
      <c r="G64" s="5">
        <v>6586.53</v>
      </c>
    </row>
    <row r="65" spans="1:7" ht="15" customHeight="1" x14ac:dyDescent="0.3">
      <c r="A65" s="5" t="s">
        <v>92</v>
      </c>
      <c r="B65" s="5" t="s">
        <v>11</v>
      </c>
      <c r="C65" s="5" t="s">
        <v>12</v>
      </c>
      <c r="D65" s="5" t="s">
        <v>26</v>
      </c>
      <c r="E65" s="5">
        <v>5</v>
      </c>
      <c r="F65" s="5">
        <v>1206.95</v>
      </c>
      <c r="G65" s="5">
        <v>1293.54</v>
      </c>
    </row>
    <row r="66" spans="1:7" ht="15" customHeight="1" x14ac:dyDescent="0.3">
      <c r="A66" s="5" t="s">
        <v>92</v>
      </c>
      <c r="B66" s="5" t="s">
        <v>53</v>
      </c>
      <c r="C66" s="5" t="s">
        <v>93</v>
      </c>
      <c r="D66" s="5" t="s">
        <v>16</v>
      </c>
      <c r="E66" s="5">
        <v>9</v>
      </c>
      <c r="F66" s="5">
        <v>3275.3</v>
      </c>
      <c r="G66" s="5">
        <v>3093.21</v>
      </c>
    </row>
    <row r="67" spans="1:7" ht="15" customHeight="1" x14ac:dyDescent="0.3">
      <c r="A67" s="5" t="s">
        <v>92</v>
      </c>
      <c r="B67" s="5" t="s">
        <v>53</v>
      </c>
      <c r="C67" s="5" t="s">
        <v>94</v>
      </c>
      <c r="D67" s="5" t="s">
        <v>48</v>
      </c>
      <c r="E67" s="5">
        <v>11</v>
      </c>
      <c r="F67" s="5">
        <v>2419.64</v>
      </c>
      <c r="G67" s="5">
        <v>2453.1799999999998</v>
      </c>
    </row>
    <row r="68" spans="1:7" ht="15" customHeight="1" x14ac:dyDescent="0.3">
      <c r="A68" s="5" t="s">
        <v>95</v>
      </c>
      <c r="B68" s="5" t="s">
        <v>34</v>
      </c>
      <c r="C68" s="5" t="s">
        <v>35</v>
      </c>
      <c r="D68" s="5" t="s">
        <v>96</v>
      </c>
      <c r="E68" s="5">
        <v>6</v>
      </c>
      <c r="F68" s="5">
        <v>9550.67</v>
      </c>
      <c r="G68" s="5">
        <v>8150.74</v>
      </c>
    </row>
    <row r="69" spans="1:7" ht="15" customHeight="1" x14ac:dyDescent="0.3">
      <c r="A69" s="5" t="s">
        <v>95</v>
      </c>
      <c r="B69" s="5" t="s">
        <v>42</v>
      </c>
      <c r="C69" s="5" t="s">
        <v>47</v>
      </c>
      <c r="D69" s="5" t="s">
        <v>97</v>
      </c>
      <c r="E69" s="5">
        <v>7</v>
      </c>
      <c r="F69" s="5">
        <v>6102.07</v>
      </c>
      <c r="G69" s="5">
        <v>5335.01</v>
      </c>
    </row>
    <row r="70" spans="1:7" ht="15" customHeight="1" x14ac:dyDescent="0.3">
      <c r="A70" s="5" t="s">
        <v>95</v>
      </c>
      <c r="B70" s="5" t="s">
        <v>42</v>
      </c>
      <c r="C70" s="5" t="s">
        <v>62</v>
      </c>
      <c r="D70" s="5" t="s">
        <v>72</v>
      </c>
      <c r="E70" s="5">
        <v>5</v>
      </c>
      <c r="F70" s="5">
        <v>1919.4</v>
      </c>
      <c r="G70" s="5">
        <v>2078.83</v>
      </c>
    </row>
    <row r="71" spans="1:7" ht="15" customHeight="1" x14ac:dyDescent="0.3">
      <c r="A71" s="5" t="s">
        <v>98</v>
      </c>
      <c r="B71" s="5" t="s">
        <v>28</v>
      </c>
      <c r="C71" s="5" t="s">
        <v>66</v>
      </c>
      <c r="D71" s="5" t="s">
        <v>99</v>
      </c>
      <c r="E71" s="5">
        <v>6</v>
      </c>
      <c r="F71" s="5">
        <v>456.19</v>
      </c>
      <c r="G71" s="5">
        <v>484.7</v>
      </c>
    </row>
    <row r="72" spans="1:7" ht="15" customHeight="1" x14ac:dyDescent="0.3">
      <c r="A72" s="5" t="s">
        <v>98</v>
      </c>
      <c r="B72" s="5" t="s">
        <v>34</v>
      </c>
      <c r="C72" s="5" t="s">
        <v>75</v>
      </c>
      <c r="D72" s="5" t="s">
        <v>72</v>
      </c>
      <c r="E72" s="5">
        <v>6</v>
      </c>
      <c r="F72" s="5">
        <v>2254.38</v>
      </c>
      <c r="G72" s="5">
        <v>2464.13</v>
      </c>
    </row>
    <row r="73" spans="1:7" ht="15" customHeight="1" x14ac:dyDescent="0.3">
      <c r="A73" s="5" t="s">
        <v>98</v>
      </c>
      <c r="B73" s="5" t="s">
        <v>22</v>
      </c>
      <c r="C73" s="5" t="s">
        <v>100</v>
      </c>
      <c r="D73" s="5" t="s">
        <v>99</v>
      </c>
      <c r="E73" s="5">
        <v>9</v>
      </c>
      <c r="F73" s="5">
        <v>748.94</v>
      </c>
      <c r="G73" s="5">
        <v>701.53</v>
      </c>
    </row>
    <row r="74" spans="1:7" ht="15" customHeight="1" x14ac:dyDescent="0.3">
      <c r="A74" s="5" t="s">
        <v>98</v>
      </c>
      <c r="B74" s="5" t="s">
        <v>42</v>
      </c>
      <c r="C74" s="5" t="s">
        <v>63</v>
      </c>
      <c r="D74" s="5" t="s">
        <v>30</v>
      </c>
      <c r="E74" s="5">
        <v>6</v>
      </c>
      <c r="F74" s="5">
        <v>3022.84</v>
      </c>
      <c r="G74" s="5">
        <v>2538.1999999999998</v>
      </c>
    </row>
    <row r="75" spans="1:7" ht="15" customHeight="1" x14ac:dyDescent="0.3">
      <c r="A75" s="5" t="s">
        <v>98</v>
      </c>
      <c r="B75" s="5" t="s">
        <v>34</v>
      </c>
      <c r="C75" s="5" t="s">
        <v>75</v>
      </c>
      <c r="D75" s="5" t="s">
        <v>56</v>
      </c>
      <c r="E75" s="5">
        <v>10</v>
      </c>
      <c r="F75" s="5">
        <v>4968.99</v>
      </c>
      <c r="G75" s="5">
        <v>5173.96</v>
      </c>
    </row>
    <row r="76" spans="1:7" ht="15" customHeight="1" x14ac:dyDescent="0.3">
      <c r="A76" s="5" t="s">
        <v>101</v>
      </c>
      <c r="B76" s="5" t="s">
        <v>8</v>
      </c>
      <c r="C76" s="5" t="s">
        <v>102</v>
      </c>
      <c r="D76" s="5" t="s">
        <v>91</v>
      </c>
      <c r="E76" s="5">
        <v>8</v>
      </c>
      <c r="F76" s="5">
        <v>2593.66</v>
      </c>
      <c r="G76" s="5">
        <v>2780.03</v>
      </c>
    </row>
    <row r="77" spans="1:7" ht="15" customHeight="1" x14ac:dyDescent="0.3">
      <c r="A77" s="5" t="s">
        <v>101</v>
      </c>
      <c r="B77" s="5" t="s">
        <v>28</v>
      </c>
      <c r="C77" s="5" t="s">
        <v>29</v>
      </c>
      <c r="D77" s="5" t="s">
        <v>103</v>
      </c>
      <c r="E77" s="5">
        <v>9</v>
      </c>
      <c r="F77" s="5">
        <v>7530.97</v>
      </c>
      <c r="G77" s="5">
        <v>7604.64</v>
      </c>
    </row>
    <row r="78" spans="1:7" ht="15" customHeight="1" x14ac:dyDescent="0.3">
      <c r="A78" s="5" t="s">
        <v>101</v>
      </c>
      <c r="B78" s="5" t="s">
        <v>34</v>
      </c>
      <c r="C78" s="5" t="s">
        <v>75</v>
      </c>
      <c r="D78" s="5" t="s">
        <v>80</v>
      </c>
      <c r="E78" s="5">
        <v>10</v>
      </c>
      <c r="F78" s="5">
        <v>6312.3</v>
      </c>
      <c r="G78" s="5">
        <v>7203.35</v>
      </c>
    </row>
    <row r="79" spans="1:7" ht="15" customHeight="1" x14ac:dyDescent="0.3">
      <c r="A79" s="5" t="s">
        <v>104</v>
      </c>
      <c r="B79" s="5" t="s">
        <v>34</v>
      </c>
      <c r="C79" s="5" t="s">
        <v>75</v>
      </c>
      <c r="D79" s="5" t="s">
        <v>80</v>
      </c>
      <c r="E79" s="5">
        <v>8</v>
      </c>
      <c r="F79" s="5">
        <v>5499.08</v>
      </c>
      <c r="G79" s="5">
        <v>5194.12</v>
      </c>
    </row>
    <row r="80" spans="1:7" ht="15" customHeight="1" x14ac:dyDescent="0.3">
      <c r="A80" s="5" t="s">
        <v>104</v>
      </c>
      <c r="B80" s="5" t="s">
        <v>28</v>
      </c>
      <c r="C80" s="5" t="s">
        <v>66</v>
      </c>
      <c r="D80" s="5" t="s">
        <v>26</v>
      </c>
      <c r="E80" s="5">
        <v>2</v>
      </c>
      <c r="F80" s="5">
        <v>451.58</v>
      </c>
      <c r="G80" s="5">
        <v>484.39</v>
      </c>
    </row>
    <row r="81" spans="1:7" ht="15" customHeight="1" x14ac:dyDescent="0.3">
      <c r="A81" s="5" t="s">
        <v>104</v>
      </c>
      <c r="B81" s="5" t="s">
        <v>42</v>
      </c>
      <c r="C81" s="5" t="s">
        <v>43</v>
      </c>
      <c r="D81" s="5" t="s">
        <v>56</v>
      </c>
      <c r="E81" s="5">
        <v>6</v>
      </c>
      <c r="F81" s="5">
        <v>3304.64</v>
      </c>
      <c r="G81" s="5">
        <v>2724.69</v>
      </c>
    </row>
    <row r="82" spans="1:7" ht="15" customHeight="1" x14ac:dyDescent="0.3">
      <c r="A82" s="5" t="s">
        <v>104</v>
      </c>
      <c r="B82" s="5" t="s">
        <v>53</v>
      </c>
      <c r="C82" s="5" t="s">
        <v>93</v>
      </c>
      <c r="D82" s="5" t="s">
        <v>39</v>
      </c>
      <c r="E82" s="5">
        <v>12</v>
      </c>
      <c r="F82" s="5">
        <v>2560.67</v>
      </c>
      <c r="G82" s="5">
        <v>2494.73</v>
      </c>
    </row>
    <row r="83" spans="1:7" ht="15" customHeight="1" x14ac:dyDescent="0.3">
      <c r="A83" s="5" t="s">
        <v>105</v>
      </c>
      <c r="B83" s="5" t="s">
        <v>17</v>
      </c>
      <c r="C83" s="5" t="s">
        <v>19</v>
      </c>
      <c r="D83" s="5" t="s">
        <v>39</v>
      </c>
      <c r="E83" s="5">
        <v>2</v>
      </c>
      <c r="F83" s="5">
        <v>406.73</v>
      </c>
      <c r="G83" s="5">
        <v>353.23</v>
      </c>
    </row>
    <row r="84" spans="1:7" ht="15" customHeight="1" x14ac:dyDescent="0.3">
      <c r="A84" s="5" t="s">
        <v>105</v>
      </c>
      <c r="B84" s="5" t="s">
        <v>28</v>
      </c>
      <c r="C84" s="5" t="s">
        <v>66</v>
      </c>
      <c r="D84" s="5" t="s">
        <v>80</v>
      </c>
      <c r="E84" s="5">
        <v>4</v>
      </c>
      <c r="F84" s="5">
        <v>2658.54</v>
      </c>
      <c r="G84" s="5">
        <v>2636.95</v>
      </c>
    </row>
    <row r="85" spans="1:7" ht="15" customHeight="1" x14ac:dyDescent="0.3">
      <c r="A85" s="5" t="s">
        <v>105</v>
      </c>
      <c r="B85" s="5" t="s">
        <v>42</v>
      </c>
      <c r="C85" s="5" t="s">
        <v>47</v>
      </c>
      <c r="D85" s="5" t="s">
        <v>91</v>
      </c>
      <c r="E85" s="5">
        <v>11</v>
      </c>
      <c r="F85" s="5">
        <v>3579.07</v>
      </c>
      <c r="G85" s="5">
        <v>3109.8</v>
      </c>
    </row>
    <row r="86" spans="1:7" ht="15" customHeight="1" x14ac:dyDescent="0.3">
      <c r="A86" s="5" t="s">
        <v>106</v>
      </c>
      <c r="B86" s="5" t="s">
        <v>8</v>
      </c>
      <c r="C86" s="5" t="s">
        <v>107</v>
      </c>
      <c r="D86" s="5" t="s">
        <v>49</v>
      </c>
      <c r="E86" s="5">
        <v>9</v>
      </c>
      <c r="F86" s="5">
        <v>3797.4</v>
      </c>
      <c r="G86" s="5">
        <v>3616.82</v>
      </c>
    </row>
    <row r="87" spans="1:7" ht="15" customHeight="1" x14ac:dyDescent="0.3">
      <c r="A87" s="5" t="s">
        <v>106</v>
      </c>
      <c r="B87" s="5" t="s">
        <v>11</v>
      </c>
      <c r="C87" s="5" t="s">
        <v>15</v>
      </c>
      <c r="D87" s="5" t="s">
        <v>39</v>
      </c>
      <c r="E87" s="5">
        <v>3</v>
      </c>
      <c r="F87" s="5">
        <v>535.22</v>
      </c>
      <c r="G87" s="5">
        <v>539.33000000000004</v>
      </c>
    </row>
    <row r="88" spans="1:7" ht="15" customHeight="1" x14ac:dyDescent="0.3">
      <c r="A88" s="5" t="s">
        <v>108</v>
      </c>
      <c r="B88" s="5" t="s">
        <v>11</v>
      </c>
      <c r="C88" s="5" t="s">
        <v>12</v>
      </c>
      <c r="D88" s="5" t="s">
        <v>26</v>
      </c>
      <c r="E88" s="5">
        <v>4</v>
      </c>
      <c r="F88" s="5">
        <v>982.11</v>
      </c>
      <c r="G88" s="5">
        <v>1005.15</v>
      </c>
    </row>
    <row r="89" spans="1:7" ht="15" customHeight="1" x14ac:dyDescent="0.3">
      <c r="A89" s="5" t="s">
        <v>109</v>
      </c>
      <c r="B89" s="5" t="s">
        <v>11</v>
      </c>
      <c r="C89" s="5" t="s">
        <v>12</v>
      </c>
      <c r="D89" s="5" t="s">
        <v>16</v>
      </c>
      <c r="E89" s="5">
        <v>9</v>
      </c>
      <c r="F89" s="5">
        <v>3428.64</v>
      </c>
      <c r="G89" s="5">
        <v>3851.88</v>
      </c>
    </row>
    <row r="90" spans="1:7" ht="15" customHeight="1" x14ac:dyDescent="0.3">
      <c r="A90" s="5" t="s">
        <v>109</v>
      </c>
      <c r="B90" s="5" t="s">
        <v>17</v>
      </c>
      <c r="C90" s="5" t="s">
        <v>18</v>
      </c>
      <c r="D90" s="5" t="s">
        <v>13</v>
      </c>
      <c r="E90" s="5">
        <v>12</v>
      </c>
      <c r="F90" s="5">
        <v>6951.02</v>
      </c>
      <c r="G90" s="5">
        <v>8276.4699999999993</v>
      </c>
    </row>
    <row r="91" spans="1:7" ht="15" customHeight="1" x14ac:dyDescent="0.3">
      <c r="A91" s="5" t="s">
        <v>109</v>
      </c>
      <c r="B91" s="5" t="s">
        <v>53</v>
      </c>
      <c r="C91" s="5" t="s">
        <v>94</v>
      </c>
      <c r="D91" s="5" t="s">
        <v>69</v>
      </c>
      <c r="E91" s="5">
        <v>3</v>
      </c>
      <c r="F91" s="5">
        <v>973.33</v>
      </c>
      <c r="G91" s="5">
        <v>1123.3</v>
      </c>
    </row>
    <row r="92" spans="1:7" ht="15" customHeight="1" x14ac:dyDescent="0.3">
      <c r="A92" s="5" t="s">
        <v>109</v>
      </c>
      <c r="B92" s="5" t="s">
        <v>53</v>
      </c>
      <c r="C92" s="5" t="s">
        <v>71</v>
      </c>
      <c r="D92" s="5" t="s">
        <v>44</v>
      </c>
      <c r="E92" s="5">
        <v>8</v>
      </c>
      <c r="F92" s="5">
        <v>1985.43</v>
      </c>
      <c r="G92" s="5">
        <v>2425.6799999999998</v>
      </c>
    </row>
    <row r="93" spans="1:7" ht="15" customHeight="1" x14ac:dyDescent="0.3">
      <c r="A93" s="5" t="s">
        <v>110</v>
      </c>
      <c r="B93" s="5" t="s">
        <v>11</v>
      </c>
      <c r="C93" s="5" t="s">
        <v>15</v>
      </c>
      <c r="D93" s="5" t="s">
        <v>24</v>
      </c>
      <c r="E93" s="5">
        <v>2</v>
      </c>
      <c r="F93" s="5">
        <v>922.11</v>
      </c>
      <c r="G93" s="5">
        <v>1090.95</v>
      </c>
    </row>
    <row r="94" spans="1:7" ht="15" customHeight="1" x14ac:dyDescent="0.3">
      <c r="A94" s="5" t="s">
        <v>110</v>
      </c>
      <c r="B94" s="5" t="s">
        <v>53</v>
      </c>
      <c r="C94" s="5" t="s">
        <v>54</v>
      </c>
      <c r="D94" s="5" t="s">
        <v>82</v>
      </c>
      <c r="E94" s="5">
        <v>8</v>
      </c>
      <c r="F94" s="5">
        <v>6453.06</v>
      </c>
      <c r="G94" s="5">
        <v>5845.07</v>
      </c>
    </row>
    <row r="95" spans="1:7" ht="15" customHeight="1" x14ac:dyDescent="0.3">
      <c r="A95" s="5" t="s">
        <v>110</v>
      </c>
      <c r="B95" s="5" t="s">
        <v>42</v>
      </c>
      <c r="C95" s="5" t="s">
        <v>111</v>
      </c>
      <c r="D95" s="5" t="s">
        <v>24</v>
      </c>
      <c r="E95" s="5">
        <v>11</v>
      </c>
      <c r="F95" s="5">
        <v>5515.14</v>
      </c>
      <c r="G95" s="5">
        <v>5140.88</v>
      </c>
    </row>
    <row r="96" spans="1:7" ht="15" customHeight="1" x14ac:dyDescent="0.3">
      <c r="A96" s="5" t="s">
        <v>110</v>
      </c>
      <c r="B96" s="5" t="s">
        <v>17</v>
      </c>
      <c r="C96" s="5" t="s">
        <v>68</v>
      </c>
      <c r="D96" s="5" t="s">
        <v>51</v>
      </c>
      <c r="E96" s="5">
        <v>4</v>
      </c>
      <c r="F96" s="5">
        <v>3197.81</v>
      </c>
      <c r="G96" s="5">
        <v>3704.07</v>
      </c>
    </row>
    <row r="97" spans="1:7" ht="15" customHeight="1" x14ac:dyDescent="0.3">
      <c r="A97" s="5" t="s">
        <v>112</v>
      </c>
      <c r="B97" s="5" t="s">
        <v>53</v>
      </c>
      <c r="C97" s="5" t="s">
        <v>58</v>
      </c>
      <c r="D97" s="5" t="s">
        <v>113</v>
      </c>
      <c r="E97" s="5">
        <v>3</v>
      </c>
      <c r="F97" s="5">
        <v>918.04</v>
      </c>
      <c r="G97" s="5">
        <v>1135.2</v>
      </c>
    </row>
    <row r="98" spans="1:7" ht="15" customHeight="1" x14ac:dyDescent="0.3">
      <c r="A98" s="5" t="s">
        <v>112</v>
      </c>
      <c r="B98" s="5" t="s">
        <v>28</v>
      </c>
      <c r="C98" s="5" t="s">
        <v>66</v>
      </c>
      <c r="D98" s="5" t="s">
        <v>80</v>
      </c>
      <c r="E98" s="5">
        <v>6</v>
      </c>
      <c r="F98" s="5">
        <v>3742.51</v>
      </c>
      <c r="G98" s="5">
        <v>3588.89</v>
      </c>
    </row>
    <row r="99" spans="1:7" ht="15" customHeight="1" x14ac:dyDescent="0.3">
      <c r="A99" s="5" t="s">
        <v>112</v>
      </c>
      <c r="B99" s="5" t="s">
        <v>22</v>
      </c>
      <c r="C99" s="5" t="s">
        <v>114</v>
      </c>
      <c r="D99" s="5" t="s">
        <v>103</v>
      </c>
      <c r="E99" s="5">
        <v>7</v>
      </c>
      <c r="F99" s="5">
        <v>5073.37</v>
      </c>
      <c r="G99" s="5">
        <v>4979.0600000000004</v>
      </c>
    </row>
    <row r="100" spans="1:7" ht="15" customHeight="1" x14ac:dyDescent="0.3">
      <c r="A100" s="5" t="s">
        <v>115</v>
      </c>
      <c r="B100" s="5" t="s">
        <v>28</v>
      </c>
      <c r="C100" s="5" t="s">
        <v>66</v>
      </c>
      <c r="D100" s="5" t="s">
        <v>103</v>
      </c>
      <c r="E100" s="5">
        <v>9</v>
      </c>
      <c r="F100" s="5">
        <v>7475.36</v>
      </c>
      <c r="G100" s="5">
        <v>7370.93</v>
      </c>
    </row>
    <row r="101" spans="1:7" ht="15" customHeight="1" x14ac:dyDescent="0.3">
      <c r="A101" s="5" t="s">
        <v>115</v>
      </c>
      <c r="B101" s="5" t="s">
        <v>28</v>
      </c>
      <c r="C101" s="5" t="s">
        <v>66</v>
      </c>
      <c r="D101" s="5" t="s">
        <v>69</v>
      </c>
      <c r="E101" s="5">
        <v>5</v>
      </c>
      <c r="F101" s="5">
        <v>1775.41</v>
      </c>
      <c r="G101" s="5">
        <v>2003.72</v>
      </c>
    </row>
    <row r="102" spans="1:7" ht="15" customHeight="1" x14ac:dyDescent="0.3">
      <c r="A102" s="5" t="s">
        <v>115</v>
      </c>
      <c r="B102" s="5" t="s">
        <v>53</v>
      </c>
      <c r="C102" s="5" t="s">
        <v>71</v>
      </c>
      <c r="D102" s="5" t="s">
        <v>26</v>
      </c>
      <c r="E102" s="5">
        <v>9</v>
      </c>
      <c r="F102" s="5">
        <v>2087.73</v>
      </c>
      <c r="G102" s="5">
        <v>2095.9499999999998</v>
      </c>
    </row>
    <row r="103" spans="1:7" ht="15" customHeight="1" x14ac:dyDescent="0.3">
      <c r="A103" s="5" t="s">
        <v>116</v>
      </c>
      <c r="B103" s="5" t="s">
        <v>17</v>
      </c>
      <c r="C103" s="5" t="s">
        <v>19</v>
      </c>
      <c r="D103" s="5" t="s">
        <v>30</v>
      </c>
      <c r="E103" s="5">
        <v>2</v>
      </c>
      <c r="F103" s="5">
        <v>977.25</v>
      </c>
      <c r="G103" s="5">
        <v>1072.51</v>
      </c>
    </row>
    <row r="104" spans="1:7" ht="15" customHeight="1" x14ac:dyDescent="0.3">
      <c r="A104" s="5" t="s">
        <v>116</v>
      </c>
      <c r="B104" s="5" t="s">
        <v>53</v>
      </c>
      <c r="C104" s="5" t="s">
        <v>58</v>
      </c>
      <c r="D104" s="5" t="s">
        <v>72</v>
      </c>
      <c r="E104" s="5">
        <v>1</v>
      </c>
      <c r="F104" s="5">
        <v>366.85</v>
      </c>
      <c r="G104" s="5">
        <v>375.48</v>
      </c>
    </row>
    <row r="105" spans="1:7" ht="15" customHeight="1" x14ac:dyDescent="0.3">
      <c r="A105" s="5" t="s">
        <v>117</v>
      </c>
      <c r="B105" s="5" t="s">
        <v>17</v>
      </c>
      <c r="C105" s="5" t="s">
        <v>68</v>
      </c>
      <c r="D105" s="5" t="s">
        <v>113</v>
      </c>
      <c r="E105" s="5">
        <v>12</v>
      </c>
      <c r="F105" s="5">
        <v>3668.61</v>
      </c>
      <c r="G105" s="5">
        <v>3780.07</v>
      </c>
    </row>
    <row r="106" spans="1:7" ht="15" customHeight="1" x14ac:dyDescent="0.3">
      <c r="A106" s="5" t="s">
        <v>117</v>
      </c>
      <c r="B106" s="5" t="s">
        <v>42</v>
      </c>
      <c r="C106" s="5" t="s">
        <v>62</v>
      </c>
      <c r="D106" s="5" t="s">
        <v>44</v>
      </c>
      <c r="E106" s="5">
        <v>3</v>
      </c>
      <c r="F106" s="5">
        <v>867.69</v>
      </c>
      <c r="G106" s="5">
        <v>808.92</v>
      </c>
    </row>
    <row r="107" spans="1:7" ht="15" customHeight="1" x14ac:dyDescent="0.3">
      <c r="A107" s="5" t="s">
        <v>118</v>
      </c>
      <c r="B107" s="5" t="s">
        <v>34</v>
      </c>
      <c r="C107" s="5" t="s">
        <v>35</v>
      </c>
      <c r="D107" s="5" t="s">
        <v>10</v>
      </c>
      <c r="E107" s="5">
        <v>6</v>
      </c>
      <c r="F107" s="5">
        <v>5803.28</v>
      </c>
      <c r="G107" s="5">
        <v>6534.16</v>
      </c>
    </row>
    <row r="108" spans="1:7" ht="15" customHeight="1" x14ac:dyDescent="0.3">
      <c r="A108" s="5" t="s">
        <v>118</v>
      </c>
      <c r="B108" s="5" t="s">
        <v>28</v>
      </c>
      <c r="C108" s="5" t="s">
        <v>66</v>
      </c>
      <c r="D108" s="5" t="s">
        <v>10</v>
      </c>
      <c r="E108" s="5">
        <v>1</v>
      </c>
      <c r="F108" s="5">
        <v>1035.8800000000001</v>
      </c>
      <c r="G108" s="5">
        <v>940.97</v>
      </c>
    </row>
    <row r="109" spans="1:7" ht="15" customHeight="1" x14ac:dyDescent="0.3">
      <c r="A109" s="5" t="s">
        <v>118</v>
      </c>
      <c r="B109" s="5" t="s">
        <v>34</v>
      </c>
      <c r="C109" s="5" t="s">
        <v>35</v>
      </c>
      <c r="D109" s="5" t="s">
        <v>56</v>
      </c>
      <c r="E109" s="5">
        <v>10</v>
      </c>
      <c r="F109" s="5">
        <v>5538.27</v>
      </c>
      <c r="G109" s="5">
        <v>5606.14</v>
      </c>
    </row>
    <row r="110" spans="1:7" ht="15" customHeight="1" x14ac:dyDescent="0.3">
      <c r="A110" s="5" t="s">
        <v>118</v>
      </c>
      <c r="B110" s="5" t="s">
        <v>34</v>
      </c>
      <c r="C110" s="5" t="s">
        <v>79</v>
      </c>
      <c r="D110" s="5" t="s">
        <v>80</v>
      </c>
      <c r="E110" s="5">
        <v>1</v>
      </c>
      <c r="F110" s="5">
        <v>682.1</v>
      </c>
      <c r="G110" s="5">
        <v>593.14</v>
      </c>
    </row>
    <row r="111" spans="1:7" ht="15" customHeight="1" x14ac:dyDescent="0.3">
      <c r="A111" s="5" t="s">
        <v>118</v>
      </c>
      <c r="B111" s="5" t="s">
        <v>34</v>
      </c>
      <c r="C111" s="5" t="s">
        <v>75</v>
      </c>
      <c r="D111" s="5" t="s">
        <v>86</v>
      </c>
      <c r="E111" s="5">
        <v>3</v>
      </c>
      <c r="F111" s="5">
        <v>999.05</v>
      </c>
      <c r="G111" s="5">
        <v>1003.52</v>
      </c>
    </row>
    <row r="112" spans="1:7" ht="15" customHeight="1" x14ac:dyDescent="0.3">
      <c r="A112" s="5" t="s">
        <v>118</v>
      </c>
      <c r="B112" s="5" t="s">
        <v>53</v>
      </c>
      <c r="C112" s="5" t="s">
        <v>93</v>
      </c>
      <c r="D112" s="5" t="s">
        <v>39</v>
      </c>
      <c r="E112" s="5">
        <v>11</v>
      </c>
      <c r="F112" s="5">
        <v>2282.61</v>
      </c>
      <c r="G112" s="5">
        <v>2093.62</v>
      </c>
    </row>
    <row r="113" spans="1:7" ht="15" customHeight="1" x14ac:dyDescent="0.3">
      <c r="A113" s="5" t="s">
        <v>118</v>
      </c>
      <c r="B113" s="5" t="s">
        <v>17</v>
      </c>
      <c r="C113" s="5" t="s">
        <v>68</v>
      </c>
      <c r="D113" s="5" t="s">
        <v>72</v>
      </c>
      <c r="E113" s="5">
        <v>10</v>
      </c>
      <c r="F113" s="5">
        <v>3635.59</v>
      </c>
      <c r="G113" s="5">
        <v>3733.98</v>
      </c>
    </row>
    <row r="114" spans="1:7" ht="15" customHeight="1" x14ac:dyDescent="0.3">
      <c r="A114" s="5" t="s">
        <v>118</v>
      </c>
      <c r="B114" s="5" t="s">
        <v>8</v>
      </c>
      <c r="C114" s="5" t="s">
        <v>90</v>
      </c>
      <c r="D114" s="5" t="s">
        <v>65</v>
      </c>
      <c r="E114" s="5">
        <v>7</v>
      </c>
      <c r="F114" s="5">
        <v>10619.73</v>
      </c>
      <c r="G114" s="5">
        <v>9025.84</v>
      </c>
    </row>
    <row r="115" spans="1:7" ht="15" customHeight="1" x14ac:dyDescent="0.3">
      <c r="A115" s="5" t="s">
        <v>119</v>
      </c>
      <c r="B115" s="5" t="s">
        <v>42</v>
      </c>
      <c r="C115" s="5" t="s">
        <v>47</v>
      </c>
      <c r="D115" s="5" t="s">
        <v>55</v>
      </c>
      <c r="E115" s="5">
        <v>1</v>
      </c>
      <c r="F115" s="5">
        <v>324.44</v>
      </c>
      <c r="G115" s="5">
        <v>398.39</v>
      </c>
    </row>
    <row r="116" spans="1:7" ht="15" customHeight="1" x14ac:dyDescent="0.3">
      <c r="A116" s="5" t="s">
        <v>119</v>
      </c>
      <c r="B116" s="5" t="s">
        <v>53</v>
      </c>
      <c r="C116" s="5" t="s">
        <v>54</v>
      </c>
      <c r="D116" s="5" t="s">
        <v>16</v>
      </c>
      <c r="E116" s="5">
        <v>8</v>
      </c>
      <c r="F116" s="5">
        <v>2867.33</v>
      </c>
      <c r="G116" s="5">
        <v>3329.59</v>
      </c>
    </row>
    <row r="117" spans="1:7" ht="15" customHeight="1" x14ac:dyDescent="0.3">
      <c r="A117" s="5" t="s">
        <v>120</v>
      </c>
      <c r="B117" s="5" t="s">
        <v>8</v>
      </c>
      <c r="C117" s="5" t="s">
        <v>37</v>
      </c>
      <c r="D117" s="5" t="s">
        <v>44</v>
      </c>
      <c r="E117" s="5">
        <v>8</v>
      </c>
      <c r="F117" s="5">
        <v>1967.02</v>
      </c>
      <c r="G117" s="5">
        <v>2303.58</v>
      </c>
    </row>
    <row r="118" spans="1:7" ht="15" customHeight="1" x14ac:dyDescent="0.3">
      <c r="A118" s="5" t="s">
        <v>120</v>
      </c>
      <c r="B118" s="5" t="s">
        <v>34</v>
      </c>
      <c r="C118" s="5" t="s">
        <v>35</v>
      </c>
      <c r="D118" s="5" t="s">
        <v>36</v>
      </c>
      <c r="E118" s="5">
        <v>8</v>
      </c>
      <c r="F118" s="5">
        <v>6055.58</v>
      </c>
      <c r="G118" s="5">
        <v>6298.47</v>
      </c>
    </row>
    <row r="119" spans="1:7" ht="15" customHeight="1" x14ac:dyDescent="0.3">
      <c r="A119" s="5" t="s">
        <v>120</v>
      </c>
      <c r="B119" s="5" t="s">
        <v>28</v>
      </c>
      <c r="C119" s="5" t="s">
        <v>29</v>
      </c>
      <c r="D119" s="5" t="s">
        <v>97</v>
      </c>
      <c r="E119" s="5">
        <v>12</v>
      </c>
      <c r="F119" s="5">
        <v>10294.11</v>
      </c>
      <c r="G119" s="5">
        <v>10895.32</v>
      </c>
    </row>
    <row r="120" spans="1:7" ht="15" customHeight="1" x14ac:dyDescent="0.3">
      <c r="A120" s="5" t="s">
        <v>120</v>
      </c>
      <c r="B120" s="5" t="s">
        <v>42</v>
      </c>
      <c r="C120" s="5" t="s">
        <v>43</v>
      </c>
      <c r="D120" s="5" t="s">
        <v>113</v>
      </c>
      <c r="E120" s="5">
        <v>1</v>
      </c>
      <c r="F120" s="5">
        <v>332.64</v>
      </c>
      <c r="G120" s="5">
        <v>388.17</v>
      </c>
    </row>
    <row r="121" spans="1:7" ht="15" customHeight="1" x14ac:dyDescent="0.3">
      <c r="A121" s="5" t="s">
        <v>121</v>
      </c>
      <c r="B121" s="5" t="s">
        <v>11</v>
      </c>
      <c r="C121" s="5" t="s">
        <v>76</v>
      </c>
      <c r="D121" s="5" t="s">
        <v>97</v>
      </c>
      <c r="E121" s="5">
        <v>4</v>
      </c>
      <c r="F121" s="5">
        <v>3448.35</v>
      </c>
      <c r="G121" s="5">
        <v>3639.79</v>
      </c>
    </row>
    <row r="122" spans="1:7" ht="15" customHeight="1" x14ac:dyDescent="0.3">
      <c r="A122" s="5" t="s">
        <v>122</v>
      </c>
      <c r="B122" s="5" t="s">
        <v>22</v>
      </c>
      <c r="C122" s="5" t="s">
        <v>123</v>
      </c>
      <c r="D122" s="5" t="s">
        <v>20</v>
      </c>
      <c r="E122" s="5">
        <v>11</v>
      </c>
      <c r="F122" s="5">
        <v>4349.91</v>
      </c>
      <c r="G122" s="5">
        <v>5228.92</v>
      </c>
    </row>
    <row r="123" spans="1:7" ht="15" customHeight="1" x14ac:dyDescent="0.3">
      <c r="A123" s="5" t="s">
        <v>122</v>
      </c>
      <c r="B123" s="5" t="s">
        <v>8</v>
      </c>
      <c r="C123" s="5" t="s">
        <v>37</v>
      </c>
      <c r="D123" s="5" t="s">
        <v>10</v>
      </c>
      <c r="E123" s="5">
        <v>12</v>
      </c>
      <c r="F123" s="5">
        <v>13044.84</v>
      </c>
      <c r="G123" s="5">
        <v>13656.07</v>
      </c>
    </row>
    <row r="124" spans="1:7" ht="15" customHeight="1" x14ac:dyDescent="0.3">
      <c r="A124" s="5" t="s">
        <v>122</v>
      </c>
      <c r="B124" s="5" t="s">
        <v>42</v>
      </c>
      <c r="C124" s="5" t="s">
        <v>47</v>
      </c>
      <c r="D124" s="5" t="s">
        <v>99</v>
      </c>
      <c r="E124" s="5">
        <v>2</v>
      </c>
      <c r="F124" s="5">
        <v>158.77000000000001</v>
      </c>
      <c r="G124" s="5">
        <v>142.19999999999999</v>
      </c>
    </row>
    <row r="125" spans="1:7" ht="15" customHeight="1" x14ac:dyDescent="0.3">
      <c r="A125" s="5" t="s">
        <v>122</v>
      </c>
      <c r="B125" s="5" t="s">
        <v>28</v>
      </c>
      <c r="C125" s="5" t="s">
        <v>66</v>
      </c>
      <c r="D125" s="5" t="s">
        <v>113</v>
      </c>
      <c r="E125" s="5">
        <v>7</v>
      </c>
      <c r="F125" s="5">
        <v>2245.35</v>
      </c>
      <c r="G125" s="5">
        <v>2620.0500000000002</v>
      </c>
    </row>
    <row r="126" spans="1:7" ht="15" customHeight="1" x14ac:dyDescent="0.3">
      <c r="A126" s="5" t="s">
        <v>124</v>
      </c>
      <c r="B126" s="5" t="s">
        <v>28</v>
      </c>
      <c r="C126" s="5" t="s">
        <v>29</v>
      </c>
      <c r="D126" s="5" t="s">
        <v>33</v>
      </c>
      <c r="E126" s="5">
        <v>7</v>
      </c>
      <c r="F126" s="5">
        <v>11372.26</v>
      </c>
      <c r="G126" s="5">
        <v>11479</v>
      </c>
    </row>
    <row r="127" spans="1:7" ht="15" customHeight="1" x14ac:dyDescent="0.3">
      <c r="A127" s="5" t="s">
        <v>125</v>
      </c>
      <c r="B127" s="5" t="s">
        <v>53</v>
      </c>
      <c r="C127" s="5" t="s">
        <v>94</v>
      </c>
      <c r="D127" s="5" t="s">
        <v>13</v>
      </c>
      <c r="E127" s="5">
        <v>11</v>
      </c>
      <c r="F127" s="5">
        <v>7410.19</v>
      </c>
      <c r="G127" s="5">
        <v>6726.85</v>
      </c>
    </row>
    <row r="128" spans="1:7" ht="15" customHeight="1" x14ac:dyDescent="0.3">
      <c r="A128" s="5" t="s">
        <v>125</v>
      </c>
      <c r="B128" s="5" t="s">
        <v>8</v>
      </c>
      <c r="C128" s="5" t="s">
        <v>126</v>
      </c>
      <c r="D128" s="5" t="s">
        <v>61</v>
      </c>
      <c r="E128" s="5">
        <v>10</v>
      </c>
      <c r="F128" s="5">
        <v>8020.88</v>
      </c>
      <c r="G128" s="5">
        <v>7298.28</v>
      </c>
    </row>
    <row r="129" spans="1:7" ht="15" customHeight="1" x14ac:dyDescent="0.3">
      <c r="A129" s="5" t="s">
        <v>125</v>
      </c>
      <c r="B129" s="5" t="s">
        <v>22</v>
      </c>
      <c r="C129" s="5" t="s">
        <v>23</v>
      </c>
      <c r="D129" s="5" t="s">
        <v>16</v>
      </c>
      <c r="E129" s="5">
        <v>11</v>
      </c>
      <c r="F129" s="5">
        <v>4694.1000000000004</v>
      </c>
      <c r="G129" s="5">
        <v>4373.4399999999996</v>
      </c>
    </row>
    <row r="130" spans="1:7" ht="15" customHeight="1" x14ac:dyDescent="0.3">
      <c r="A130" s="5" t="s">
        <v>127</v>
      </c>
      <c r="B130" s="5" t="s">
        <v>22</v>
      </c>
      <c r="C130" s="5" t="s">
        <v>100</v>
      </c>
      <c r="D130" s="5" t="s">
        <v>26</v>
      </c>
      <c r="E130" s="5">
        <v>11</v>
      </c>
      <c r="F130" s="5">
        <v>2663.59</v>
      </c>
      <c r="G130" s="5">
        <v>2441.9899999999998</v>
      </c>
    </row>
    <row r="131" spans="1:7" ht="15" customHeight="1" x14ac:dyDescent="0.3">
      <c r="A131" s="5" t="s">
        <v>128</v>
      </c>
      <c r="B131" s="5" t="s">
        <v>17</v>
      </c>
      <c r="C131" s="5" t="s">
        <v>68</v>
      </c>
      <c r="D131" s="5" t="s">
        <v>39</v>
      </c>
      <c r="E131" s="5">
        <v>8</v>
      </c>
      <c r="F131" s="5">
        <v>1534.75</v>
      </c>
      <c r="G131" s="5">
        <v>1567.15</v>
      </c>
    </row>
    <row r="132" spans="1:7" ht="15" customHeight="1" x14ac:dyDescent="0.3">
      <c r="A132" s="5" t="s">
        <v>128</v>
      </c>
      <c r="B132" s="5" t="s">
        <v>11</v>
      </c>
      <c r="C132" s="5" t="s">
        <v>15</v>
      </c>
      <c r="D132" s="5" t="s">
        <v>86</v>
      </c>
      <c r="E132" s="5">
        <v>7</v>
      </c>
      <c r="F132" s="5">
        <v>2111.62</v>
      </c>
      <c r="G132" s="5">
        <v>2500.5300000000002</v>
      </c>
    </row>
    <row r="133" spans="1:7" ht="15" customHeight="1" x14ac:dyDescent="0.3">
      <c r="A133" s="5" t="s">
        <v>128</v>
      </c>
      <c r="B133" s="5" t="s">
        <v>17</v>
      </c>
      <c r="C133" s="5" t="s">
        <v>68</v>
      </c>
      <c r="D133" s="5" t="s">
        <v>82</v>
      </c>
      <c r="E133" s="5">
        <v>2</v>
      </c>
      <c r="F133" s="5">
        <v>1743.91</v>
      </c>
      <c r="G133" s="5">
        <v>1717.12</v>
      </c>
    </row>
    <row r="134" spans="1:7" ht="15" customHeight="1" x14ac:dyDescent="0.3">
      <c r="A134" s="5" t="s">
        <v>128</v>
      </c>
      <c r="B134" s="5" t="s">
        <v>11</v>
      </c>
      <c r="C134" s="5" t="s">
        <v>12</v>
      </c>
      <c r="D134" s="5" t="s">
        <v>103</v>
      </c>
      <c r="E134" s="5">
        <v>8</v>
      </c>
      <c r="F134" s="5">
        <v>5826.21</v>
      </c>
      <c r="G134" s="5">
        <v>6164.7</v>
      </c>
    </row>
    <row r="135" spans="1:7" ht="15" customHeight="1" x14ac:dyDescent="0.3">
      <c r="A135" s="5" t="s">
        <v>128</v>
      </c>
      <c r="B135" s="5" t="s">
        <v>22</v>
      </c>
      <c r="C135" s="5" t="s">
        <v>78</v>
      </c>
      <c r="D135" s="5" t="s">
        <v>129</v>
      </c>
      <c r="E135" s="5">
        <v>9</v>
      </c>
      <c r="F135" s="5">
        <v>3566.92</v>
      </c>
      <c r="G135" s="5">
        <v>3623.64</v>
      </c>
    </row>
    <row r="136" spans="1:7" ht="15" customHeight="1" x14ac:dyDescent="0.3">
      <c r="A136" s="5" t="s">
        <v>128</v>
      </c>
      <c r="B136" s="5" t="s">
        <v>8</v>
      </c>
      <c r="C136" s="5" t="s">
        <v>9</v>
      </c>
      <c r="D136" s="5" t="s">
        <v>16</v>
      </c>
      <c r="E136" s="5">
        <v>7</v>
      </c>
      <c r="F136" s="5">
        <v>2992.98</v>
      </c>
      <c r="G136" s="5">
        <v>2819.42</v>
      </c>
    </row>
    <row r="137" spans="1:7" ht="15" customHeight="1" x14ac:dyDescent="0.3">
      <c r="A137" s="5" t="s">
        <v>130</v>
      </c>
      <c r="B137" s="5" t="s">
        <v>28</v>
      </c>
      <c r="C137" s="5" t="s">
        <v>29</v>
      </c>
      <c r="D137" s="5" t="s">
        <v>56</v>
      </c>
      <c r="E137" s="5">
        <v>3</v>
      </c>
      <c r="F137" s="5">
        <v>1549.53</v>
      </c>
      <c r="G137" s="5">
        <v>1442.83</v>
      </c>
    </row>
    <row r="138" spans="1:7" ht="15" customHeight="1" x14ac:dyDescent="0.3">
      <c r="A138" s="5" t="s">
        <v>131</v>
      </c>
      <c r="B138" s="5" t="s">
        <v>28</v>
      </c>
      <c r="C138" s="5" t="s">
        <v>66</v>
      </c>
      <c r="D138" s="5" t="s">
        <v>30</v>
      </c>
      <c r="E138" s="5">
        <v>6</v>
      </c>
      <c r="F138" s="5"/>
      <c r="G138" s="5">
        <v>2885.85</v>
      </c>
    </row>
    <row r="139" spans="1:7" ht="15" customHeight="1" x14ac:dyDescent="0.3">
      <c r="A139" s="5" t="s">
        <v>131</v>
      </c>
      <c r="B139" s="5" t="s">
        <v>42</v>
      </c>
      <c r="C139" s="5" t="s">
        <v>63</v>
      </c>
      <c r="D139" s="5" t="s">
        <v>49</v>
      </c>
      <c r="E139" s="5">
        <v>9</v>
      </c>
      <c r="F139" s="5">
        <v>3416.48</v>
      </c>
      <c r="G139" s="5">
        <v>3473.08</v>
      </c>
    </row>
    <row r="140" spans="1:7" ht="15" customHeight="1" x14ac:dyDescent="0.3">
      <c r="A140" s="5" t="s">
        <v>132</v>
      </c>
      <c r="B140" s="5" t="s">
        <v>22</v>
      </c>
      <c r="C140" s="5" t="s">
        <v>100</v>
      </c>
      <c r="D140" s="5" t="s">
        <v>82</v>
      </c>
      <c r="E140" s="5">
        <v>4</v>
      </c>
      <c r="F140" s="5">
        <v>3177.12</v>
      </c>
      <c r="G140" s="5">
        <v>3684.69</v>
      </c>
    </row>
    <row r="141" spans="1:7" ht="15" customHeight="1" x14ac:dyDescent="0.3">
      <c r="A141" s="5" t="s">
        <v>132</v>
      </c>
      <c r="B141" s="5" t="s">
        <v>53</v>
      </c>
      <c r="C141" s="5" t="s">
        <v>94</v>
      </c>
      <c r="D141" s="5" t="s">
        <v>99</v>
      </c>
      <c r="E141" s="5">
        <v>10</v>
      </c>
      <c r="F141" s="5">
        <v>759.61</v>
      </c>
      <c r="G141" s="5">
        <v>760.69</v>
      </c>
    </row>
    <row r="142" spans="1:7" ht="15" customHeight="1" x14ac:dyDescent="0.3">
      <c r="A142" s="5" t="s">
        <v>132</v>
      </c>
      <c r="B142" s="5" t="s">
        <v>34</v>
      </c>
      <c r="C142" s="5" t="s">
        <v>75</v>
      </c>
      <c r="D142" s="5" t="s">
        <v>36</v>
      </c>
      <c r="E142" s="5">
        <v>10</v>
      </c>
      <c r="F142" s="5">
        <v>6796.81</v>
      </c>
      <c r="G142" s="5">
        <v>8375.65</v>
      </c>
    </row>
    <row r="143" spans="1:7" ht="15" customHeight="1" x14ac:dyDescent="0.3">
      <c r="A143" s="5" t="s">
        <v>133</v>
      </c>
      <c r="B143" s="5" t="s">
        <v>11</v>
      </c>
      <c r="C143" s="5" t="s">
        <v>76</v>
      </c>
      <c r="D143" s="5" t="s">
        <v>99</v>
      </c>
      <c r="E143" s="5">
        <v>6</v>
      </c>
      <c r="F143" s="5">
        <v>450.96</v>
      </c>
      <c r="G143" s="5">
        <v>429.57</v>
      </c>
    </row>
    <row r="144" spans="1:7" ht="15" customHeight="1" x14ac:dyDescent="0.3">
      <c r="A144" s="5" t="s">
        <v>133</v>
      </c>
      <c r="B144" s="5" t="s">
        <v>22</v>
      </c>
      <c r="C144" s="5" t="s">
        <v>114</v>
      </c>
      <c r="D144" s="5" t="s">
        <v>97</v>
      </c>
      <c r="E144" s="5">
        <v>12</v>
      </c>
      <c r="F144" s="5">
        <v>9691.81</v>
      </c>
      <c r="G144" s="5">
        <v>11054.16</v>
      </c>
    </row>
    <row r="145" spans="1:7" ht="15" customHeight="1" x14ac:dyDescent="0.3">
      <c r="A145" s="5" t="s">
        <v>133</v>
      </c>
      <c r="B145" s="5" t="s">
        <v>53</v>
      </c>
      <c r="C145" s="5" t="s">
        <v>94</v>
      </c>
      <c r="D145" s="5" t="s">
        <v>48</v>
      </c>
      <c r="E145" s="5">
        <v>5</v>
      </c>
      <c r="F145" s="5">
        <v>1086.18</v>
      </c>
      <c r="G145" s="5">
        <v>1152.3800000000001</v>
      </c>
    </row>
    <row r="146" spans="1:7" ht="15" customHeight="1" x14ac:dyDescent="0.3">
      <c r="A146" s="5" t="s">
        <v>133</v>
      </c>
      <c r="B146" s="5" t="s">
        <v>53</v>
      </c>
      <c r="C146" s="5" t="s">
        <v>58</v>
      </c>
      <c r="D146" s="5" t="s">
        <v>113</v>
      </c>
      <c r="E146" s="5">
        <v>12</v>
      </c>
      <c r="F146" s="5">
        <v>3836.92</v>
      </c>
      <c r="G146" s="5">
        <v>3653.76</v>
      </c>
    </row>
    <row r="147" spans="1:7" ht="15" customHeight="1" x14ac:dyDescent="0.3">
      <c r="A147" s="5" t="s">
        <v>134</v>
      </c>
      <c r="B147" s="5" t="s">
        <v>34</v>
      </c>
      <c r="C147" s="5" t="s">
        <v>75</v>
      </c>
      <c r="D147" s="5" t="s">
        <v>69</v>
      </c>
      <c r="E147" s="5">
        <v>5</v>
      </c>
      <c r="F147" s="5">
        <v>1714.2</v>
      </c>
      <c r="G147" s="5">
        <v>1575.63</v>
      </c>
    </row>
    <row r="148" spans="1:7" ht="15" customHeight="1" x14ac:dyDescent="0.3">
      <c r="A148" s="5" t="s">
        <v>135</v>
      </c>
      <c r="B148" s="5" t="s">
        <v>22</v>
      </c>
      <c r="C148" s="5" t="s">
        <v>23</v>
      </c>
      <c r="D148" s="5" t="s">
        <v>80</v>
      </c>
      <c r="E148" s="5">
        <v>7</v>
      </c>
      <c r="F148" s="5">
        <v>5030.17</v>
      </c>
      <c r="G148" s="5">
        <v>4510.82</v>
      </c>
    </row>
    <row r="149" spans="1:7" ht="15" customHeight="1" x14ac:dyDescent="0.3">
      <c r="A149" s="5" t="s">
        <v>135</v>
      </c>
      <c r="B149" s="5" t="s">
        <v>34</v>
      </c>
      <c r="C149" s="5" t="s">
        <v>75</v>
      </c>
      <c r="D149" s="5" t="s">
        <v>82</v>
      </c>
      <c r="E149" s="5">
        <v>5</v>
      </c>
      <c r="F149" s="5">
        <v>3910.75</v>
      </c>
      <c r="G149" s="5">
        <v>4379.92</v>
      </c>
    </row>
    <row r="150" spans="1:7" ht="15" customHeight="1" x14ac:dyDescent="0.3">
      <c r="A150" s="5" t="s">
        <v>135</v>
      </c>
      <c r="B150" s="5" t="s">
        <v>22</v>
      </c>
      <c r="C150" s="5" t="s">
        <v>78</v>
      </c>
      <c r="D150" s="5" t="s">
        <v>86</v>
      </c>
      <c r="E150" s="5">
        <v>2</v>
      </c>
      <c r="F150" s="5">
        <v>667.43</v>
      </c>
      <c r="G150" s="5">
        <v>629.21</v>
      </c>
    </row>
    <row r="151" spans="1:7" ht="15" customHeight="1" x14ac:dyDescent="0.3">
      <c r="A151" s="5" t="s">
        <v>136</v>
      </c>
      <c r="B151" s="5" t="s">
        <v>8</v>
      </c>
      <c r="C151" s="5" t="s">
        <v>83</v>
      </c>
      <c r="D151" s="5" t="s">
        <v>69</v>
      </c>
      <c r="E151" s="5">
        <v>12</v>
      </c>
      <c r="F151" s="5">
        <v>4622.33</v>
      </c>
      <c r="G151" s="5">
        <v>3690.4</v>
      </c>
    </row>
    <row r="152" spans="1:7" ht="15" customHeight="1" x14ac:dyDescent="0.3">
      <c r="A152" s="5" t="s">
        <v>136</v>
      </c>
      <c r="B152" s="5" t="s">
        <v>11</v>
      </c>
      <c r="C152" s="5" t="s">
        <v>15</v>
      </c>
      <c r="D152" s="5" t="s">
        <v>51</v>
      </c>
      <c r="E152" s="5">
        <v>2</v>
      </c>
      <c r="F152" s="5">
        <v>1623.33</v>
      </c>
      <c r="G152" s="5">
        <v>1808.29</v>
      </c>
    </row>
    <row r="153" spans="1:7" ht="15" customHeight="1" x14ac:dyDescent="0.3">
      <c r="A153" s="5" t="s">
        <v>136</v>
      </c>
      <c r="B153" s="5" t="s">
        <v>8</v>
      </c>
      <c r="C153" s="5" t="s">
        <v>90</v>
      </c>
      <c r="D153" s="5" t="s">
        <v>13</v>
      </c>
      <c r="E153" s="5">
        <v>8</v>
      </c>
      <c r="F153" s="5">
        <v>4790.3100000000004</v>
      </c>
      <c r="G153" s="5">
        <v>4885.83</v>
      </c>
    </row>
    <row r="154" spans="1:7" ht="15" customHeight="1" x14ac:dyDescent="0.3">
      <c r="A154" s="5" t="s">
        <v>136</v>
      </c>
      <c r="B154" s="5" t="s">
        <v>42</v>
      </c>
      <c r="C154" s="5" t="s">
        <v>111</v>
      </c>
      <c r="D154" s="5" t="s">
        <v>99</v>
      </c>
      <c r="E154" s="5">
        <v>7</v>
      </c>
      <c r="F154" s="5">
        <v>517.24</v>
      </c>
      <c r="G154" s="5">
        <v>524.95000000000005</v>
      </c>
    </row>
    <row r="155" spans="1:7" ht="15" customHeight="1" x14ac:dyDescent="0.3">
      <c r="A155" s="5" t="s">
        <v>137</v>
      </c>
      <c r="B155" s="5" t="s">
        <v>53</v>
      </c>
      <c r="C155" s="5" t="s">
        <v>93</v>
      </c>
      <c r="D155" s="5" t="s">
        <v>103</v>
      </c>
      <c r="E155" s="5">
        <v>4</v>
      </c>
      <c r="F155" s="5">
        <v>3408.38</v>
      </c>
      <c r="G155" s="5">
        <v>2846.46</v>
      </c>
    </row>
    <row r="156" spans="1:7" ht="15" customHeight="1" x14ac:dyDescent="0.3">
      <c r="A156" s="5" t="s">
        <v>137</v>
      </c>
      <c r="B156" s="5" t="s">
        <v>53</v>
      </c>
      <c r="C156" s="5" t="s">
        <v>94</v>
      </c>
      <c r="D156" s="5" t="s">
        <v>16</v>
      </c>
      <c r="E156" s="5">
        <v>8</v>
      </c>
      <c r="F156" s="5">
        <v>2969.37</v>
      </c>
      <c r="G156" s="5">
        <v>3111.45</v>
      </c>
    </row>
    <row r="157" spans="1:7" ht="15" customHeight="1" x14ac:dyDescent="0.3">
      <c r="A157" s="5" t="s">
        <v>137</v>
      </c>
      <c r="B157" s="5" t="s">
        <v>34</v>
      </c>
      <c r="C157" s="5" t="s">
        <v>35</v>
      </c>
      <c r="D157" s="5" t="s">
        <v>86</v>
      </c>
      <c r="E157" s="5">
        <v>5</v>
      </c>
      <c r="F157" s="5">
        <v>1714.91</v>
      </c>
      <c r="G157" s="5">
        <v>1346.91</v>
      </c>
    </row>
    <row r="158" spans="1:7" ht="15" customHeight="1" x14ac:dyDescent="0.3">
      <c r="A158" s="5" t="s">
        <v>138</v>
      </c>
      <c r="B158" s="5" t="s">
        <v>11</v>
      </c>
      <c r="C158" s="5" t="s">
        <v>76</v>
      </c>
      <c r="D158" s="5" t="s">
        <v>26</v>
      </c>
      <c r="E158" s="5">
        <v>4</v>
      </c>
      <c r="F158" s="5">
        <v>846.27</v>
      </c>
      <c r="G158" s="5">
        <v>897.97</v>
      </c>
    </row>
    <row r="159" spans="1:7" ht="15" customHeight="1" x14ac:dyDescent="0.3">
      <c r="A159" s="5" t="s">
        <v>138</v>
      </c>
      <c r="B159" s="5" t="s">
        <v>53</v>
      </c>
      <c r="C159" s="5" t="s">
        <v>58</v>
      </c>
      <c r="D159" s="5" t="s">
        <v>103</v>
      </c>
      <c r="E159" s="5">
        <v>6</v>
      </c>
      <c r="F159" s="5">
        <v>4674.78</v>
      </c>
      <c r="G159" s="5">
        <v>4553.63</v>
      </c>
    </row>
    <row r="160" spans="1:7" ht="15" customHeight="1" x14ac:dyDescent="0.3">
      <c r="A160" s="5" t="s">
        <v>138</v>
      </c>
      <c r="B160" s="5" t="s">
        <v>34</v>
      </c>
      <c r="C160" s="5" t="s">
        <v>35</v>
      </c>
      <c r="D160" s="5" t="s">
        <v>82</v>
      </c>
      <c r="E160" s="5">
        <v>10</v>
      </c>
      <c r="F160" s="5">
        <v>7633.63</v>
      </c>
      <c r="G160" s="5">
        <v>8421.36</v>
      </c>
    </row>
    <row r="161" spans="1:7" ht="15" customHeight="1" x14ac:dyDescent="0.3">
      <c r="A161" s="5" t="s">
        <v>138</v>
      </c>
      <c r="B161" s="5" t="s">
        <v>22</v>
      </c>
      <c r="C161" s="5" t="s">
        <v>25</v>
      </c>
      <c r="D161" s="5" t="s">
        <v>20</v>
      </c>
      <c r="E161" s="5">
        <v>7</v>
      </c>
      <c r="F161" s="5">
        <v>3100.74</v>
      </c>
      <c r="G161" s="5">
        <v>3087.6</v>
      </c>
    </row>
    <row r="162" spans="1:7" ht="15" customHeight="1" x14ac:dyDescent="0.3">
      <c r="A162" s="5" t="s">
        <v>139</v>
      </c>
      <c r="B162" s="5" t="s">
        <v>17</v>
      </c>
      <c r="C162" s="5" t="s">
        <v>18</v>
      </c>
      <c r="D162" s="5" t="s">
        <v>44</v>
      </c>
      <c r="E162" s="5">
        <v>4</v>
      </c>
      <c r="F162" s="5">
        <v>1112.99</v>
      </c>
      <c r="G162" s="5">
        <v>931.35</v>
      </c>
    </row>
    <row r="163" spans="1:7" ht="15" customHeight="1" x14ac:dyDescent="0.3">
      <c r="A163" s="5" t="s">
        <v>139</v>
      </c>
      <c r="B163" s="5" t="s">
        <v>28</v>
      </c>
      <c r="C163" s="5" t="s">
        <v>29</v>
      </c>
      <c r="D163" s="5" t="s">
        <v>113</v>
      </c>
      <c r="E163" s="5">
        <v>4</v>
      </c>
      <c r="F163" s="5">
        <v>1388.72</v>
      </c>
      <c r="G163" s="5">
        <v>1201.6400000000001</v>
      </c>
    </row>
    <row r="164" spans="1:7" ht="15" customHeight="1" x14ac:dyDescent="0.3">
      <c r="A164" s="5" t="s">
        <v>139</v>
      </c>
      <c r="B164" s="5" t="s">
        <v>11</v>
      </c>
      <c r="C164" s="5" t="s">
        <v>76</v>
      </c>
      <c r="D164" s="5" t="s">
        <v>44</v>
      </c>
      <c r="E164" s="5">
        <v>5</v>
      </c>
      <c r="F164" s="5">
        <v>1255.96</v>
      </c>
      <c r="G164" s="5">
        <v>1251.51</v>
      </c>
    </row>
    <row r="165" spans="1:7" ht="15" customHeight="1" x14ac:dyDescent="0.3">
      <c r="A165" s="5" t="s">
        <v>140</v>
      </c>
      <c r="B165" s="5" t="s">
        <v>28</v>
      </c>
      <c r="C165" s="5" t="s">
        <v>66</v>
      </c>
      <c r="D165" s="5" t="s">
        <v>96</v>
      </c>
      <c r="E165" s="5">
        <v>3</v>
      </c>
      <c r="F165" s="5">
        <v>4241.95</v>
      </c>
      <c r="G165" s="5">
        <v>3943.24</v>
      </c>
    </row>
    <row r="166" spans="1:7" ht="15" customHeight="1" x14ac:dyDescent="0.3">
      <c r="A166" s="5" t="s">
        <v>140</v>
      </c>
      <c r="B166" s="5" t="s">
        <v>17</v>
      </c>
      <c r="C166" s="5" t="s">
        <v>68</v>
      </c>
      <c r="D166" s="5" t="s">
        <v>82</v>
      </c>
      <c r="E166" s="5">
        <v>8</v>
      </c>
      <c r="F166" s="5">
        <v>6017.77</v>
      </c>
      <c r="G166" s="5">
        <v>7141.79</v>
      </c>
    </row>
    <row r="167" spans="1:7" ht="15" customHeight="1" x14ac:dyDescent="0.3">
      <c r="A167" s="5" t="s">
        <v>141</v>
      </c>
      <c r="B167" s="5" t="s">
        <v>28</v>
      </c>
      <c r="C167" s="5" t="s">
        <v>66</v>
      </c>
      <c r="D167" s="5" t="s">
        <v>51</v>
      </c>
      <c r="E167" s="5">
        <v>2</v>
      </c>
      <c r="F167" s="5">
        <v>1604.22</v>
      </c>
      <c r="G167" s="5">
        <v>1731.72</v>
      </c>
    </row>
    <row r="168" spans="1:7" ht="15" customHeight="1" x14ac:dyDescent="0.3">
      <c r="A168" s="5" t="s">
        <v>142</v>
      </c>
      <c r="B168" s="5" t="s">
        <v>8</v>
      </c>
      <c r="C168" s="5" t="s">
        <v>107</v>
      </c>
      <c r="D168" s="5" t="s">
        <v>65</v>
      </c>
      <c r="E168" s="5">
        <v>2</v>
      </c>
      <c r="F168" s="5">
        <v>3241.54</v>
      </c>
      <c r="G168" s="5">
        <v>3370.63</v>
      </c>
    </row>
    <row r="169" spans="1:7" ht="15" customHeight="1" x14ac:dyDescent="0.3">
      <c r="A169" s="5" t="s">
        <v>142</v>
      </c>
      <c r="B169" s="5" t="s">
        <v>11</v>
      </c>
      <c r="C169" s="5" t="s">
        <v>15</v>
      </c>
      <c r="D169" s="5" t="s">
        <v>86</v>
      </c>
      <c r="E169" s="5">
        <v>3</v>
      </c>
      <c r="F169" s="5">
        <v>989.84</v>
      </c>
      <c r="G169" s="5">
        <v>839.96</v>
      </c>
    </row>
    <row r="170" spans="1:7" ht="15" customHeight="1" x14ac:dyDescent="0.3">
      <c r="A170" s="5" t="s">
        <v>142</v>
      </c>
      <c r="B170" s="5" t="s">
        <v>53</v>
      </c>
      <c r="C170" s="5" t="s">
        <v>94</v>
      </c>
      <c r="D170" s="5" t="s">
        <v>36</v>
      </c>
      <c r="E170" s="5">
        <v>6</v>
      </c>
      <c r="F170" s="5">
        <v>4349.99</v>
      </c>
      <c r="G170" s="5">
        <v>4629.84</v>
      </c>
    </row>
    <row r="171" spans="1:7" ht="15" customHeight="1" x14ac:dyDescent="0.3">
      <c r="A171" s="5" t="s">
        <v>142</v>
      </c>
      <c r="B171" s="5" t="s">
        <v>11</v>
      </c>
      <c r="C171" s="5" t="s">
        <v>15</v>
      </c>
      <c r="D171" s="5" t="s">
        <v>55</v>
      </c>
      <c r="E171" s="5">
        <v>9</v>
      </c>
      <c r="F171" s="5">
        <v>3176.47</v>
      </c>
      <c r="G171" s="5">
        <v>2737.96</v>
      </c>
    </row>
    <row r="172" spans="1:7" ht="15" customHeight="1" x14ac:dyDescent="0.3">
      <c r="A172" s="5" t="s">
        <v>142</v>
      </c>
      <c r="B172" s="5" t="s">
        <v>11</v>
      </c>
      <c r="C172" s="5" t="s">
        <v>12</v>
      </c>
      <c r="D172" s="5" t="s">
        <v>13</v>
      </c>
      <c r="E172" s="5">
        <v>3</v>
      </c>
      <c r="F172" s="5">
        <v>1952.99</v>
      </c>
      <c r="G172" s="5">
        <v>1627.5</v>
      </c>
    </row>
    <row r="173" spans="1:7" ht="15" customHeight="1" x14ac:dyDescent="0.3">
      <c r="A173" s="5" t="s">
        <v>143</v>
      </c>
      <c r="B173" s="5" t="s">
        <v>8</v>
      </c>
      <c r="C173" s="5" t="s">
        <v>102</v>
      </c>
      <c r="D173" s="5" t="s">
        <v>20</v>
      </c>
      <c r="E173" s="5">
        <v>12</v>
      </c>
      <c r="F173" s="5">
        <v>5104.8900000000003</v>
      </c>
      <c r="G173" s="5">
        <v>5978.54</v>
      </c>
    </row>
    <row r="174" spans="1:7" ht="15" customHeight="1" x14ac:dyDescent="0.3">
      <c r="A174" s="5" t="s">
        <v>143</v>
      </c>
      <c r="B174" s="5" t="s">
        <v>8</v>
      </c>
      <c r="C174" s="5" t="s">
        <v>9</v>
      </c>
      <c r="D174" s="5" t="s">
        <v>30</v>
      </c>
      <c r="E174" s="5">
        <v>12</v>
      </c>
      <c r="F174" s="5">
        <v>6193.2</v>
      </c>
      <c r="G174" s="5">
        <v>5316.81</v>
      </c>
    </row>
    <row r="175" spans="1:7" ht="15" customHeight="1" x14ac:dyDescent="0.3">
      <c r="A175" s="5" t="s">
        <v>143</v>
      </c>
      <c r="B175" s="5" t="s">
        <v>22</v>
      </c>
      <c r="C175" s="5" t="s">
        <v>100</v>
      </c>
      <c r="D175" s="5" t="s">
        <v>51</v>
      </c>
      <c r="E175" s="5">
        <v>12</v>
      </c>
      <c r="F175" s="5">
        <v>10431.530000000001</v>
      </c>
      <c r="G175" s="5">
        <v>11175.37</v>
      </c>
    </row>
    <row r="176" spans="1:7" ht="15" customHeight="1" x14ac:dyDescent="0.3">
      <c r="A176" s="5" t="s">
        <v>143</v>
      </c>
      <c r="B176" s="5" t="s">
        <v>28</v>
      </c>
      <c r="C176" s="5" t="s">
        <v>66</v>
      </c>
      <c r="D176" s="5" t="s">
        <v>36</v>
      </c>
      <c r="E176" s="5">
        <v>4</v>
      </c>
      <c r="F176" s="5">
        <v>3159.41</v>
      </c>
      <c r="G176" s="5">
        <v>2561.0500000000002</v>
      </c>
    </row>
    <row r="177" spans="1:7" ht="15" customHeight="1" x14ac:dyDescent="0.3">
      <c r="A177" s="5" t="s">
        <v>144</v>
      </c>
      <c r="B177" s="5" t="s">
        <v>53</v>
      </c>
      <c r="C177" s="5" t="s">
        <v>58</v>
      </c>
      <c r="D177" s="5" t="s">
        <v>26</v>
      </c>
      <c r="E177" s="5">
        <v>7</v>
      </c>
      <c r="F177" s="5">
        <v>1427.76</v>
      </c>
      <c r="G177" s="5">
        <v>1543.25</v>
      </c>
    </row>
    <row r="178" spans="1:7" ht="15" customHeight="1" x14ac:dyDescent="0.3">
      <c r="A178" s="5" t="s">
        <v>144</v>
      </c>
      <c r="B178" s="5" t="s">
        <v>11</v>
      </c>
      <c r="C178" s="5" t="s">
        <v>60</v>
      </c>
      <c r="D178" s="5" t="s">
        <v>36</v>
      </c>
      <c r="E178" s="5">
        <v>3</v>
      </c>
      <c r="F178" s="5">
        <v>2227.8000000000002</v>
      </c>
      <c r="G178" s="5">
        <v>2271.39</v>
      </c>
    </row>
    <row r="179" spans="1:7" ht="15" customHeight="1" x14ac:dyDescent="0.3">
      <c r="A179" s="5" t="s">
        <v>144</v>
      </c>
      <c r="B179" s="5" t="s">
        <v>11</v>
      </c>
      <c r="C179" s="5" t="s">
        <v>60</v>
      </c>
      <c r="D179" s="5" t="s">
        <v>51</v>
      </c>
      <c r="E179" s="5">
        <v>7</v>
      </c>
      <c r="F179" s="5">
        <v>5522.76</v>
      </c>
      <c r="G179" s="5">
        <v>5775.86</v>
      </c>
    </row>
    <row r="180" spans="1:7" ht="15" customHeight="1" x14ac:dyDescent="0.3">
      <c r="A180" s="5" t="s">
        <v>145</v>
      </c>
      <c r="B180" s="5" t="s">
        <v>28</v>
      </c>
      <c r="C180" s="5" t="s">
        <v>29</v>
      </c>
      <c r="D180" s="5" t="s">
        <v>55</v>
      </c>
      <c r="E180" s="5">
        <v>10</v>
      </c>
      <c r="F180" s="5">
        <v>3605.29</v>
      </c>
      <c r="G180" s="5">
        <v>3222.74</v>
      </c>
    </row>
    <row r="181" spans="1:7" ht="15" customHeight="1" x14ac:dyDescent="0.3">
      <c r="A181" s="5" t="s">
        <v>145</v>
      </c>
      <c r="B181" s="5" t="s">
        <v>22</v>
      </c>
      <c r="C181" s="5" t="s">
        <v>123</v>
      </c>
      <c r="D181" s="5" t="s">
        <v>69</v>
      </c>
      <c r="E181" s="5">
        <v>10</v>
      </c>
      <c r="F181" s="5">
        <v>3766.24</v>
      </c>
      <c r="G181" s="5">
        <v>3443.08</v>
      </c>
    </row>
    <row r="182" spans="1:7" ht="15" customHeight="1" x14ac:dyDescent="0.3">
      <c r="A182" s="5" t="s">
        <v>145</v>
      </c>
      <c r="B182" s="5" t="s">
        <v>22</v>
      </c>
      <c r="C182" s="5" t="s">
        <v>123</v>
      </c>
      <c r="D182" s="5" t="s">
        <v>13</v>
      </c>
      <c r="E182" s="5">
        <v>3</v>
      </c>
      <c r="F182" s="5">
        <v>1968.87</v>
      </c>
      <c r="G182" s="5">
        <v>1925.97</v>
      </c>
    </row>
    <row r="183" spans="1:7" ht="15" customHeight="1" x14ac:dyDescent="0.3">
      <c r="A183" s="5" t="s">
        <v>145</v>
      </c>
      <c r="B183" s="5" t="s">
        <v>28</v>
      </c>
      <c r="C183" s="5" t="s">
        <v>66</v>
      </c>
      <c r="D183" s="5" t="s">
        <v>86</v>
      </c>
      <c r="E183" s="5">
        <v>10</v>
      </c>
      <c r="F183" s="5">
        <v>3364.53</v>
      </c>
      <c r="G183" s="5">
        <v>3465.45</v>
      </c>
    </row>
    <row r="184" spans="1:7" ht="15" customHeight="1" x14ac:dyDescent="0.3">
      <c r="A184" s="5" t="s">
        <v>146</v>
      </c>
      <c r="B184" s="5" t="s">
        <v>53</v>
      </c>
      <c r="C184" s="5" t="s">
        <v>94</v>
      </c>
      <c r="D184" s="5" t="s">
        <v>39</v>
      </c>
      <c r="E184" s="5">
        <v>1</v>
      </c>
      <c r="F184" s="5">
        <v>182.91</v>
      </c>
      <c r="G184" s="5">
        <v>174.81</v>
      </c>
    </row>
    <row r="185" spans="1:7" ht="15" customHeight="1" x14ac:dyDescent="0.3">
      <c r="A185" s="5" t="s">
        <v>146</v>
      </c>
      <c r="B185" s="5" t="s">
        <v>42</v>
      </c>
      <c r="C185" s="5" t="s">
        <v>111</v>
      </c>
      <c r="D185" s="5" t="s">
        <v>51</v>
      </c>
      <c r="E185" s="5">
        <v>5</v>
      </c>
      <c r="F185" s="5">
        <v>4348.3100000000004</v>
      </c>
      <c r="G185" s="5">
        <v>4464.8500000000004</v>
      </c>
    </row>
    <row r="186" spans="1:7" ht="15" customHeight="1" x14ac:dyDescent="0.3">
      <c r="A186" s="5" t="s">
        <v>146</v>
      </c>
      <c r="B186" s="5" t="s">
        <v>11</v>
      </c>
      <c r="C186" s="5" t="s">
        <v>76</v>
      </c>
      <c r="D186" s="5" t="s">
        <v>30</v>
      </c>
      <c r="E186" s="5">
        <v>12</v>
      </c>
      <c r="F186" s="5">
        <v>5490.49</v>
      </c>
      <c r="G186" s="5">
        <v>6332.38</v>
      </c>
    </row>
    <row r="187" spans="1:7" ht="15" customHeight="1" x14ac:dyDescent="0.3">
      <c r="A187" s="5" t="s">
        <v>147</v>
      </c>
      <c r="B187" s="5" t="s">
        <v>34</v>
      </c>
      <c r="C187" s="5" t="s">
        <v>79</v>
      </c>
      <c r="D187" s="5" t="s">
        <v>82</v>
      </c>
      <c r="E187" s="5">
        <v>5</v>
      </c>
      <c r="F187" s="5">
        <v>3956.61</v>
      </c>
      <c r="G187" s="5">
        <v>4470.16</v>
      </c>
    </row>
    <row r="188" spans="1:7" ht="15" customHeight="1" x14ac:dyDescent="0.3">
      <c r="A188" s="5" t="s">
        <v>147</v>
      </c>
      <c r="B188" s="5" t="s">
        <v>42</v>
      </c>
      <c r="C188" s="5" t="s">
        <v>43</v>
      </c>
      <c r="D188" s="5" t="s">
        <v>39</v>
      </c>
      <c r="E188" s="5">
        <v>4</v>
      </c>
      <c r="F188" s="5">
        <v>844.65</v>
      </c>
      <c r="G188" s="5">
        <v>818.64</v>
      </c>
    </row>
    <row r="189" spans="1:7" ht="15" customHeight="1" x14ac:dyDescent="0.3">
      <c r="A189" s="5" t="s">
        <v>148</v>
      </c>
      <c r="B189" s="5" t="s">
        <v>8</v>
      </c>
      <c r="C189" s="5" t="s">
        <v>102</v>
      </c>
      <c r="D189" s="5" t="s">
        <v>86</v>
      </c>
      <c r="E189" s="5">
        <v>8</v>
      </c>
      <c r="F189" s="5">
        <v>2511.66</v>
      </c>
      <c r="G189" s="5">
        <v>2475.3200000000002</v>
      </c>
    </row>
    <row r="190" spans="1:7" ht="15" customHeight="1" x14ac:dyDescent="0.3">
      <c r="A190" s="5" t="s">
        <v>148</v>
      </c>
      <c r="B190" s="5" t="s">
        <v>34</v>
      </c>
      <c r="C190" s="5" t="s">
        <v>35</v>
      </c>
      <c r="D190" s="5" t="s">
        <v>24</v>
      </c>
      <c r="E190" s="5">
        <v>8</v>
      </c>
      <c r="F190" s="5">
        <v>4295.83</v>
      </c>
      <c r="G190" s="5">
        <v>4103.71</v>
      </c>
    </row>
    <row r="191" spans="1:7" ht="15" customHeight="1" x14ac:dyDescent="0.3">
      <c r="A191" s="5" t="s">
        <v>149</v>
      </c>
      <c r="B191" s="5" t="s">
        <v>17</v>
      </c>
      <c r="C191" s="5" t="s">
        <v>19</v>
      </c>
      <c r="D191" s="5" t="s">
        <v>80</v>
      </c>
      <c r="E191" s="5">
        <v>7</v>
      </c>
      <c r="F191" s="5">
        <v>4401.8</v>
      </c>
      <c r="G191" s="5">
        <v>4861.8900000000003</v>
      </c>
    </row>
    <row r="192" spans="1:7" ht="15" customHeight="1" x14ac:dyDescent="0.3">
      <c r="A192" s="5" t="s">
        <v>149</v>
      </c>
      <c r="B192" s="5" t="s">
        <v>22</v>
      </c>
      <c r="C192" s="5" t="s">
        <v>38</v>
      </c>
      <c r="D192" s="5" t="s">
        <v>97</v>
      </c>
      <c r="E192" s="5">
        <v>1</v>
      </c>
      <c r="F192" s="5">
        <v>857.45</v>
      </c>
      <c r="G192" s="5">
        <v>933.76</v>
      </c>
    </row>
    <row r="193" spans="1:7" ht="15" customHeight="1" x14ac:dyDescent="0.3">
      <c r="A193" s="5" t="s">
        <v>149</v>
      </c>
      <c r="B193" s="5" t="s">
        <v>11</v>
      </c>
      <c r="C193" s="5" t="s">
        <v>60</v>
      </c>
      <c r="D193" s="5" t="s">
        <v>56</v>
      </c>
      <c r="E193" s="5">
        <v>1</v>
      </c>
      <c r="F193" s="5">
        <v>535.11</v>
      </c>
      <c r="G193" s="5">
        <v>477.93</v>
      </c>
    </row>
    <row r="194" spans="1:7" ht="15" customHeight="1" x14ac:dyDescent="0.3">
      <c r="A194" s="5" t="s">
        <v>150</v>
      </c>
      <c r="B194" s="5" t="s">
        <v>34</v>
      </c>
      <c r="C194" s="5" t="s">
        <v>35</v>
      </c>
      <c r="D194" s="5" t="s">
        <v>16</v>
      </c>
      <c r="E194" s="5">
        <v>1</v>
      </c>
      <c r="F194" s="5">
        <v>371.7</v>
      </c>
      <c r="G194" s="5">
        <v>375.61</v>
      </c>
    </row>
    <row r="195" spans="1:7" ht="15" customHeight="1" x14ac:dyDescent="0.3">
      <c r="A195" s="5" t="s">
        <v>150</v>
      </c>
      <c r="B195" s="5" t="s">
        <v>53</v>
      </c>
      <c r="C195" s="5" t="s">
        <v>58</v>
      </c>
      <c r="D195" s="5" t="s">
        <v>113</v>
      </c>
      <c r="E195" s="5">
        <v>3</v>
      </c>
      <c r="F195" s="5">
        <v>959.74</v>
      </c>
      <c r="G195" s="5">
        <v>1155.53</v>
      </c>
    </row>
    <row r="196" spans="1:7" ht="15" customHeight="1" x14ac:dyDescent="0.3">
      <c r="A196" s="5" t="s">
        <v>151</v>
      </c>
      <c r="B196" s="5" t="s">
        <v>22</v>
      </c>
      <c r="C196" s="5" t="s">
        <v>78</v>
      </c>
      <c r="D196" s="5" t="s">
        <v>82</v>
      </c>
      <c r="E196" s="5">
        <v>12</v>
      </c>
      <c r="F196" s="5">
        <v>9940.0400000000009</v>
      </c>
      <c r="G196" s="5">
        <v>10432.49</v>
      </c>
    </row>
    <row r="197" spans="1:7" ht="15" customHeight="1" x14ac:dyDescent="0.3">
      <c r="A197" s="5" t="s">
        <v>151</v>
      </c>
      <c r="B197" s="5" t="s">
        <v>11</v>
      </c>
      <c r="C197" s="5" t="s">
        <v>12</v>
      </c>
      <c r="D197" s="5" t="s">
        <v>48</v>
      </c>
      <c r="E197" s="5">
        <v>11</v>
      </c>
      <c r="F197" s="5">
        <v>2569.9899999999998</v>
      </c>
      <c r="G197" s="5">
        <v>2766.81</v>
      </c>
    </row>
    <row r="198" spans="1:7" ht="15" customHeight="1" x14ac:dyDescent="0.3">
      <c r="A198" s="5" t="s">
        <v>152</v>
      </c>
      <c r="B198" s="5" t="s">
        <v>34</v>
      </c>
      <c r="C198" s="5" t="s">
        <v>79</v>
      </c>
      <c r="D198" s="5" t="s">
        <v>80</v>
      </c>
      <c r="E198" s="5">
        <v>8</v>
      </c>
      <c r="F198" s="5">
        <v>5003.01</v>
      </c>
      <c r="G198" s="5">
        <v>5892.95</v>
      </c>
    </row>
    <row r="199" spans="1:7" ht="15" customHeight="1" x14ac:dyDescent="0.3">
      <c r="A199" s="5" t="s">
        <v>152</v>
      </c>
      <c r="B199" s="5" t="s">
        <v>22</v>
      </c>
      <c r="C199" s="5" t="s">
        <v>38</v>
      </c>
      <c r="D199" s="5" t="s">
        <v>61</v>
      </c>
      <c r="E199" s="5">
        <v>1</v>
      </c>
      <c r="F199" s="5">
        <v>840.04</v>
      </c>
      <c r="G199" s="5">
        <v>789.28</v>
      </c>
    </row>
    <row r="200" spans="1:7" ht="15" customHeight="1" x14ac:dyDescent="0.3">
      <c r="A200" s="5" t="s">
        <v>152</v>
      </c>
      <c r="B200" s="5" t="s">
        <v>22</v>
      </c>
      <c r="C200" s="5" t="s">
        <v>78</v>
      </c>
      <c r="D200" s="5" t="s">
        <v>113</v>
      </c>
      <c r="E200" s="5">
        <v>2</v>
      </c>
      <c r="F200" s="5">
        <v>674.41</v>
      </c>
      <c r="G200" s="5">
        <v>632.49</v>
      </c>
    </row>
    <row r="201" spans="1:7" ht="15" customHeight="1" x14ac:dyDescent="0.3">
      <c r="A201" s="5" t="s">
        <v>152</v>
      </c>
      <c r="B201" s="5" t="s">
        <v>34</v>
      </c>
      <c r="C201" s="5" t="s">
        <v>75</v>
      </c>
      <c r="D201" s="5" t="s">
        <v>82</v>
      </c>
      <c r="E201" s="5">
        <v>5</v>
      </c>
      <c r="F201" s="5">
        <v>4534.1000000000004</v>
      </c>
      <c r="G201" s="5">
        <v>3587.9</v>
      </c>
    </row>
    <row r="202" spans="1:7" ht="15" customHeight="1" x14ac:dyDescent="0.3">
      <c r="A202" s="5" t="s">
        <v>153</v>
      </c>
      <c r="B202" s="5" t="s">
        <v>17</v>
      </c>
      <c r="C202" s="5" t="s">
        <v>18</v>
      </c>
      <c r="D202" s="5" t="s">
        <v>26</v>
      </c>
      <c r="E202" s="5">
        <v>10</v>
      </c>
      <c r="F202" s="5">
        <v>2066</v>
      </c>
      <c r="G202" s="5">
        <v>2437.67</v>
      </c>
    </row>
    <row r="203" spans="1:7" ht="15" customHeight="1" x14ac:dyDescent="0.3">
      <c r="A203" s="5" t="s">
        <v>153</v>
      </c>
      <c r="B203" s="5" t="s">
        <v>53</v>
      </c>
      <c r="C203" s="5" t="s">
        <v>54</v>
      </c>
      <c r="D203" s="5" t="s">
        <v>91</v>
      </c>
      <c r="E203" s="5">
        <v>10</v>
      </c>
      <c r="F203" s="5">
        <v>3336.95</v>
      </c>
      <c r="G203" s="5">
        <v>3248.91</v>
      </c>
    </row>
    <row r="204" spans="1:7" ht="15" customHeight="1" x14ac:dyDescent="0.3">
      <c r="A204" s="5" t="s">
        <v>153</v>
      </c>
      <c r="B204" s="5" t="s">
        <v>11</v>
      </c>
      <c r="C204" s="5" t="s">
        <v>76</v>
      </c>
      <c r="D204" s="5" t="s">
        <v>65</v>
      </c>
      <c r="E204" s="5">
        <v>10</v>
      </c>
      <c r="F204" s="5">
        <v>14718.62</v>
      </c>
      <c r="G204" s="5">
        <v>14090.48</v>
      </c>
    </row>
    <row r="205" spans="1:7" ht="15" customHeight="1" x14ac:dyDescent="0.3">
      <c r="A205" s="5" t="s">
        <v>153</v>
      </c>
      <c r="B205" s="5" t="s">
        <v>53</v>
      </c>
      <c r="C205" s="5" t="s">
        <v>54</v>
      </c>
      <c r="D205" s="5" t="s">
        <v>48</v>
      </c>
      <c r="E205" s="5">
        <v>11</v>
      </c>
      <c r="F205" s="5">
        <v>2332.6</v>
      </c>
      <c r="G205" s="5">
        <v>2681.88</v>
      </c>
    </row>
    <row r="206" spans="1:7" ht="15" customHeight="1" x14ac:dyDescent="0.3">
      <c r="A206" s="5" t="s">
        <v>153</v>
      </c>
      <c r="B206" s="5" t="s">
        <v>8</v>
      </c>
      <c r="C206" s="5" t="s">
        <v>41</v>
      </c>
      <c r="D206" s="5" t="s">
        <v>65</v>
      </c>
      <c r="E206" s="5">
        <v>8</v>
      </c>
      <c r="F206" s="5">
        <v>10801.49</v>
      </c>
      <c r="G206" s="5">
        <v>11086.54</v>
      </c>
    </row>
    <row r="207" spans="1:7" ht="15" customHeight="1" x14ac:dyDescent="0.3">
      <c r="A207" s="5" t="s">
        <v>154</v>
      </c>
      <c r="B207" s="5" t="s">
        <v>22</v>
      </c>
      <c r="C207" s="5" t="s">
        <v>100</v>
      </c>
      <c r="D207" s="5" t="s">
        <v>55</v>
      </c>
      <c r="E207" s="5">
        <v>3</v>
      </c>
      <c r="F207" s="5">
        <v>972.99</v>
      </c>
      <c r="G207" s="5">
        <v>920.12</v>
      </c>
    </row>
    <row r="208" spans="1:7" ht="15" customHeight="1" x14ac:dyDescent="0.3">
      <c r="A208" s="5" t="s">
        <v>154</v>
      </c>
      <c r="B208" s="5" t="s">
        <v>22</v>
      </c>
      <c r="C208" s="5" t="s">
        <v>25</v>
      </c>
      <c r="D208" s="5" t="s">
        <v>44</v>
      </c>
      <c r="E208" s="5">
        <v>10</v>
      </c>
      <c r="F208" s="5">
        <v>2467.81</v>
      </c>
      <c r="G208" s="5">
        <v>2600.9899999999998</v>
      </c>
    </row>
    <row r="209" spans="1:7" ht="15" customHeight="1" x14ac:dyDescent="0.3">
      <c r="A209" s="5" t="s">
        <v>155</v>
      </c>
      <c r="B209" s="5" t="s">
        <v>42</v>
      </c>
      <c r="C209" s="5" t="s">
        <v>111</v>
      </c>
      <c r="D209" s="5" t="s">
        <v>96</v>
      </c>
      <c r="E209" s="5">
        <v>11</v>
      </c>
      <c r="F209" s="5">
        <v>15809.98</v>
      </c>
      <c r="G209" s="5">
        <v>17892.14</v>
      </c>
    </row>
    <row r="210" spans="1:7" ht="15" customHeight="1" x14ac:dyDescent="0.3">
      <c r="A210" s="5" t="s">
        <v>156</v>
      </c>
      <c r="B210" s="5" t="s">
        <v>22</v>
      </c>
      <c r="C210" s="5" t="s">
        <v>100</v>
      </c>
      <c r="D210" s="5" t="s">
        <v>103</v>
      </c>
      <c r="E210" s="5">
        <v>9</v>
      </c>
      <c r="F210" s="5">
        <v>7681.89</v>
      </c>
      <c r="G210" s="5">
        <v>6793.51</v>
      </c>
    </row>
    <row r="211" spans="1:7" ht="15" customHeight="1" x14ac:dyDescent="0.3">
      <c r="A211" s="5" t="s">
        <v>157</v>
      </c>
      <c r="B211" s="5" t="s">
        <v>28</v>
      </c>
      <c r="C211" s="5" t="s">
        <v>66</v>
      </c>
      <c r="D211" s="5" t="s">
        <v>80</v>
      </c>
      <c r="E211" s="5">
        <v>10</v>
      </c>
      <c r="F211" s="5">
        <v>6707.59</v>
      </c>
      <c r="G211" s="5">
        <v>6167.45</v>
      </c>
    </row>
    <row r="212" spans="1:7" ht="15" customHeight="1" x14ac:dyDescent="0.3">
      <c r="A212" s="5" t="s">
        <v>157</v>
      </c>
      <c r="B212" s="5" t="s">
        <v>53</v>
      </c>
      <c r="C212" s="5" t="s">
        <v>93</v>
      </c>
      <c r="D212" s="5" t="s">
        <v>113</v>
      </c>
      <c r="E212" s="5">
        <v>5</v>
      </c>
      <c r="F212" s="5">
        <v>1661.97</v>
      </c>
      <c r="G212" s="5">
        <v>1681.35</v>
      </c>
    </row>
    <row r="213" spans="1:7" ht="15" customHeight="1" x14ac:dyDescent="0.3">
      <c r="A213" s="5" t="s">
        <v>158</v>
      </c>
      <c r="B213" s="5" t="s">
        <v>17</v>
      </c>
      <c r="C213" s="5" t="s">
        <v>68</v>
      </c>
      <c r="D213" s="5" t="s">
        <v>97</v>
      </c>
      <c r="E213" s="5">
        <v>10</v>
      </c>
      <c r="F213" s="5">
        <v>7814.82</v>
      </c>
      <c r="G213" s="5">
        <v>7461.4</v>
      </c>
    </row>
    <row r="214" spans="1:7" ht="15" customHeight="1" x14ac:dyDescent="0.3">
      <c r="A214" s="5" t="s">
        <v>159</v>
      </c>
      <c r="B214" s="5" t="s">
        <v>53</v>
      </c>
      <c r="C214" s="5" t="s">
        <v>71</v>
      </c>
      <c r="D214" s="5" t="s">
        <v>55</v>
      </c>
      <c r="E214" s="5">
        <v>8</v>
      </c>
      <c r="F214" s="5">
        <v>3022</v>
      </c>
      <c r="G214" s="5">
        <v>2623.97</v>
      </c>
    </row>
    <row r="215" spans="1:7" ht="15" customHeight="1" x14ac:dyDescent="0.3">
      <c r="A215" s="5" t="s">
        <v>159</v>
      </c>
      <c r="B215" s="5" t="s">
        <v>53</v>
      </c>
      <c r="C215" s="5" t="s">
        <v>71</v>
      </c>
      <c r="D215" s="5" t="s">
        <v>39</v>
      </c>
      <c r="E215" s="5">
        <v>4</v>
      </c>
      <c r="F215" s="5">
        <v>724.74</v>
      </c>
      <c r="G215" s="5">
        <v>804.59</v>
      </c>
    </row>
    <row r="216" spans="1:7" ht="15" customHeight="1" x14ac:dyDescent="0.3">
      <c r="A216" s="5" t="s">
        <v>159</v>
      </c>
      <c r="B216" s="5" t="s">
        <v>53</v>
      </c>
      <c r="C216" s="5" t="s">
        <v>58</v>
      </c>
      <c r="D216" s="5" t="s">
        <v>69</v>
      </c>
      <c r="E216" s="5">
        <v>3</v>
      </c>
      <c r="F216" s="5">
        <v>1044.8699999999999</v>
      </c>
      <c r="G216" s="5">
        <v>903.61</v>
      </c>
    </row>
    <row r="217" spans="1:7" ht="15" customHeight="1" x14ac:dyDescent="0.3">
      <c r="A217" s="5" t="s">
        <v>160</v>
      </c>
      <c r="B217" s="5" t="s">
        <v>17</v>
      </c>
      <c r="C217" s="5" t="s">
        <v>19</v>
      </c>
      <c r="D217" s="5" t="s">
        <v>99</v>
      </c>
      <c r="E217" s="5">
        <v>10</v>
      </c>
      <c r="F217" s="5">
        <v>701.72</v>
      </c>
      <c r="G217" s="5">
        <v>873.27</v>
      </c>
    </row>
    <row r="218" spans="1:7" ht="15" customHeight="1" x14ac:dyDescent="0.3">
      <c r="A218" s="5" t="s">
        <v>160</v>
      </c>
      <c r="B218" s="5" t="s">
        <v>8</v>
      </c>
      <c r="C218" s="5" t="s">
        <v>37</v>
      </c>
      <c r="D218" s="5" t="s">
        <v>61</v>
      </c>
      <c r="E218" s="5">
        <v>10</v>
      </c>
      <c r="F218" s="5">
        <v>7390.58</v>
      </c>
      <c r="G218" s="5">
        <v>8179.61</v>
      </c>
    </row>
    <row r="219" spans="1:7" ht="15" customHeight="1" x14ac:dyDescent="0.3">
      <c r="A219" s="5" t="s">
        <v>160</v>
      </c>
      <c r="B219" s="5" t="s">
        <v>11</v>
      </c>
      <c r="C219" s="5" t="s">
        <v>15</v>
      </c>
      <c r="D219" s="5" t="s">
        <v>61</v>
      </c>
      <c r="E219" s="5">
        <v>6</v>
      </c>
      <c r="F219" s="5">
        <v>4268.8900000000003</v>
      </c>
      <c r="G219" s="5">
        <v>5158.0200000000004</v>
      </c>
    </row>
    <row r="220" spans="1:7" ht="15" customHeight="1" x14ac:dyDescent="0.3">
      <c r="A220" s="5" t="s">
        <v>160</v>
      </c>
      <c r="B220" s="5" t="s">
        <v>34</v>
      </c>
      <c r="C220" s="5" t="s">
        <v>75</v>
      </c>
      <c r="D220" s="5" t="s">
        <v>33</v>
      </c>
      <c r="E220" s="5">
        <v>8</v>
      </c>
      <c r="F220" s="5">
        <v>13669.04</v>
      </c>
      <c r="G220" s="5">
        <v>14355.34</v>
      </c>
    </row>
    <row r="221" spans="1:7" ht="15" customHeight="1" x14ac:dyDescent="0.3">
      <c r="A221" s="5" t="s">
        <v>161</v>
      </c>
      <c r="B221" s="5" t="s">
        <v>28</v>
      </c>
      <c r="C221" s="5" t="s">
        <v>29</v>
      </c>
      <c r="D221" s="5" t="s">
        <v>24</v>
      </c>
      <c r="E221" s="5">
        <v>11</v>
      </c>
      <c r="F221" s="5">
        <v>5326.63</v>
      </c>
      <c r="G221" s="5">
        <v>5515.91</v>
      </c>
    </row>
    <row r="222" spans="1:7" ht="15" customHeight="1" x14ac:dyDescent="0.3">
      <c r="A222" s="5" t="s">
        <v>161</v>
      </c>
      <c r="B222" s="5" t="s">
        <v>34</v>
      </c>
      <c r="C222" s="5" t="s">
        <v>79</v>
      </c>
      <c r="D222" s="5" t="s">
        <v>26</v>
      </c>
      <c r="E222" s="5">
        <v>2</v>
      </c>
      <c r="F222" s="5">
        <v>453.09</v>
      </c>
      <c r="G222" s="5">
        <v>473.91</v>
      </c>
    </row>
    <row r="223" spans="1:7" ht="15" customHeight="1" x14ac:dyDescent="0.3">
      <c r="A223" s="5" t="s">
        <v>161</v>
      </c>
      <c r="B223" s="5" t="s">
        <v>17</v>
      </c>
      <c r="C223" s="5" t="s">
        <v>18</v>
      </c>
      <c r="D223" s="5" t="s">
        <v>56</v>
      </c>
      <c r="E223" s="5">
        <v>9</v>
      </c>
      <c r="F223" s="5">
        <v>4674.66</v>
      </c>
      <c r="G223" s="5">
        <v>4701.53</v>
      </c>
    </row>
    <row r="224" spans="1:7" ht="15" customHeight="1" x14ac:dyDescent="0.3">
      <c r="A224" s="5" t="s">
        <v>162</v>
      </c>
      <c r="B224" s="5" t="s">
        <v>17</v>
      </c>
      <c r="C224" s="5" t="s">
        <v>18</v>
      </c>
      <c r="D224" s="5" t="s">
        <v>49</v>
      </c>
      <c r="E224" s="5">
        <v>7</v>
      </c>
      <c r="F224" s="5">
        <v>3069.87</v>
      </c>
      <c r="G224" s="5">
        <v>2707</v>
      </c>
    </row>
    <row r="225" spans="1:7" ht="15" customHeight="1" x14ac:dyDescent="0.3">
      <c r="A225" s="5" t="s">
        <v>162</v>
      </c>
      <c r="B225" s="5" t="s">
        <v>8</v>
      </c>
      <c r="C225" s="5" t="s">
        <v>37</v>
      </c>
      <c r="D225" s="5" t="s">
        <v>103</v>
      </c>
      <c r="E225" s="5">
        <v>12</v>
      </c>
      <c r="F225" s="5">
        <v>10200.61</v>
      </c>
      <c r="G225" s="5">
        <v>10908.15</v>
      </c>
    </row>
    <row r="226" spans="1:7" ht="15" customHeight="1" x14ac:dyDescent="0.3">
      <c r="A226" s="5" t="s">
        <v>162</v>
      </c>
      <c r="B226" s="5" t="s">
        <v>22</v>
      </c>
      <c r="C226" s="5" t="s">
        <v>78</v>
      </c>
      <c r="D226" s="5" t="s">
        <v>103</v>
      </c>
      <c r="E226" s="5">
        <v>4</v>
      </c>
      <c r="F226" s="5">
        <v>3254.1</v>
      </c>
      <c r="G226" s="5">
        <v>3442.88</v>
      </c>
    </row>
    <row r="227" spans="1:7" ht="15" customHeight="1" x14ac:dyDescent="0.3">
      <c r="A227" s="5" t="s">
        <v>162</v>
      </c>
      <c r="B227" s="5" t="s">
        <v>28</v>
      </c>
      <c r="C227" s="5" t="s">
        <v>66</v>
      </c>
      <c r="D227" s="5" t="s">
        <v>69</v>
      </c>
      <c r="E227" s="5">
        <v>2</v>
      </c>
      <c r="F227" s="5">
        <v>656.59</v>
      </c>
      <c r="G227" s="5">
        <v>634.79999999999995</v>
      </c>
    </row>
    <row r="228" spans="1:7" ht="15" customHeight="1" x14ac:dyDescent="0.3">
      <c r="A228" s="5" t="s">
        <v>163</v>
      </c>
      <c r="B228" s="5" t="s">
        <v>53</v>
      </c>
      <c r="C228" s="5" t="s">
        <v>94</v>
      </c>
      <c r="D228" s="5" t="s">
        <v>65</v>
      </c>
      <c r="E228" s="5">
        <v>2</v>
      </c>
      <c r="F228" s="5">
        <v>2940.17</v>
      </c>
      <c r="G228" s="5">
        <v>2881.26</v>
      </c>
    </row>
    <row r="229" spans="1:7" ht="15" customHeight="1" x14ac:dyDescent="0.3">
      <c r="A229" s="5" t="s">
        <v>163</v>
      </c>
      <c r="B229" s="5" t="s">
        <v>11</v>
      </c>
      <c r="C229" s="5" t="s">
        <v>76</v>
      </c>
      <c r="D229" s="5" t="s">
        <v>10</v>
      </c>
      <c r="E229" s="5">
        <v>1</v>
      </c>
      <c r="F229" s="5">
        <v>1037.3499999999999</v>
      </c>
      <c r="G229" s="5">
        <v>1213.3599999999999</v>
      </c>
    </row>
    <row r="230" spans="1:7" ht="15" customHeight="1" x14ac:dyDescent="0.3">
      <c r="A230" s="5" t="s">
        <v>163</v>
      </c>
      <c r="B230" s="5" t="s">
        <v>8</v>
      </c>
      <c r="C230" s="5" t="s">
        <v>37</v>
      </c>
      <c r="D230" s="5" t="s">
        <v>16</v>
      </c>
      <c r="E230" s="5">
        <v>12</v>
      </c>
      <c r="F230" s="5">
        <v>4426.8100000000004</v>
      </c>
      <c r="G230" s="5">
        <v>4821.7700000000004</v>
      </c>
    </row>
    <row r="231" spans="1:7" ht="15" customHeight="1" x14ac:dyDescent="0.3">
      <c r="A231" s="5" t="s">
        <v>163</v>
      </c>
      <c r="B231" s="5" t="s">
        <v>28</v>
      </c>
      <c r="C231" s="5" t="s">
        <v>66</v>
      </c>
      <c r="D231" s="5" t="s">
        <v>61</v>
      </c>
      <c r="E231" s="5">
        <v>8</v>
      </c>
      <c r="F231" s="5">
        <v>6311.7</v>
      </c>
      <c r="G231" s="5">
        <v>6464.38</v>
      </c>
    </row>
    <row r="232" spans="1:7" ht="15" customHeight="1" x14ac:dyDescent="0.3">
      <c r="A232" s="5" t="s">
        <v>164</v>
      </c>
      <c r="B232" s="5" t="s">
        <v>34</v>
      </c>
      <c r="C232" s="5" t="s">
        <v>75</v>
      </c>
      <c r="D232" s="5" t="s">
        <v>97</v>
      </c>
      <c r="E232" s="5">
        <v>9</v>
      </c>
      <c r="F232" s="5">
        <v>7836.16</v>
      </c>
      <c r="G232" s="5">
        <v>7203.87</v>
      </c>
    </row>
    <row r="233" spans="1:7" ht="15" customHeight="1" x14ac:dyDescent="0.3">
      <c r="A233" s="5" t="s">
        <v>165</v>
      </c>
      <c r="B233" s="5" t="s">
        <v>28</v>
      </c>
      <c r="C233" s="5" t="s">
        <v>66</v>
      </c>
      <c r="D233" s="5" t="s">
        <v>56</v>
      </c>
      <c r="E233" s="5">
        <v>4</v>
      </c>
      <c r="F233" s="5">
        <v>1917.85</v>
      </c>
      <c r="G233" s="5">
        <v>1952.21</v>
      </c>
    </row>
    <row r="234" spans="1:7" ht="15" customHeight="1" x14ac:dyDescent="0.3">
      <c r="A234" s="5" t="s">
        <v>165</v>
      </c>
      <c r="B234" s="5" t="s">
        <v>8</v>
      </c>
      <c r="C234" s="5" t="s">
        <v>126</v>
      </c>
      <c r="D234" s="5" t="s">
        <v>61</v>
      </c>
      <c r="E234" s="5">
        <v>8</v>
      </c>
      <c r="F234" s="5">
        <v>5597.2</v>
      </c>
      <c r="G234" s="5">
        <v>5636.56</v>
      </c>
    </row>
    <row r="235" spans="1:7" ht="15" customHeight="1" x14ac:dyDescent="0.3">
      <c r="A235" s="5" t="s">
        <v>165</v>
      </c>
      <c r="B235" s="5" t="s">
        <v>22</v>
      </c>
      <c r="C235" s="5" t="s">
        <v>114</v>
      </c>
      <c r="D235" s="5" t="s">
        <v>72</v>
      </c>
      <c r="E235" s="5">
        <v>9</v>
      </c>
      <c r="F235" s="5">
        <v>3243.67</v>
      </c>
      <c r="G235" s="5">
        <v>3350.06</v>
      </c>
    </row>
    <row r="236" spans="1:7" ht="15" customHeight="1" x14ac:dyDescent="0.3">
      <c r="A236" s="5" t="s">
        <v>165</v>
      </c>
      <c r="B236" s="5" t="s">
        <v>34</v>
      </c>
      <c r="C236" s="5" t="s">
        <v>79</v>
      </c>
      <c r="D236" s="5" t="s">
        <v>39</v>
      </c>
      <c r="E236" s="5">
        <v>9</v>
      </c>
      <c r="F236" s="5">
        <v>1674.5</v>
      </c>
      <c r="G236" s="5">
        <v>1513.66</v>
      </c>
    </row>
    <row r="237" spans="1:7" ht="15" customHeight="1" x14ac:dyDescent="0.3">
      <c r="A237" s="5" t="s">
        <v>165</v>
      </c>
      <c r="B237" s="5" t="s">
        <v>42</v>
      </c>
      <c r="C237" s="5" t="s">
        <v>62</v>
      </c>
      <c r="D237" s="5" t="s">
        <v>99</v>
      </c>
      <c r="E237" s="5">
        <v>10</v>
      </c>
      <c r="F237" s="5">
        <v>759.82</v>
      </c>
      <c r="G237" s="5">
        <v>858.3</v>
      </c>
    </row>
    <row r="238" spans="1:7" ht="15" customHeight="1" x14ac:dyDescent="0.3">
      <c r="A238" s="5" t="s">
        <v>165</v>
      </c>
      <c r="B238" s="5" t="s">
        <v>17</v>
      </c>
      <c r="C238" s="5" t="s">
        <v>19</v>
      </c>
      <c r="D238" s="5" t="s">
        <v>49</v>
      </c>
      <c r="E238" s="5">
        <v>1</v>
      </c>
      <c r="F238" s="5">
        <v>434.01</v>
      </c>
      <c r="G238" s="5">
        <v>385.62</v>
      </c>
    </row>
    <row r="239" spans="1:7" ht="15" customHeight="1" x14ac:dyDescent="0.3">
      <c r="A239" s="5" t="s">
        <v>166</v>
      </c>
      <c r="B239" s="5" t="s">
        <v>34</v>
      </c>
      <c r="C239" s="5" t="s">
        <v>35</v>
      </c>
      <c r="D239" s="5" t="s">
        <v>20</v>
      </c>
      <c r="E239" s="5">
        <v>8</v>
      </c>
      <c r="F239" s="5">
        <v>3699.55</v>
      </c>
      <c r="G239" s="5">
        <v>3372.73</v>
      </c>
    </row>
    <row r="240" spans="1:7" ht="15" customHeight="1" x14ac:dyDescent="0.3">
      <c r="A240" s="5" t="s">
        <v>166</v>
      </c>
      <c r="B240" s="5" t="s">
        <v>42</v>
      </c>
      <c r="C240" s="5" t="s">
        <v>47</v>
      </c>
      <c r="D240" s="5" t="s">
        <v>13</v>
      </c>
      <c r="E240" s="5">
        <v>10</v>
      </c>
      <c r="F240" s="5">
        <v>6288.45</v>
      </c>
      <c r="G240" s="5">
        <v>5407.64</v>
      </c>
    </row>
    <row r="241" spans="1:7" ht="15" customHeight="1" x14ac:dyDescent="0.3">
      <c r="A241" s="5" t="s">
        <v>166</v>
      </c>
      <c r="B241" s="5" t="s">
        <v>17</v>
      </c>
      <c r="C241" s="5" t="s">
        <v>19</v>
      </c>
      <c r="D241" s="5" t="s">
        <v>33</v>
      </c>
      <c r="E241" s="5">
        <v>3</v>
      </c>
      <c r="F241" s="5">
        <v>4847.99</v>
      </c>
      <c r="G241" s="5">
        <v>4749.21</v>
      </c>
    </row>
    <row r="242" spans="1:7" ht="15" customHeight="1" x14ac:dyDescent="0.3">
      <c r="A242" s="5" t="s">
        <v>167</v>
      </c>
      <c r="B242" s="5" t="s">
        <v>34</v>
      </c>
      <c r="C242" s="5" t="s">
        <v>79</v>
      </c>
      <c r="D242" s="5" t="s">
        <v>20</v>
      </c>
      <c r="E242" s="5">
        <v>5</v>
      </c>
      <c r="F242" s="5">
        <v>2340.5300000000002</v>
      </c>
      <c r="G242" s="5">
        <v>2131.04</v>
      </c>
    </row>
    <row r="243" spans="1:7" ht="15" customHeight="1" x14ac:dyDescent="0.3">
      <c r="A243" s="5" t="s">
        <v>167</v>
      </c>
      <c r="B243" s="5" t="s">
        <v>53</v>
      </c>
      <c r="C243" s="5" t="s">
        <v>94</v>
      </c>
      <c r="D243" s="5" t="s">
        <v>72</v>
      </c>
      <c r="E243" s="5">
        <v>3</v>
      </c>
      <c r="F243" s="5">
        <v>1183.8499999999999</v>
      </c>
      <c r="G243" s="5">
        <v>1227.5999999999999</v>
      </c>
    </row>
    <row r="244" spans="1:7" ht="15" customHeight="1" x14ac:dyDescent="0.3">
      <c r="A244" s="5" t="s">
        <v>168</v>
      </c>
      <c r="B244" s="5" t="s">
        <v>42</v>
      </c>
      <c r="C244" s="5" t="s">
        <v>47</v>
      </c>
      <c r="D244" s="5" t="s">
        <v>91</v>
      </c>
      <c r="E244" s="5">
        <v>4</v>
      </c>
      <c r="F244" s="5">
        <v>1130.83</v>
      </c>
      <c r="G244" s="5">
        <v>1295.83</v>
      </c>
    </row>
    <row r="245" spans="1:7" ht="15" customHeight="1" x14ac:dyDescent="0.3">
      <c r="A245" s="5" t="s">
        <v>168</v>
      </c>
      <c r="B245" s="5" t="s">
        <v>11</v>
      </c>
      <c r="C245" s="5" t="s">
        <v>60</v>
      </c>
      <c r="D245" s="5" t="s">
        <v>96</v>
      </c>
      <c r="E245" s="5">
        <v>10</v>
      </c>
      <c r="F245" s="5">
        <v>13482.97</v>
      </c>
      <c r="G245" s="5">
        <v>14640.74</v>
      </c>
    </row>
    <row r="246" spans="1:7" ht="15" customHeight="1" x14ac:dyDescent="0.3">
      <c r="A246" s="5" t="s">
        <v>168</v>
      </c>
      <c r="B246" s="5" t="s">
        <v>22</v>
      </c>
      <c r="C246" s="5" t="s">
        <v>23</v>
      </c>
      <c r="D246" s="5" t="s">
        <v>96</v>
      </c>
      <c r="E246" s="5">
        <v>7</v>
      </c>
      <c r="F246" s="5">
        <v>10621.31</v>
      </c>
      <c r="G246" s="5">
        <v>11203.29</v>
      </c>
    </row>
    <row r="247" spans="1:7" ht="15" customHeight="1" x14ac:dyDescent="0.3">
      <c r="A247" s="5" t="s">
        <v>168</v>
      </c>
      <c r="B247" s="5" t="s">
        <v>34</v>
      </c>
      <c r="C247" s="5" t="s">
        <v>35</v>
      </c>
      <c r="D247" s="5" t="s">
        <v>48</v>
      </c>
      <c r="E247" s="5">
        <v>12</v>
      </c>
      <c r="F247" s="5">
        <v>2660.98</v>
      </c>
      <c r="G247" s="5">
        <v>3157.5</v>
      </c>
    </row>
    <row r="248" spans="1:7" ht="15" customHeight="1" x14ac:dyDescent="0.3">
      <c r="A248" s="5" t="s">
        <v>169</v>
      </c>
      <c r="B248" s="5" t="s">
        <v>8</v>
      </c>
      <c r="C248" s="5" t="s">
        <v>102</v>
      </c>
      <c r="D248" s="5" t="s">
        <v>65</v>
      </c>
      <c r="E248" s="5">
        <v>12</v>
      </c>
      <c r="F248" s="5">
        <v>16152.01</v>
      </c>
      <c r="G248" s="5">
        <v>16342.55</v>
      </c>
    </row>
    <row r="249" spans="1:7" ht="15" customHeight="1" x14ac:dyDescent="0.3">
      <c r="A249" s="5" t="s">
        <v>169</v>
      </c>
      <c r="B249" s="5" t="s">
        <v>17</v>
      </c>
      <c r="C249" s="5" t="s">
        <v>68</v>
      </c>
      <c r="D249" s="5" t="s">
        <v>72</v>
      </c>
      <c r="E249" s="5">
        <v>7</v>
      </c>
      <c r="F249" s="5">
        <v>3025.92</v>
      </c>
      <c r="G249" s="5">
        <v>2629.13</v>
      </c>
    </row>
    <row r="250" spans="1:7" ht="15" customHeight="1" x14ac:dyDescent="0.3">
      <c r="A250" s="5" t="s">
        <v>169</v>
      </c>
      <c r="B250" s="5" t="s">
        <v>8</v>
      </c>
      <c r="C250" s="5" t="s">
        <v>83</v>
      </c>
      <c r="D250" s="5" t="s">
        <v>97</v>
      </c>
      <c r="E250" s="5">
        <v>3</v>
      </c>
      <c r="F250" s="5">
        <v>2627.09</v>
      </c>
      <c r="G250" s="5">
        <v>2158.92</v>
      </c>
    </row>
    <row r="251" spans="1:7" ht="15" customHeight="1" x14ac:dyDescent="0.3">
      <c r="A251" s="5" t="s">
        <v>169</v>
      </c>
      <c r="B251" s="5" t="s">
        <v>8</v>
      </c>
      <c r="C251" s="5" t="s">
        <v>102</v>
      </c>
      <c r="D251" s="5" t="s">
        <v>33</v>
      </c>
      <c r="E251" s="5">
        <v>10</v>
      </c>
      <c r="F251" s="5">
        <v>16704.150000000001</v>
      </c>
      <c r="G251" s="5">
        <v>18278.71</v>
      </c>
    </row>
    <row r="252" spans="1:7" ht="15" customHeight="1" x14ac:dyDescent="0.3">
      <c r="A252" s="5" t="s">
        <v>169</v>
      </c>
      <c r="B252" s="5" t="s">
        <v>22</v>
      </c>
      <c r="C252" s="5" t="s">
        <v>38</v>
      </c>
      <c r="D252" s="5" t="s">
        <v>65</v>
      </c>
      <c r="E252" s="5">
        <v>12</v>
      </c>
      <c r="F252" s="5">
        <v>16921.060000000001</v>
      </c>
      <c r="G252" s="5">
        <v>17337.79</v>
      </c>
    </row>
    <row r="253" spans="1:7" ht="15" customHeight="1" x14ac:dyDescent="0.3">
      <c r="A253" s="5" t="s">
        <v>169</v>
      </c>
      <c r="B253" s="5" t="s">
        <v>34</v>
      </c>
      <c r="C253" s="5" t="s">
        <v>79</v>
      </c>
      <c r="D253" s="5" t="s">
        <v>56</v>
      </c>
      <c r="E253" s="5">
        <v>9</v>
      </c>
      <c r="F253" s="5">
        <v>4449.9799999999996</v>
      </c>
      <c r="G253" s="5">
        <v>5307.75</v>
      </c>
    </row>
    <row r="254" spans="1:7" ht="15" customHeight="1" x14ac:dyDescent="0.3">
      <c r="A254" s="5" t="s">
        <v>170</v>
      </c>
      <c r="B254" s="5" t="s">
        <v>28</v>
      </c>
      <c r="C254" s="5" t="s">
        <v>66</v>
      </c>
      <c r="D254" s="5" t="s">
        <v>91</v>
      </c>
      <c r="E254" s="5">
        <v>1</v>
      </c>
      <c r="F254" s="5">
        <v>312.02</v>
      </c>
      <c r="G254" s="5">
        <v>333.44</v>
      </c>
    </row>
    <row r="255" spans="1:7" ht="15" customHeight="1" x14ac:dyDescent="0.3">
      <c r="A255" s="5" t="s">
        <v>170</v>
      </c>
      <c r="B255" s="5" t="s">
        <v>42</v>
      </c>
      <c r="C255" s="5" t="s">
        <v>43</v>
      </c>
      <c r="D255" s="5" t="s">
        <v>99</v>
      </c>
      <c r="E255" s="5">
        <v>7</v>
      </c>
      <c r="F255" s="5">
        <v>506.13</v>
      </c>
      <c r="G255" s="5">
        <v>561.04</v>
      </c>
    </row>
    <row r="256" spans="1:7" ht="15" customHeight="1" x14ac:dyDescent="0.3">
      <c r="A256" s="5" t="s">
        <v>170</v>
      </c>
      <c r="B256" s="5" t="s">
        <v>34</v>
      </c>
      <c r="C256" s="5" t="s">
        <v>35</v>
      </c>
      <c r="D256" s="5" t="s">
        <v>24</v>
      </c>
      <c r="E256" s="5">
        <v>2</v>
      </c>
      <c r="F256" s="5">
        <v>960.73</v>
      </c>
      <c r="G256" s="5">
        <v>1108.7</v>
      </c>
    </row>
    <row r="257" spans="1:7" ht="15" customHeight="1" x14ac:dyDescent="0.3">
      <c r="A257" s="5" t="s">
        <v>170</v>
      </c>
      <c r="B257" s="5" t="s">
        <v>11</v>
      </c>
      <c r="C257" s="5" t="s">
        <v>15</v>
      </c>
      <c r="D257" s="5" t="s">
        <v>96</v>
      </c>
      <c r="E257" s="5">
        <v>3</v>
      </c>
      <c r="F257" s="5">
        <v>3996.43</v>
      </c>
      <c r="G257" s="5">
        <v>4164.33</v>
      </c>
    </row>
    <row r="258" spans="1:7" ht="15" customHeight="1" x14ac:dyDescent="0.3">
      <c r="A258" s="5" t="s">
        <v>170</v>
      </c>
      <c r="B258" s="5" t="s">
        <v>17</v>
      </c>
      <c r="C258" s="5" t="s">
        <v>19</v>
      </c>
      <c r="D258" s="5" t="s">
        <v>65</v>
      </c>
      <c r="E258" s="5">
        <v>2</v>
      </c>
      <c r="F258" s="5">
        <v>3026.24</v>
      </c>
      <c r="G258" s="5">
        <v>3372.65</v>
      </c>
    </row>
    <row r="259" spans="1:7" ht="15" customHeight="1" x14ac:dyDescent="0.3">
      <c r="A259" s="5" t="s">
        <v>171</v>
      </c>
      <c r="B259" s="5" t="s">
        <v>28</v>
      </c>
      <c r="C259" s="5" t="s">
        <v>66</v>
      </c>
      <c r="D259" s="5" t="s">
        <v>30</v>
      </c>
      <c r="E259" s="5">
        <v>10</v>
      </c>
      <c r="F259" s="5">
        <v>4478.28</v>
      </c>
      <c r="G259" s="5">
        <v>4278.3599999999997</v>
      </c>
    </row>
    <row r="260" spans="1:7" ht="15" customHeight="1" x14ac:dyDescent="0.3">
      <c r="A260" s="5" t="s">
        <v>171</v>
      </c>
      <c r="B260" s="5" t="s">
        <v>28</v>
      </c>
      <c r="C260" s="5" t="s">
        <v>66</v>
      </c>
      <c r="D260" s="5" t="s">
        <v>24</v>
      </c>
      <c r="E260" s="5">
        <v>12</v>
      </c>
      <c r="F260" s="5"/>
      <c r="G260" s="5">
        <v>5663.84</v>
      </c>
    </row>
    <row r="261" spans="1:7" ht="15" customHeight="1" x14ac:dyDescent="0.3">
      <c r="A261" s="5" t="s">
        <v>171</v>
      </c>
      <c r="B261" s="5" t="s">
        <v>42</v>
      </c>
      <c r="C261" s="5" t="s">
        <v>47</v>
      </c>
      <c r="D261" s="5" t="s">
        <v>72</v>
      </c>
      <c r="E261" s="5">
        <v>11</v>
      </c>
      <c r="F261" s="5">
        <v>4240.95</v>
      </c>
      <c r="G261" s="5">
        <v>4555.74</v>
      </c>
    </row>
    <row r="262" spans="1:7" ht="15" customHeight="1" x14ac:dyDescent="0.3">
      <c r="A262" s="5" t="s">
        <v>172</v>
      </c>
      <c r="B262" s="5" t="s">
        <v>53</v>
      </c>
      <c r="C262" s="5" t="s">
        <v>94</v>
      </c>
      <c r="D262" s="5" t="s">
        <v>51</v>
      </c>
      <c r="E262" s="5">
        <v>1</v>
      </c>
      <c r="F262" s="5">
        <v>880.94</v>
      </c>
      <c r="G262" s="5">
        <v>712.16</v>
      </c>
    </row>
    <row r="263" spans="1:7" ht="15" customHeight="1" x14ac:dyDescent="0.3">
      <c r="A263" s="5" t="s">
        <v>173</v>
      </c>
      <c r="B263" s="5" t="s">
        <v>28</v>
      </c>
      <c r="C263" s="5" t="s">
        <v>29</v>
      </c>
      <c r="D263" s="5" t="s">
        <v>51</v>
      </c>
      <c r="E263" s="5">
        <v>2</v>
      </c>
      <c r="F263" s="5">
        <v>1548.58</v>
      </c>
      <c r="G263" s="5">
        <v>1730.65</v>
      </c>
    </row>
    <row r="264" spans="1:7" ht="15" customHeight="1" x14ac:dyDescent="0.3">
      <c r="A264" s="5" t="s">
        <v>173</v>
      </c>
      <c r="B264" s="5" t="s">
        <v>34</v>
      </c>
      <c r="C264" s="5" t="s">
        <v>79</v>
      </c>
      <c r="D264" s="5" t="s">
        <v>48</v>
      </c>
      <c r="E264" s="5">
        <v>9</v>
      </c>
      <c r="F264" s="5">
        <v>2249.5500000000002</v>
      </c>
      <c r="G264" s="5">
        <v>1810.01</v>
      </c>
    </row>
    <row r="265" spans="1:7" ht="15" customHeight="1" x14ac:dyDescent="0.3">
      <c r="A265" s="5" t="s">
        <v>174</v>
      </c>
      <c r="B265" s="5" t="s">
        <v>28</v>
      </c>
      <c r="C265" s="5" t="s">
        <v>29</v>
      </c>
      <c r="D265" s="5" t="s">
        <v>10</v>
      </c>
      <c r="E265" s="5">
        <v>8</v>
      </c>
      <c r="F265" s="5">
        <v>7819.4</v>
      </c>
      <c r="G265" s="5">
        <v>8176.12</v>
      </c>
    </row>
    <row r="266" spans="1:7" ht="15" customHeight="1" x14ac:dyDescent="0.3">
      <c r="A266" s="5" t="s">
        <v>174</v>
      </c>
      <c r="B266" s="5" t="s">
        <v>17</v>
      </c>
      <c r="C266" s="5" t="s">
        <v>68</v>
      </c>
      <c r="D266" s="5" t="s">
        <v>56</v>
      </c>
      <c r="E266" s="5">
        <v>8</v>
      </c>
      <c r="F266" s="5">
        <v>4209.22</v>
      </c>
      <c r="G266" s="5">
        <v>4698.8900000000003</v>
      </c>
    </row>
    <row r="267" spans="1:7" ht="15" customHeight="1" x14ac:dyDescent="0.3">
      <c r="A267" s="5" t="s">
        <v>174</v>
      </c>
      <c r="B267" s="5" t="s">
        <v>53</v>
      </c>
      <c r="C267" s="5" t="s">
        <v>93</v>
      </c>
      <c r="D267" s="5" t="s">
        <v>91</v>
      </c>
      <c r="E267" s="5">
        <v>3</v>
      </c>
      <c r="F267" s="5">
        <v>858.2</v>
      </c>
      <c r="G267" s="5">
        <v>1045.06</v>
      </c>
    </row>
    <row r="268" spans="1:7" ht="15" customHeight="1" x14ac:dyDescent="0.3">
      <c r="A268" s="5" t="s">
        <v>175</v>
      </c>
      <c r="B268" s="5" t="s">
        <v>22</v>
      </c>
      <c r="C268" s="5" t="s">
        <v>100</v>
      </c>
      <c r="D268" s="5" t="s">
        <v>49</v>
      </c>
      <c r="E268" s="5">
        <v>2</v>
      </c>
      <c r="F268" s="5">
        <v>813.54</v>
      </c>
      <c r="G268" s="5">
        <v>918.13</v>
      </c>
    </row>
    <row r="269" spans="1:7" ht="15" customHeight="1" x14ac:dyDescent="0.3">
      <c r="A269" s="5" t="s">
        <v>175</v>
      </c>
      <c r="B269" s="5" t="s">
        <v>34</v>
      </c>
      <c r="C269" s="5" t="s">
        <v>35</v>
      </c>
      <c r="D269" s="5" t="s">
        <v>33</v>
      </c>
      <c r="E269" s="5">
        <v>11</v>
      </c>
      <c r="F269" s="5">
        <v>18537.7</v>
      </c>
      <c r="G269" s="5">
        <v>19758.77</v>
      </c>
    </row>
    <row r="270" spans="1:7" ht="15" customHeight="1" x14ac:dyDescent="0.3">
      <c r="A270" s="5" t="s">
        <v>176</v>
      </c>
      <c r="B270" s="5" t="s">
        <v>34</v>
      </c>
      <c r="C270" s="5" t="s">
        <v>79</v>
      </c>
      <c r="D270" s="5" t="s">
        <v>26</v>
      </c>
      <c r="E270" s="5">
        <v>1</v>
      </c>
      <c r="F270" s="5">
        <v>227.65</v>
      </c>
      <c r="G270" s="5">
        <v>256.97000000000003</v>
      </c>
    </row>
    <row r="271" spans="1:7" ht="15" customHeight="1" x14ac:dyDescent="0.3">
      <c r="A271" s="5" t="s">
        <v>177</v>
      </c>
      <c r="B271" s="5" t="s">
        <v>34</v>
      </c>
      <c r="C271" s="5" t="s">
        <v>75</v>
      </c>
      <c r="D271" s="5" t="s">
        <v>82</v>
      </c>
      <c r="E271" s="5">
        <v>12</v>
      </c>
      <c r="F271" s="5">
        <v>9254.2000000000007</v>
      </c>
      <c r="G271" s="5">
        <v>10327.61</v>
      </c>
    </row>
    <row r="272" spans="1:7" ht="15" customHeight="1" x14ac:dyDescent="0.3">
      <c r="A272" s="5" t="s">
        <v>177</v>
      </c>
      <c r="B272" s="5" t="s">
        <v>53</v>
      </c>
      <c r="C272" s="5" t="s">
        <v>93</v>
      </c>
      <c r="D272" s="5" t="s">
        <v>82</v>
      </c>
      <c r="E272" s="5">
        <v>1</v>
      </c>
      <c r="F272" s="5">
        <v>796.23</v>
      </c>
      <c r="G272" s="5">
        <v>722.53</v>
      </c>
    </row>
    <row r="273" spans="1:7" ht="15" customHeight="1" x14ac:dyDescent="0.3">
      <c r="A273" s="5" t="s">
        <v>177</v>
      </c>
      <c r="B273" s="5" t="s">
        <v>17</v>
      </c>
      <c r="C273" s="5" t="s">
        <v>18</v>
      </c>
      <c r="D273" s="5" t="s">
        <v>96</v>
      </c>
      <c r="E273" s="5">
        <v>9</v>
      </c>
      <c r="F273" s="5">
        <v>14410.65</v>
      </c>
      <c r="G273" s="5">
        <v>11621.16</v>
      </c>
    </row>
    <row r="274" spans="1:7" ht="15" customHeight="1" x14ac:dyDescent="0.3">
      <c r="A274" s="5" t="s">
        <v>178</v>
      </c>
      <c r="B274" s="5" t="s">
        <v>42</v>
      </c>
      <c r="C274" s="5" t="s">
        <v>111</v>
      </c>
      <c r="D274" s="5" t="s">
        <v>97</v>
      </c>
      <c r="E274" s="5">
        <v>8</v>
      </c>
      <c r="F274" s="5">
        <v>6981.09</v>
      </c>
      <c r="G274" s="5">
        <v>7526.74</v>
      </c>
    </row>
    <row r="275" spans="1:7" ht="15" customHeight="1" x14ac:dyDescent="0.3">
      <c r="A275" s="5" t="s">
        <v>179</v>
      </c>
      <c r="B275" s="5" t="s">
        <v>11</v>
      </c>
      <c r="C275" s="5" t="s">
        <v>15</v>
      </c>
      <c r="D275" s="5" t="s">
        <v>39</v>
      </c>
      <c r="E275" s="5">
        <v>11</v>
      </c>
      <c r="F275" s="5">
        <v>1983.84</v>
      </c>
      <c r="G275" s="5">
        <v>2120.52</v>
      </c>
    </row>
    <row r="276" spans="1:7" ht="15" customHeight="1" x14ac:dyDescent="0.3">
      <c r="A276" s="5" t="s">
        <v>179</v>
      </c>
      <c r="B276" s="5" t="s">
        <v>22</v>
      </c>
      <c r="C276" s="5" t="s">
        <v>123</v>
      </c>
      <c r="D276" s="5" t="s">
        <v>113</v>
      </c>
      <c r="E276" s="5">
        <v>11</v>
      </c>
      <c r="F276" s="5">
        <v>3633.36</v>
      </c>
      <c r="G276" s="5">
        <v>3341.8</v>
      </c>
    </row>
    <row r="277" spans="1:7" ht="15" customHeight="1" x14ac:dyDescent="0.3">
      <c r="A277" s="5" t="s">
        <v>180</v>
      </c>
      <c r="B277" s="5" t="s">
        <v>22</v>
      </c>
      <c r="C277" s="5" t="s">
        <v>23</v>
      </c>
      <c r="D277" s="5" t="s">
        <v>39</v>
      </c>
      <c r="E277" s="5">
        <v>6</v>
      </c>
      <c r="F277" s="5">
        <v>1283.81</v>
      </c>
      <c r="G277" s="5">
        <v>1128.6400000000001</v>
      </c>
    </row>
    <row r="278" spans="1:7" ht="15" customHeight="1" x14ac:dyDescent="0.3">
      <c r="A278" s="5" t="s">
        <v>180</v>
      </c>
      <c r="B278" s="5" t="s">
        <v>53</v>
      </c>
      <c r="C278" s="5" t="s">
        <v>54</v>
      </c>
      <c r="D278" s="5" t="s">
        <v>39</v>
      </c>
      <c r="E278" s="5">
        <v>6</v>
      </c>
      <c r="F278" s="5">
        <v>1242.1600000000001</v>
      </c>
      <c r="G278" s="5">
        <v>1151.74</v>
      </c>
    </row>
    <row r="279" spans="1:7" ht="15" customHeight="1" x14ac:dyDescent="0.3">
      <c r="A279" s="5" t="s">
        <v>180</v>
      </c>
      <c r="B279" s="5" t="s">
        <v>28</v>
      </c>
      <c r="C279" s="5" t="s">
        <v>29</v>
      </c>
      <c r="D279" s="5" t="s">
        <v>99</v>
      </c>
      <c r="E279" s="5">
        <v>12</v>
      </c>
      <c r="F279" s="5">
        <v>923.97</v>
      </c>
      <c r="G279" s="5">
        <v>994.4</v>
      </c>
    </row>
    <row r="280" spans="1:7" ht="15" customHeight="1" x14ac:dyDescent="0.3">
      <c r="A280" s="5" t="s">
        <v>180</v>
      </c>
      <c r="B280" s="5" t="s">
        <v>17</v>
      </c>
      <c r="C280" s="5" t="s">
        <v>19</v>
      </c>
      <c r="D280" s="5" t="s">
        <v>91</v>
      </c>
      <c r="E280" s="5">
        <v>9</v>
      </c>
      <c r="F280" s="5">
        <v>2632.82</v>
      </c>
      <c r="G280" s="5">
        <v>2962.54</v>
      </c>
    </row>
    <row r="281" spans="1:7" ht="15" customHeight="1" x14ac:dyDescent="0.3">
      <c r="A281" s="5" t="s">
        <v>180</v>
      </c>
      <c r="B281" s="5" t="s">
        <v>53</v>
      </c>
      <c r="C281" s="5" t="s">
        <v>71</v>
      </c>
      <c r="D281" s="5" t="s">
        <v>80</v>
      </c>
      <c r="E281" s="5">
        <v>8</v>
      </c>
      <c r="F281" s="5">
        <v>5270.97</v>
      </c>
      <c r="G281" s="5">
        <v>5743.64</v>
      </c>
    </row>
    <row r="282" spans="1:7" ht="15" customHeight="1" x14ac:dyDescent="0.3">
      <c r="A282" s="5" t="s">
        <v>180</v>
      </c>
      <c r="B282" s="5" t="s">
        <v>42</v>
      </c>
      <c r="C282" s="5" t="s">
        <v>43</v>
      </c>
      <c r="D282" s="5" t="s">
        <v>13</v>
      </c>
      <c r="E282" s="5">
        <v>10</v>
      </c>
      <c r="F282" s="5">
        <v>6661.95</v>
      </c>
      <c r="G282" s="5">
        <v>5610</v>
      </c>
    </row>
    <row r="283" spans="1:7" ht="15" customHeight="1" x14ac:dyDescent="0.3">
      <c r="A283" s="5" t="s">
        <v>181</v>
      </c>
      <c r="B283" s="5" t="s">
        <v>42</v>
      </c>
      <c r="C283" s="5" t="s">
        <v>62</v>
      </c>
      <c r="D283" s="5" t="s">
        <v>24</v>
      </c>
      <c r="E283" s="5">
        <v>9</v>
      </c>
      <c r="F283" s="5">
        <v>4821.04</v>
      </c>
      <c r="G283" s="5">
        <v>4958.95</v>
      </c>
    </row>
    <row r="284" spans="1:7" ht="15" customHeight="1" x14ac:dyDescent="0.3">
      <c r="A284" s="5" t="s">
        <v>181</v>
      </c>
      <c r="B284" s="5" t="s">
        <v>22</v>
      </c>
      <c r="C284" s="5" t="s">
        <v>23</v>
      </c>
      <c r="D284" s="5" t="s">
        <v>16</v>
      </c>
      <c r="E284" s="5">
        <v>6</v>
      </c>
      <c r="F284" s="5">
        <v>2441.86</v>
      </c>
      <c r="G284" s="5">
        <v>2179.25</v>
      </c>
    </row>
    <row r="285" spans="1:7" ht="15" customHeight="1" x14ac:dyDescent="0.3">
      <c r="A285" s="5" t="s">
        <v>181</v>
      </c>
      <c r="B285" s="5" t="s">
        <v>53</v>
      </c>
      <c r="C285" s="5" t="s">
        <v>94</v>
      </c>
      <c r="D285" s="5" t="s">
        <v>91</v>
      </c>
      <c r="E285" s="5">
        <v>3</v>
      </c>
      <c r="F285" s="5">
        <v>950.13</v>
      </c>
      <c r="G285" s="5">
        <v>894.67</v>
      </c>
    </row>
    <row r="286" spans="1:7" ht="15" customHeight="1" x14ac:dyDescent="0.3">
      <c r="A286" s="5" t="s">
        <v>182</v>
      </c>
      <c r="B286" s="5" t="s">
        <v>8</v>
      </c>
      <c r="C286" s="5" t="s">
        <v>37</v>
      </c>
      <c r="D286" s="5" t="s">
        <v>44</v>
      </c>
      <c r="E286" s="5">
        <v>2</v>
      </c>
      <c r="F286" s="5">
        <v>556.88</v>
      </c>
      <c r="G286" s="5">
        <v>467.68</v>
      </c>
    </row>
    <row r="287" spans="1:7" ht="15" customHeight="1" x14ac:dyDescent="0.3">
      <c r="A287" s="5" t="s">
        <v>182</v>
      </c>
      <c r="B287" s="5" t="s">
        <v>53</v>
      </c>
      <c r="C287" s="5" t="s">
        <v>94</v>
      </c>
      <c r="D287" s="5" t="s">
        <v>36</v>
      </c>
      <c r="E287" s="5">
        <v>11</v>
      </c>
      <c r="F287" s="5">
        <v>8360.6</v>
      </c>
      <c r="G287" s="5">
        <v>8324.58</v>
      </c>
    </row>
    <row r="288" spans="1:7" ht="15" customHeight="1" x14ac:dyDescent="0.3">
      <c r="A288" s="5" t="s">
        <v>182</v>
      </c>
      <c r="B288" s="5" t="s">
        <v>11</v>
      </c>
      <c r="C288" s="5" t="s">
        <v>60</v>
      </c>
      <c r="D288" s="5" t="s">
        <v>56</v>
      </c>
      <c r="E288" s="5">
        <v>6</v>
      </c>
      <c r="F288" s="5">
        <v>3024.62</v>
      </c>
      <c r="G288" s="5">
        <v>2894.56</v>
      </c>
    </row>
    <row r="289" spans="1:7" ht="15" customHeight="1" x14ac:dyDescent="0.3">
      <c r="A289" s="5" t="s">
        <v>182</v>
      </c>
      <c r="B289" s="5" t="s">
        <v>8</v>
      </c>
      <c r="C289" s="5" t="s">
        <v>102</v>
      </c>
      <c r="D289" s="5" t="s">
        <v>72</v>
      </c>
      <c r="E289" s="5">
        <v>11</v>
      </c>
      <c r="F289" s="5">
        <v>4421.05</v>
      </c>
      <c r="G289" s="5">
        <v>4022.37</v>
      </c>
    </row>
    <row r="290" spans="1:7" ht="15" customHeight="1" x14ac:dyDescent="0.3">
      <c r="A290" s="5" t="s">
        <v>183</v>
      </c>
      <c r="B290" s="5" t="s">
        <v>53</v>
      </c>
      <c r="C290" s="5" t="s">
        <v>54</v>
      </c>
      <c r="D290" s="5" t="s">
        <v>26</v>
      </c>
      <c r="E290" s="5">
        <v>6</v>
      </c>
      <c r="F290" s="5">
        <v>1464.15</v>
      </c>
      <c r="G290" s="5">
        <v>1400.2</v>
      </c>
    </row>
    <row r="291" spans="1:7" ht="15" customHeight="1" x14ac:dyDescent="0.3">
      <c r="A291" s="5" t="s">
        <v>183</v>
      </c>
      <c r="B291" s="5" t="s">
        <v>8</v>
      </c>
      <c r="C291" s="5" t="s">
        <v>90</v>
      </c>
      <c r="D291" s="5" t="s">
        <v>16</v>
      </c>
      <c r="E291" s="5">
        <v>8</v>
      </c>
      <c r="F291" s="5">
        <v>3148.38</v>
      </c>
      <c r="G291" s="5">
        <v>2969.07</v>
      </c>
    </row>
    <row r="292" spans="1:7" ht="15" customHeight="1" x14ac:dyDescent="0.3">
      <c r="A292" s="5" t="s">
        <v>183</v>
      </c>
      <c r="B292" s="5" t="s">
        <v>28</v>
      </c>
      <c r="C292" s="5" t="s">
        <v>66</v>
      </c>
      <c r="D292" s="5" t="s">
        <v>80</v>
      </c>
      <c r="E292" s="5">
        <v>10</v>
      </c>
      <c r="F292" s="5">
        <v>7227.19</v>
      </c>
      <c r="G292" s="5">
        <v>6597.43</v>
      </c>
    </row>
    <row r="293" spans="1:7" ht="15" customHeight="1" x14ac:dyDescent="0.3">
      <c r="A293" s="5" t="s">
        <v>183</v>
      </c>
      <c r="B293" s="5" t="s">
        <v>53</v>
      </c>
      <c r="C293" s="5" t="s">
        <v>58</v>
      </c>
      <c r="D293" s="5" t="s">
        <v>10</v>
      </c>
      <c r="E293" s="5">
        <v>7</v>
      </c>
      <c r="F293" s="5">
        <v>8076.56</v>
      </c>
      <c r="G293" s="5">
        <v>7983.2</v>
      </c>
    </row>
    <row r="294" spans="1:7" ht="15" customHeight="1" x14ac:dyDescent="0.3">
      <c r="A294" s="5" t="s">
        <v>184</v>
      </c>
      <c r="B294" s="5" t="s">
        <v>22</v>
      </c>
      <c r="C294" s="5" t="s">
        <v>78</v>
      </c>
      <c r="D294" s="5" t="s">
        <v>36</v>
      </c>
      <c r="E294" s="5">
        <v>6</v>
      </c>
      <c r="F294" s="5">
        <v>4467.91</v>
      </c>
      <c r="G294" s="5">
        <v>4077.42</v>
      </c>
    </row>
    <row r="295" spans="1:7" ht="15" customHeight="1" x14ac:dyDescent="0.3">
      <c r="A295" s="5" t="s">
        <v>184</v>
      </c>
      <c r="B295" s="5" t="s">
        <v>53</v>
      </c>
      <c r="C295" s="5" t="s">
        <v>94</v>
      </c>
      <c r="D295" s="5" t="s">
        <v>56</v>
      </c>
      <c r="E295" s="5">
        <v>7</v>
      </c>
      <c r="F295" s="5">
        <v>3629.88</v>
      </c>
      <c r="G295" s="5">
        <v>3872.09</v>
      </c>
    </row>
    <row r="296" spans="1:7" ht="15" customHeight="1" x14ac:dyDescent="0.3">
      <c r="A296" s="5" t="s">
        <v>184</v>
      </c>
      <c r="B296" s="5" t="s">
        <v>17</v>
      </c>
      <c r="C296" s="5" t="s">
        <v>18</v>
      </c>
      <c r="D296" s="5" t="s">
        <v>13</v>
      </c>
      <c r="E296" s="5">
        <v>9</v>
      </c>
      <c r="F296" s="5">
        <v>5865.44</v>
      </c>
      <c r="G296" s="5">
        <v>5412.63</v>
      </c>
    </row>
    <row r="297" spans="1:7" ht="15" customHeight="1" x14ac:dyDescent="0.3">
      <c r="A297" s="5" t="s">
        <v>185</v>
      </c>
      <c r="B297" s="5" t="s">
        <v>34</v>
      </c>
      <c r="C297" s="5" t="s">
        <v>35</v>
      </c>
      <c r="D297" s="5" t="s">
        <v>33</v>
      </c>
      <c r="E297" s="5">
        <v>9</v>
      </c>
      <c r="F297" s="5">
        <v>14381.37</v>
      </c>
      <c r="G297" s="5">
        <v>13936.63</v>
      </c>
    </row>
    <row r="298" spans="1:7" ht="15" customHeight="1" x14ac:dyDescent="0.3">
      <c r="A298" s="5" t="s">
        <v>185</v>
      </c>
      <c r="B298" s="5" t="s">
        <v>42</v>
      </c>
      <c r="C298" s="5" t="s">
        <v>111</v>
      </c>
      <c r="D298" s="5" t="s">
        <v>56</v>
      </c>
      <c r="E298" s="5">
        <v>6</v>
      </c>
      <c r="F298" s="5">
        <v>2827.35</v>
      </c>
      <c r="G298" s="5">
        <v>2672.54</v>
      </c>
    </row>
    <row r="299" spans="1:7" ht="15" customHeight="1" x14ac:dyDescent="0.3">
      <c r="A299" s="5" t="s">
        <v>185</v>
      </c>
      <c r="B299" s="5" t="s">
        <v>8</v>
      </c>
      <c r="C299" s="5" t="s">
        <v>83</v>
      </c>
      <c r="D299" s="5" t="s">
        <v>99</v>
      </c>
      <c r="E299" s="5">
        <v>4</v>
      </c>
      <c r="F299" s="5">
        <v>284.16000000000003</v>
      </c>
      <c r="G299" s="5">
        <v>268.98</v>
      </c>
    </row>
    <row r="300" spans="1:7" ht="15" customHeight="1" x14ac:dyDescent="0.3">
      <c r="A300" s="5" t="s">
        <v>186</v>
      </c>
      <c r="B300" s="5" t="s">
        <v>8</v>
      </c>
      <c r="C300" s="5" t="s">
        <v>102</v>
      </c>
      <c r="D300" s="5" t="s">
        <v>36</v>
      </c>
      <c r="E300" s="5">
        <v>6</v>
      </c>
      <c r="F300" s="5">
        <v>4536.4399999999996</v>
      </c>
      <c r="G300" s="5">
        <v>5014.54</v>
      </c>
    </row>
    <row r="301" spans="1:7" ht="15" customHeight="1" x14ac:dyDescent="0.3">
      <c r="A301" s="5" t="s">
        <v>186</v>
      </c>
      <c r="B301" s="5" t="s">
        <v>17</v>
      </c>
      <c r="C301" s="5" t="s">
        <v>19</v>
      </c>
      <c r="D301" s="5" t="s">
        <v>72</v>
      </c>
      <c r="E301" s="5">
        <v>7</v>
      </c>
      <c r="F301" s="5">
        <v>3014.76</v>
      </c>
      <c r="G301" s="5">
        <v>2480.0500000000002</v>
      </c>
    </row>
    <row r="302" spans="1:7" ht="15" customHeight="1" x14ac:dyDescent="0.3">
      <c r="A302" s="5" t="s">
        <v>186</v>
      </c>
      <c r="B302" s="5" t="s">
        <v>34</v>
      </c>
      <c r="C302" s="5" t="s">
        <v>79</v>
      </c>
      <c r="D302" s="5" t="s">
        <v>49</v>
      </c>
      <c r="E302" s="5">
        <v>5</v>
      </c>
      <c r="F302" s="5">
        <v>1960.54</v>
      </c>
      <c r="G302" s="5">
        <v>2037.61</v>
      </c>
    </row>
    <row r="303" spans="1:7" ht="15" customHeight="1" x14ac:dyDescent="0.3">
      <c r="A303" s="5" t="s">
        <v>187</v>
      </c>
      <c r="B303" s="5" t="s">
        <v>34</v>
      </c>
      <c r="C303" s="5" t="s">
        <v>35</v>
      </c>
      <c r="D303" s="5" t="s">
        <v>30</v>
      </c>
      <c r="E303" s="5">
        <v>1</v>
      </c>
      <c r="F303" s="5">
        <v>445</v>
      </c>
      <c r="G303" s="5">
        <v>425.46</v>
      </c>
    </row>
    <row r="304" spans="1:7" ht="15" customHeight="1" x14ac:dyDescent="0.3">
      <c r="A304" s="5" t="s">
        <v>187</v>
      </c>
      <c r="B304" s="5" t="s">
        <v>42</v>
      </c>
      <c r="C304" s="5" t="s">
        <v>62</v>
      </c>
      <c r="D304" s="5" t="s">
        <v>65</v>
      </c>
      <c r="E304" s="5">
        <v>8</v>
      </c>
      <c r="F304" s="5">
        <v>10713.57</v>
      </c>
      <c r="G304" s="5">
        <v>11496.89</v>
      </c>
    </row>
    <row r="305" spans="1:7" ht="15" customHeight="1" x14ac:dyDescent="0.3">
      <c r="A305" s="5" t="s">
        <v>187</v>
      </c>
      <c r="B305" s="5" t="s">
        <v>17</v>
      </c>
      <c r="C305" s="5" t="s">
        <v>19</v>
      </c>
      <c r="D305" s="5" t="s">
        <v>99</v>
      </c>
      <c r="E305" s="5">
        <v>11</v>
      </c>
      <c r="F305" s="5">
        <v>916.88</v>
      </c>
      <c r="G305" s="5">
        <v>802.56</v>
      </c>
    </row>
    <row r="306" spans="1:7" ht="15" customHeight="1" x14ac:dyDescent="0.3">
      <c r="A306" s="5" t="s">
        <v>188</v>
      </c>
      <c r="B306" s="5" t="s">
        <v>22</v>
      </c>
      <c r="C306" s="5" t="s">
        <v>123</v>
      </c>
      <c r="D306" s="5" t="s">
        <v>97</v>
      </c>
      <c r="E306" s="5">
        <v>6</v>
      </c>
      <c r="F306" s="5">
        <v>5282.25</v>
      </c>
      <c r="G306" s="5">
        <v>4515.82</v>
      </c>
    </row>
    <row r="307" spans="1:7" ht="15" customHeight="1" x14ac:dyDescent="0.3">
      <c r="A307" s="5" t="s">
        <v>188</v>
      </c>
      <c r="B307" s="5" t="s">
        <v>28</v>
      </c>
      <c r="C307" s="5" t="s">
        <v>66</v>
      </c>
      <c r="D307" s="5" t="s">
        <v>61</v>
      </c>
      <c r="E307" s="5">
        <v>6</v>
      </c>
      <c r="F307" s="5">
        <v>4351.4799999999996</v>
      </c>
      <c r="G307" s="5">
        <v>4778.09</v>
      </c>
    </row>
    <row r="308" spans="1:7" ht="15" customHeight="1" x14ac:dyDescent="0.3">
      <c r="A308" s="5" t="s">
        <v>188</v>
      </c>
      <c r="B308" s="5" t="s">
        <v>22</v>
      </c>
      <c r="C308" s="5" t="s">
        <v>100</v>
      </c>
      <c r="D308" s="5" t="s">
        <v>65</v>
      </c>
      <c r="E308" s="5">
        <v>6</v>
      </c>
      <c r="F308" s="5">
        <v>9773.6200000000008</v>
      </c>
      <c r="G308" s="5">
        <v>10027.9</v>
      </c>
    </row>
    <row r="309" spans="1:7" ht="15" customHeight="1" x14ac:dyDescent="0.3">
      <c r="A309" s="5" t="s">
        <v>188</v>
      </c>
      <c r="B309" s="5" t="s">
        <v>28</v>
      </c>
      <c r="C309" s="5" t="s">
        <v>29</v>
      </c>
      <c r="D309" s="5" t="s">
        <v>113</v>
      </c>
      <c r="E309" s="5">
        <v>1</v>
      </c>
      <c r="F309" s="5">
        <v>334.73</v>
      </c>
      <c r="G309" s="5">
        <v>334.24</v>
      </c>
    </row>
    <row r="310" spans="1:7" ht="15" customHeight="1" x14ac:dyDescent="0.3">
      <c r="A310" s="5" t="s">
        <v>189</v>
      </c>
      <c r="B310" s="5" t="s">
        <v>42</v>
      </c>
      <c r="C310" s="5" t="s">
        <v>43</v>
      </c>
      <c r="D310" s="5" t="s">
        <v>69</v>
      </c>
      <c r="E310" s="5">
        <v>3</v>
      </c>
      <c r="F310" s="5">
        <v>1062.8399999999999</v>
      </c>
      <c r="G310" s="5">
        <v>931.1</v>
      </c>
    </row>
    <row r="311" spans="1:7" ht="15" customHeight="1" x14ac:dyDescent="0.3">
      <c r="A311" s="5" t="s">
        <v>190</v>
      </c>
      <c r="B311" s="5" t="s">
        <v>28</v>
      </c>
      <c r="C311" s="5" t="s">
        <v>66</v>
      </c>
      <c r="D311" s="5" t="s">
        <v>36</v>
      </c>
      <c r="E311" s="5">
        <v>8</v>
      </c>
      <c r="F311" s="5">
        <v>5704.11</v>
      </c>
      <c r="G311" s="5">
        <v>6099.3</v>
      </c>
    </row>
    <row r="312" spans="1:7" ht="15" customHeight="1" x14ac:dyDescent="0.3">
      <c r="A312" s="5" t="s">
        <v>191</v>
      </c>
      <c r="B312" s="5" t="s">
        <v>17</v>
      </c>
      <c r="C312" s="5" t="s">
        <v>68</v>
      </c>
      <c r="D312" s="5" t="s">
        <v>10</v>
      </c>
      <c r="E312" s="5">
        <v>8</v>
      </c>
      <c r="F312" s="5">
        <v>7649.11</v>
      </c>
      <c r="G312" s="5">
        <v>9703.5400000000009</v>
      </c>
    </row>
    <row r="313" spans="1:7" ht="15" customHeight="1" x14ac:dyDescent="0.3">
      <c r="A313" s="5" t="s">
        <v>191</v>
      </c>
      <c r="B313" s="5" t="s">
        <v>42</v>
      </c>
      <c r="C313" s="5" t="s">
        <v>111</v>
      </c>
      <c r="D313" s="5" t="s">
        <v>96</v>
      </c>
      <c r="E313" s="5">
        <v>10</v>
      </c>
      <c r="F313" s="5">
        <v>14157.18</v>
      </c>
      <c r="G313" s="5">
        <v>15737.36</v>
      </c>
    </row>
    <row r="314" spans="1:7" ht="15" customHeight="1" x14ac:dyDescent="0.3">
      <c r="A314" s="5" t="s">
        <v>192</v>
      </c>
      <c r="B314" s="5" t="s">
        <v>8</v>
      </c>
      <c r="C314" s="5" t="s">
        <v>9</v>
      </c>
      <c r="D314" s="5" t="s">
        <v>10</v>
      </c>
      <c r="E314" s="5">
        <v>1</v>
      </c>
      <c r="F314" s="5">
        <v>1043.8699999999999</v>
      </c>
      <c r="G314" s="5">
        <v>1085.04</v>
      </c>
    </row>
    <row r="315" spans="1:7" ht="15" customHeight="1" x14ac:dyDescent="0.3">
      <c r="A315" s="5" t="s">
        <v>192</v>
      </c>
      <c r="B315" s="5" t="s">
        <v>17</v>
      </c>
      <c r="C315" s="5" t="s">
        <v>68</v>
      </c>
      <c r="D315" s="5" t="s">
        <v>48</v>
      </c>
      <c r="E315" s="5">
        <v>5</v>
      </c>
      <c r="F315" s="5">
        <v>1143.22</v>
      </c>
      <c r="G315" s="5">
        <v>1220.4000000000001</v>
      </c>
    </row>
    <row r="316" spans="1:7" ht="15" customHeight="1" x14ac:dyDescent="0.3">
      <c r="A316" s="5" t="s">
        <v>192</v>
      </c>
      <c r="B316" s="5" t="s">
        <v>53</v>
      </c>
      <c r="C316" s="5" t="s">
        <v>94</v>
      </c>
      <c r="D316" s="5" t="s">
        <v>26</v>
      </c>
      <c r="E316" s="5">
        <v>5</v>
      </c>
      <c r="F316" s="5">
        <v>1095.33</v>
      </c>
      <c r="G316" s="5">
        <v>1154.1500000000001</v>
      </c>
    </row>
    <row r="317" spans="1:7" ht="15" customHeight="1" x14ac:dyDescent="0.3">
      <c r="A317" s="5" t="s">
        <v>192</v>
      </c>
      <c r="B317" s="5" t="s">
        <v>22</v>
      </c>
      <c r="C317" s="5" t="s">
        <v>123</v>
      </c>
      <c r="D317" s="5" t="s">
        <v>99</v>
      </c>
      <c r="E317" s="5">
        <v>9</v>
      </c>
      <c r="F317" s="5">
        <v>636.21</v>
      </c>
      <c r="G317" s="5">
        <v>623.57000000000005</v>
      </c>
    </row>
    <row r="318" spans="1:7" ht="15" customHeight="1" x14ac:dyDescent="0.3">
      <c r="A318" s="5" t="s">
        <v>192</v>
      </c>
      <c r="B318" s="5" t="s">
        <v>22</v>
      </c>
      <c r="C318" s="5" t="s">
        <v>38</v>
      </c>
      <c r="D318" s="5" t="s">
        <v>16</v>
      </c>
      <c r="E318" s="5">
        <v>2</v>
      </c>
      <c r="F318" s="5">
        <v>781.17</v>
      </c>
      <c r="G318" s="5">
        <v>688.49</v>
      </c>
    </row>
    <row r="319" spans="1:7" ht="15" customHeight="1" x14ac:dyDescent="0.3">
      <c r="A319" s="5" t="s">
        <v>192</v>
      </c>
      <c r="B319" s="5" t="s">
        <v>53</v>
      </c>
      <c r="C319" s="5" t="s">
        <v>94</v>
      </c>
      <c r="D319" s="5" t="s">
        <v>65</v>
      </c>
      <c r="E319" s="5">
        <v>5</v>
      </c>
      <c r="F319" s="5">
        <v>7097.63</v>
      </c>
      <c r="G319" s="5">
        <v>8404.9500000000007</v>
      </c>
    </row>
    <row r="320" spans="1:7" ht="15" customHeight="1" x14ac:dyDescent="0.3">
      <c r="A320" s="5" t="s">
        <v>193</v>
      </c>
      <c r="B320" s="5" t="s">
        <v>8</v>
      </c>
      <c r="C320" s="5" t="s">
        <v>83</v>
      </c>
      <c r="D320" s="5" t="s">
        <v>69</v>
      </c>
      <c r="E320" s="5">
        <v>2</v>
      </c>
      <c r="F320" s="5">
        <v>697.05</v>
      </c>
      <c r="G320" s="5">
        <v>779.79</v>
      </c>
    </row>
    <row r="321" spans="1:7" ht="15" customHeight="1" x14ac:dyDescent="0.3">
      <c r="A321" s="5" t="s">
        <v>193</v>
      </c>
      <c r="B321" s="5" t="s">
        <v>34</v>
      </c>
      <c r="C321" s="5" t="s">
        <v>35</v>
      </c>
      <c r="D321" s="5" t="s">
        <v>65</v>
      </c>
      <c r="E321" s="5">
        <v>5</v>
      </c>
      <c r="F321" s="5">
        <v>6759.61</v>
      </c>
      <c r="G321" s="5">
        <v>7288.07</v>
      </c>
    </row>
    <row r="322" spans="1:7" ht="15" customHeight="1" x14ac:dyDescent="0.3">
      <c r="A322" s="5" t="s">
        <v>193</v>
      </c>
      <c r="B322" s="5" t="s">
        <v>28</v>
      </c>
      <c r="C322" s="5" t="s">
        <v>29</v>
      </c>
      <c r="D322" s="5" t="s">
        <v>129</v>
      </c>
      <c r="E322" s="5">
        <v>3</v>
      </c>
      <c r="F322" s="5">
        <v>1364.4</v>
      </c>
      <c r="G322" s="5">
        <v>1564.29</v>
      </c>
    </row>
    <row r="323" spans="1:7" ht="15" customHeight="1" x14ac:dyDescent="0.3">
      <c r="A323" s="5" t="s">
        <v>193</v>
      </c>
      <c r="B323" s="5" t="s">
        <v>22</v>
      </c>
      <c r="C323" s="5" t="s">
        <v>38</v>
      </c>
      <c r="D323" s="5" t="s">
        <v>97</v>
      </c>
      <c r="E323" s="5">
        <v>12</v>
      </c>
      <c r="F323" s="5">
        <v>9456.24</v>
      </c>
      <c r="G323" s="5">
        <v>10365.31</v>
      </c>
    </row>
    <row r="324" spans="1:7" ht="15" customHeight="1" x14ac:dyDescent="0.3">
      <c r="A324" s="5" t="s">
        <v>194</v>
      </c>
      <c r="B324" s="5" t="s">
        <v>53</v>
      </c>
      <c r="C324" s="5" t="s">
        <v>93</v>
      </c>
      <c r="D324" s="5" t="s">
        <v>113</v>
      </c>
      <c r="E324" s="5">
        <v>4</v>
      </c>
      <c r="F324" s="5">
        <v>1320.84</v>
      </c>
      <c r="G324" s="5">
        <v>1341.61</v>
      </c>
    </row>
    <row r="325" spans="1:7" ht="15" customHeight="1" x14ac:dyDescent="0.3">
      <c r="A325" s="5" t="s">
        <v>195</v>
      </c>
      <c r="B325" s="5" t="s">
        <v>17</v>
      </c>
      <c r="C325" s="5" t="s">
        <v>18</v>
      </c>
      <c r="D325" s="5" t="s">
        <v>96</v>
      </c>
      <c r="E325" s="5">
        <v>7</v>
      </c>
      <c r="F325" s="5">
        <v>10354.14</v>
      </c>
      <c r="G325" s="5">
        <v>9457.68</v>
      </c>
    </row>
    <row r="326" spans="1:7" ht="15" customHeight="1" x14ac:dyDescent="0.3">
      <c r="A326" s="5" t="s">
        <v>196</v>
      </c>
      <c r="B326" s="5" t="s">
        <v>42</v>
      </c>
      <c r="C326" s="5" t="s">
        <v>47</v>
      </c>
      <c r="D326" s="5" t="s">
        <v>49</v>
      </c>
      <c r="E326" s="5">
        <v>5</v>
      </c>
      <c r="F326" s="5">
        <v>2016.58</v>
      </c>
      <c r="G326" s="5">
        <v>1897.17</v>
      </c>
    </row>
    <row r="327" spans="1:7" ht="15" customHeight="1" x14ac:dyDescent="0.3">
      <c r="A327" s="5" t="s">
        <v>196</v>
      </c>
      <c r="B327" s="5" t="s">
        <v>22</v>
      </c>
      <c r="C327" s="5" t="s">
        <v>114</v>
      </c>
      <c r="D327" s="5" t="s">
        <v>69</v>
      </c>
      <c r="E327" s="5">
        <v>4</v>
      </c>
      <c r="F327" s="5">
        <v>1282.27</v>
      </c>
      <c r="G327" s="5">
        <v>1310.8</v>
      </c>
    </row>
    <row r="328" spans="1:7" ht="15" customHeight="1" x14ac:dyDescent="0.3">
      <c r="A328" s="5" t="s">
        <v>196</v>
      </c>
      <c r="B328" s="5" t="s">
        <v>17</v>
      </c>
      <c r="C328" s="5" t="s">
        <v>18</v>
      </c>
      <c r="D328" s="5" t="s">
        <v>65</v>
      </c>
      <c r="E328" s="5">
        <v>4</v>
      </c>
      <c r="F328" s="5">
        <v>6353.06</v>
      </c>
      <c r="G328" s="5">
        <v>6118.43</v>
      </c>
    </row>
    <row r="329" spans="1:7" ht="15" customHeight="1" x14ac:dyDescent="0.3">
      <c r="A329" s="5" t="s">
        <v>197</v>
      </c>
      <c r="B329" s="5" t="s">
        <v>17</v>
      </c>
      <c r="C329" s="5" t="s">
        <v>18</v>
      </c>
      <c r="D329" s="5" t="s">
        <v>103</v>
      </c>
      <c r="E329" s="5">
        <v>9</v>
      </c>
      <c r="F329" s="5">
        <v>6540.62</v>
      </c>
      <c r="G329" s="5">
        <v>6530.14</v>
      </c>
    </row>
    <row r="330" spans="1:7" ht="15" customHeight="1" x14ac:dyDescent="0.3">
      <c r="A330" s="5" t="s">
        <v>197</v>
      </c>
      <c r="B330" s="5" t="s">
        <v>53</v>
      </c>
      <c r="C330" s="5" t="s">
        <v>93</v>
      </c>
      <c r="D330" s="5" t="s">
        <v>10</v>
      </c>
      <c r="E330" s="5">
        <v>2</v>
      </c>
      <c r="F330" s="5">
        <v>2099.23</v>
      </c>
      <c r="G330" s="5">
        <v>2204.67</v>
      </c>
    </row>
    <row r="331" spans="1:7" ht="15" customHeight="1" x14ac:dyDescent="0.3">
      <c r="A331" s="5" t="s">
        <v>198</v>
      </c>
      <c r="B331" s="5" t="s">
        <v>53</v>
      </c>
      <c r="C331" s="5" t="s">
        <v>93</v>
      </c>
      <c r="D331" s="5" t="s">
        <v>80</v>
      </c>
      <c r="E331" s="5">
        <v>7</v>
      </c>
      <c r="F331" s="5">
        <v>4258.26</v>
      </c>
      <c r="G331" s="5">
        <v>5093.09</v>
      </c>
    </row>
    <row r="332" spans="1:7" ht="15" customHeight="1" x14ac:dyDescent="0.3">
      <c r="A332" s="5" t="s">
        <v>198</v>
      </c>
      <c r="B332" s="5" t="s">
        <v>11</v>
      </c>
      <c r="C332" s="5" t="s">
        <v>12</v>
      </c>
      <c r="D332" s="5" t="s">
        <v>55</v>
      </c>
      <c r="E332" s="5">
        <v>12</v>
      </c>
      <c r="F332" s="5">
        <v>4266.0200000000004</v>
      </c>
      <c r="G332" s="5">
        <v>3890.17</v>
      </c>
    </row>
    <row r="333" spans="1:7" ht="15" customHeight="1" x14ac:dyDescent="0.3">
      <c r="A333" s="5" t="s">
        <v>199</v>
      </c>
      <c r="B333" s="5" t="s">
        <v>17</v>
      </c>
      <c r="C333" s="5" t="s">
        <v>68</v>
      </c>
      <c r="D333" s="5" t="s">
        <v>30</v>
      </c>
      <c r="E333" s="5">
        <v>6</v>
      </c>
      <c r="F333" s="5">
        <v>2908.01</v>
      </c>
      <c r="G333" s="5">
        <v>2750.03</v>
      </c>
    </row>
    <row r="334" spans="1:7" ht="15" customHeight="1" x14ac:dyDescent="0.3">
      <c r="A334" s="5" t="s">
        <v>200</v>
      </c>
      <c r="B334" s="5" t="s">
        <v>8</v>
      </c>
      <c r="C334" s="5" t="s">
        <v>126</v>
      </c>
      <c r="D334" s="5" t="s">
        <v>99</v>
      </c>
      <c r="E334" s="5">
        <v>12</v>
      </c>
      <c r="F334" s="5">
        <v>998.5</v>
      </c>
      <c r="G334" s="5">
        <v>824.45</v>
      </c>
    </row>
    <row r="335" spans="1:7" ht="15" customHeight="1" x14ac:dyDescent="0.3">
      <c r="A335" s="5" t="s">
        <v>200</v>
      </c>
      <c r="B335" s="5" t="s">
        <v>28</v>
      </c>
      <c r="C335" s="5" t="s">
        <v>66</v>
      </c>
      <c r="D335" s="5" t="s">
        <v>10</v>
      </c>
      <c r="E335" s="5">
        <v>1</v>
      </c>
      <c r="F335" s="5">
        <v>1108</v>
      </c>
      <c r="G335" s="5">
        <v>1152.48</v>
      </c>
    </row>
    <row r="336" spans="1:7" ht="15" customHeight="1" x14ac:dyDescent="0.3">
      <c r="A336" s="5" t="s">
        <v>201</v>
      </c>
      <c r="B336" s="5" t="s">
        <v>17</v>
      </c>
      <c r="C336" s="5" t="s">
        <v>68</v>
      </c>
      <c r="D336" s="5" t="s">
        <v>51</v>
      </c>
      <c r="E336" s="5">
        <v>12</v>
      </c>
      <c r="F336" s="5">
        <v>9967</v>
      </c>
      <c r="G336" s="5">
        <v>8515.5300000000007</v>
      </c>
    </row>
    <row r="337" spans="1:7" ht="15" customHeight="1" x14ac:dyDescent="0.3">
      <c r="A337" s="5" t="s">
        <v>201</v>
      </c>
      <c r="B337" s="5" t="s">
        <v>34</v>
      </c>
      <c r="C337" s="5" t="s">
        <v>79</v>
      </c>
      <c r="D337" s="5" t="s">
        <v>96</v>
      </c>
      <c r="E337" s="5">
        <v>11</v>
      </c>
      <c r="F337" s="5">
        <v>15022.76</v>
      </c>
      <c r="G337" s="5">
        <v>15517.62</v>
      </c>
    </row>
    <row r="338" spans="1:7" ht="15" customHeight="1" x14ac:dyDescent="0.3">
      <c r="A338" s="5" t="s">
        <v>201</v>
      </c>
      <c r="B338" s="5" t="s">
        <v>42</v>
      </c>
      <c r="C338" s="5" t="s">
        <v>85</v>
      </c>
      <c r="D338" s="5" t="s">
        <v>86</v>
      </c>
      <c r="E338" s="5">
        <v>6</v>
      </c>
      <c r="F338" s="5">
        <v>1758.94</v>
      </c>
      <c r="G338" s="5">
        <v>1690.33</v>
      </c>
    </row>
    <row r="339" spans="1:7" ht="15" customHeight="1" x14ac:dyDescent="0.3">
      <c r="A339" s="5" t="s">
        <v>201</v>
      </c>
      <c r="B339" s="5" t="s">
        <v>34</v>
      </c>
      <c r="C339" s="5" t="s">
        <v>75</v>
      </c>
      <c r="D339" s="5" t="s">
        <v>91</v>
      </c>
      <c r="E339" s="5">
        <v>7</v>
      </c>
      <c r="F339" s="5">
        <v>2118.7800000000002</v>
      </c>
      <c r="G339" s="5">
        <v>1947.68</v>
      </c>
    </row>
    <row r="340" spans="1:7" ht="15" customHeight="1" x14ac:dyDescent="0.3">
      <c r="A340" s="5" t="s">
        <v>201</v>
      </c>
      <c r="B340" s="5" t="s">
        <v>28</v>
      </c>
      <c r="C340" s="5" t="s">
        <v>66</v>
      </c>
      <c r="D340" s="5" t="s">
        <v>97</v>
      </c>
      <c r="E340" s="5">
        <v>8</v>
      </c>
      <c r="F340" s="5">
        <v>6760.15</v>
      </c>
      <c r="G340" s="5">
        <v>7099.93</v>
      </c>
    </row>
    <row r="341" spans="1:7" ht="15" customHeight="1" x14ac:dyDescent="0.3">
      <c r="A341" s="5" t="s">
        <v>202</v>
      </c>
      <c r="B341" s="5" t="s">
        <v>28</v>
      </c>
      <c r="C341" s="5" t="s">
        <v>29</v>
      </c>
      <c r="D341" s="5" t="s">
        <v>97</v>
      </c>
      <c r="E341" s="5">
        <v>5</v>
      </c>
      <c r="F341" s="5">
        <v>3874.75</v>
      </c>
      <c r="G341" s="5">
        <v>4437.63</v>
      </c>
    </row>
    <row r="342" spans="1:7" ht="15" customHeight="1" x14ac:dyDescent="0.3">
      <c r="A342" s="5" t="s">
        <v>202</v>
      </c>
      <c r="B342" s="5" t="s">
        <v>28</v>
      </c>
      <c r="C342" s="5" t="s">
        <v>29</v>
      </c>
      <c r="D342" s="5" t="s">
        <v>51</v>
      </c>
      <c r="E342" s="5">
        <v>11</v>
      </c>
      <c r="F342" s="5">
        <v>9082.94</v>
      </c>
      <c r="G342" s="5">
        <v>9063.2199999999993</v>
      </c>
    </row>
    <row r="343" spans="1:7" ht="15" customHeight="1" x14ac:dyDescent="0.3">
      <c r="A343" s="5" t="s">
        <v>202</v>
      </c>
      <c r="B343" s="5" t="s">
        <v>11</v>
      </c>
      <c r="C343" s="5" t="s">
        <v>76</v>
      </c>
      <c r="D343" s="5" t="s">
        <v>49</v>
      </c>
      <c r="E343" s="5">
        <v>4</v>
      </c>
      <c r="F343" s="5">
        <v>1642</v>
      </c>
      <c r="G343" s="5">
        <v>1453.7</v>
      </c>
    </row>
    <row r="344" spans="1:7" ht="15" customHeight="1" x14ac:dyDescent="0.3">
      <c r="A344" s="5" t="s">
        <v>202</v>
      </c>
      <c r="B344" s="5" t="s">
        <v>42</v>
      </c>
      <c r="C344" s="5" t="s">
        <v>63</v>
      </c>
      <c r="D344" s="5" t="s">
        <v>99</v>
      </c>
      <c r="E344" s="5">
        <v>4</v>
      </c>
      <c r="F344" s="5">
        <v>324.66000000000003</v>
      </c>
      <c r="G344" s="5">
        <v>274.60000000000002</v>
      </c>
    </row>
    <row r="345" spans="1:7" ht="15" customHeight="1" x14ac:dyDescent="0.3">
      <c r="A345" s="5" t="s">
        <v>203</v>
      </c>
      <c r="B345" s="5" t="s">
        <v>17</v>
      </c>
      <c r="C345" s="5" t="s">
        <v>68</v>
      </c>
      <c r="D345" s="5" t="s">
        <v>30</v>
      </c>
      <c r="E345" s="5">
        <v>6</v>
      </c>
      <c r="F345" s="5">
        <v>2743.24</v>
      </c>
      <c r="G345" s="5">
        <v>2743.19</v>
      </c>
    </row>
    <row r="346" spans="1:7" ht="15" customHeight="1" x14ac:dyDescent="0.3">
      <c r="A346" s="5" t="s">
        <v>203</v>
      </c>
      <c r="B346" s="5" t="s">
        <v>28</v>
      </c>
      <c r="C346" s="5" t="s">
        <v>66</v>
      </c>
      <c r="D346" s="5" t="s">
        <v>13</v>
      </c>
      <c r="E346" s="5">
        <v>5</v>
      </c>
      <c r="F346" s="5">
        <v>2949.34</v>
      </c>
      <c r="G346" s="5">
        <v>2625.36</v>
      </c>
    </row>
    <row r="347" spans="1:7" ht="15" customHeight="1" x14ac:dyDescent="0.3">
      <c r="A347" s="5" t="s">
        <v>204</v>
      </c>
      <c r="B347" s="5" t="s">
        <v>11</v>
      </c>
      <c r="C347" s="5" t="s">
        <v>76</v>
      </c>
      <c r="D347" s="5" t="s">
        <v>80</v>
      </c>
      <c r="E347" s="5">
        <v>6</v>
      </c>
      <c r="F347" s="5">
        <v>3653.95</v>
      </c>
      <c r="G347" s="5">
        <v>4422.59</v>
      </c>
    </row>
    <row r="348" spans="1:7" ht="15" customHeight="1" x14ac:dyDescent="0.3">
      <c r="A348" s="5" t="s">
        <v>205</v>
      </c>
      <c r="B348" s="5" t="s">
        <v>17</v>
      </c>
      <c r="C348" s="5" t="s">
        <v>18</v>
      </c>
      <c r="D348" s="5" t="s">
        <v>51</v>
      </c>
      <c r="E348" s="5">
        <v>11</v>
      </c>
      <c r="F348" s="5">
        <v>8696.51</v>
      </c>
      <c r="G348" s="5">
        <v>8559.4</v>
      </c>
    </row>
    <row r="349" spans="1:7" ht="15" customHeight="1" x14ac:dyDescent="0.3">
      <c r="A349" s="5" t="s">
        <v>205</v>
      </c>
      <c r="B349" s="5" t="s">
        <v>34</v>
      </c>
      <c r="C349" s="5" t="s">
        <v>79</v>
      </c>
      <c r="D349" s="5" t="s">
        <v>39</v>
      </c>
      <c r="E349" s="5">
        <v>4</v>
      </c>
      <c r="F349" s="5">
        <v>751.22</v>
      </c>
      <c r="G349" s="5">
        <v>740.68</v>
      </c>
    </row>
    <row r="350" spans="1:7" ht="15" customHeight="1" x14ac:dyDescent="0.3">
      <c r="A350" s="5" t="s">
        <v>205</v>
      </c>
      <c r="B350" s="5" t="s">
        <v>22</v>
      </c>
      <c r="C350" s="5" t="s">
        <v>23</v>
      </c>
      <c r="D350" s="5" t="s">
        <v>20</v>
      </c>
      <c r="E350" s="5">
        <v>2</v>
      </c>
      <c r="F350" s="5">
        <v>858.37</v>
      </c>
      <c r="G350" s="5">
        <v>780.16</v>
      </c>
    </row>
    <row r="351" spans="1:7" ht="15" customHeight="1" x14ac:dyDescent="0.3">
      <c r="A351" s="5" t="s">
        <v>206</v>
      </c>
      <c r="B351" s="5" t="s">
        <v>22</v>
      </c>
      <c r="C351" s="5" t="s">
        <v>23</v>
      </c>
      <c r="D351" s="5" t="s">
        <v>97</v>
      </c>
      <c r="E351" s="5">
        <v>6</v>
      </c>
      <c r="F351" s="5">
        <v>5371.52</v>
      </c>
      <c r="G351" s="5">
        <v>4280.7299999999996</v>
      </c>
    </row>
    <row r="352" spans="1:7" ht="15" customHeight="1" x14ac:dyDescent="0.3">
      <c r="A352" s="5" t="s">
        <v>207</v>
      </c>
      <c r="B352" s="5" t="s">
        <v>11</v>
      </c>
      <c r="C352" s="5" t="s">
        <v>76</v>
      </c>
      <c r="D352" s="5" t="s">
        <v>48</v>
      </c>
      <c r="E352" s="5">
        <v>9</v>
      </c>
      <c r="F352" s="5">
        <v>1966.85</v>
      </c>
      <c r="G352" s="5">
        <v>2242.44</v>
      </c>
    </row>
    <row r="353" spans="1:7" ht="15" customHeight="1" x14ac:dyDescent="0.3">
      <c r="A353" s="5" t="s">
        <v>207</v>
      </c>
      <c r="B353" s="5" t="s">
        <v>8</v>
      </c>
      <c r="C353" s="5" t="s">
        <v>41</v>
      </c>
      <c r="D353" s="5" t="s">
        <v>96</v>
      </c>
      <c r="E353" s="5">
        <v>2</v>
      </c>
      <c r="F353" s="5">
        <v>3072.72</v>
      </c>
      <c r="G353" s="5">
        <v>2986.51</v>
      </c>
    </row>
    <row r="354" spans="1:7" ht="15" customHeight="1" x14ac:dyDescent="0.3">
      <c r="A354" s="5" t="s">
        <v>207</v>
      </c>
      <c r="B354" s="5" t="s">
        <v>34</v>
      </c>
      <c r="C354" s="5" t="s">
        <v>79</v>
      </c>
      <c r="D354" s="5" t="s">
        <v>97</v>
      </c>
      <c r="E354" s="5">
        <v>2</v>
      </c>
      <c r="F354" s="5">
        <v>1670.1</v>
      </c>
      <c r="G354" s="5">
        <v>1768.6</v>
      </c>
    </row>
    <row r="355" spans="1:7" ht="15" customHeight="1" x14ac:dyDescent="0.3">
      <c r="A355" s="5" t="s">
        <v>207</v>
      </c>
      <c r="B355" s="5" t="s">
        <v>28</v>
      </c>
      <c r="C355" s="5" t="s">
        <v>66</v>
      </c>
      <c r="D355" s="5" t="s">
        <v>96</v>
      </c>
      <c r="E355" s="5">
        <v>8</v>
      </c>
      <c r="F355" s="5">
        <v>12799.65</v>
      </c>
      <c r="G355" s="5">
        <v>11316.06</v>
      </c>
    </row>
    <row r="356" spans="1:7" ht="15" customHeight="1" x14ac:dyDescent="0.3">
      <c r="A356" s="5" t="s">
        <v>207</v>
      </c>
      <c r="B356" s="5" t="s">
        <v>11</v>
      </c>
      <c r="C356" s="5" t="s">
        <v>60</v>
      </c>
      <c r="D356" s="5" t="s">
        <v>103</v>
      </c>
      <c r="E356" s="5">
        <v>12</v>
      </c>
      <c r="F356" s="5">
        <v>9954.4599999999991</v>
      </c>
      <c r="G356" s="5">
        <v>9460.92</v>
      </c>
    </row>
    <row r="357" spans="1:7" ht="15" customHeight="1" x14ac:dyDescent="0.3">
      <c r="A357" s="5" t="s">
        <v>208</v>
      </c>
      <c r="B357" s="5" t="s">
        <v>42</v>
      </c>
      <c r="C357" s="5" t="s">
        <v>47</v>
      </c>
      <c r="D357" s="5" t="s">
        <v>69</v>
      </c>
      <c r="E357" s="5">
        <v>3</v>
      </c>
      <c r="F357" s="5">
        <v>1155.78</v>
      </c>
      <c r="G357" s="5">
        <v>1085.68</v>
      </c>
    </row>
    <row r="358" spans="1:7" ht="15" customHeight="1" x14ac:dyDescent="0.3">
      <c r="A358" s="5" t="s">
        <v>208</v>
      </c>
      <c r="B358" s="5" t="s">
        <v>17</v>
      </c>
      <c r="C358" s="5" t="s">
        <v>68</v>
      </c>
      <c r="D358" s="5" t="s">
        <v>96</v>
      </c>
      <c r="E358" s="5">
        <v>12</v>
      </c>
      <c r="F358" s="5">
        <v>18460</v>
      </c>
      <c r="G358" s="5">
        <v>19138.43</v>
      </c>
    </row>
    <row r="359" spans="1:7" ht="15" customHeight="1" x14ac:dyDescent="0.3">
      <c r="A359" s="5" t="s">
        <v>208</v>
      </c>
      <c r="B359" s="5" t="s">
        <v>8</v>
      </c>
      <c r="C359" s="5" t="s">
        <v>37</v>
      </c>
      <c r="D359" s="5" t="s">
        <v>55</v>
      </c>
      <c r="E359" s="5">
        <v>1</v>
      </c>
      <c r="F359" s="5">
        <v>378.57</v>
      </c>
      <c r="G359" s="5">
        <v>330.93</v>
      </c>
    </row>
    <row r="360" spans="1:7" ht="15" customHeight="1" x14ac:dyDescent="0.3">
      <c r="A360" s="5" t="s">
        <v>209</v>
      </c>
      <c r="B360" s="5" t="s">
        <v>28</v>
      </c>
      <c r="C360" s="5" t="s">
        <v>29</v>
      </c>
      <c r="D360" s="5" t="s">
        <v>80</v>
      </c>
      <c r="E360" s="5">
        <v>10</v>
      </c>
      <c r="F360" s="5">
        <v>6937.89</v>
      </c>
      <c r="G360" s="5">
        <v>5954.25</v>
      </c>
    </row>
    <row r="361" spans="1:7" ht="15" customHeight="1" x14ac:dyDescent="0.3">
      <c r="A361" s="5" t="s">
        <v>209</v>
      </c>
      <c r="B361" s="5" t="s">
        <v>53</v>
      </c>
      <c r="C361" s="5" t="s">
        <v>93</v>
      </c>
      <c r="D361" s="5" t="s">
        <v>49</v>
      </c>
      <c r="E361" s="5">
        <v>4</v>
      </c>
      <c r="F361" s="5">
        <v>1502.17</v>
      </c>
      <c r="G361" s="5">
        <v>1377.05</v>
      </c>
    </row>
    <row r="362" spans="1:7" ht="15" customHeight="1" x14ac:dyDescent="0.3">
      <c r="A362" s="5" t="s">
        <v>209</v>
      </c>
      <c r="B362" s="5" t="s">
        <v>8</v>
      </c>
      <c r="C362" s="5" t="s">
        <v>83</v>
      </c>
      <c r="D362" s="5" t="s">
        <v>91</v>
      </c>
      <c r="E362" s="5">
        <v>12</v>
      </c>
      <c r="F362" s="5">
        <v>3336.7</v>
      </c>
      <c r="G362" s="5">
        <v>3607.93</v>
      </c>
    </row>
    <row r="363" spans="1:7" ht="15" customHeight="1" x14ac:dyDescent="0.3">
      <c r="A363" s="5" t="s">
        <v>210</v>
      </c>
      <c r="B363" s="5" t="s">
        <v>53</v>
      </c>
      <c r="C363" s="5" t="s">
        <v>71</v>
      </c>
      <c r="D363" s="5" t="s">
        <v>72</v>
      </c>
      <c r="E363" s="5">
        <v>1</v>
      </c>
      <c r="F363" s="5">
        <v>367.62</v>
      </c>
      <c r="G363" s="5">
        <v>359.59</v>
      </c>
    </row>
    <row r="364" spans="1:7" ht="15" customHeight="1" x14ac:dyDescent="0.3">
      <c r="A364" s="5" t="s">
        <v>210</v>
      </c>
      <c r="B364" s="5" t="s">
        <v>22</v>
      </c>
      <c r="C364" s="5" t="s">
        <v>23</v>
      </c>
      <c r="D364" s="5" t="s">
        <v>99</v>
      </c>
      <c r="E364" s="5">
        <v>4</v>
      </c>
      <c r="F364" s="5">
        <v>312.33</v>
      </c>
      <c r="G364" s="5">
        <v>337.53</v>
      </c>
    </row>
    <row r="365" spans="1:7" ht="15" customHeight="1" x14ac:dyDescent="0.3">
      <c r="A365" s="5" t="s">
        <v>210</v>
      </c>
      <c r="B365" s="5" t="s">
        <v>42</v>
      </c>
      <c r="C365" s="5" t="s">
        <v>43</v>
      </c>
      <c r="D365" s="5" t="s">
        <v>65</v>
      </c>
      <c r="E365" s="5">
        <v>10</v>
      </c>
      <c r="F365" s="5">
        <v>14359.83</v>
      </c>
      <c r="G365" s="5">
        <v>12615.73</v>
      </c>
    </row>
    <row r="366" spans="1:7" ht="15" customHeight="1" x14ac:dyDescent="0.3">
      <c r="A366" s="5" t="s">
        <v>210</v>
      </c>
      <c r="B366" s="5" t="s">
        <v>53</v>
      </c>
      <c r="C366" s="5" t="s">
        <v>58</v>
      </c>
      <c r="D366" s="5" t="s">
        <v>97</v>
      </c>
      <c r="E366" s="5">
        <v>10</v>
      </c>
      <c r="F366" s="5">
        <v>8857.66</v>
      </c>
      <c r="G366" s="5">
        <v>7313.62</v>
      </c>
    </row>
    <row r="367" spans="1:7" ht="15" customHeight="1" x14ac:dyDescent="0.3">
      <c r="A367" s="5" t="s">
        <v>210</v>
      </c>
      <c r="B367" s="5" t="s">
        <v>42</v>
      </c>
      <c r="C367" s="5" t="s">
        <v>62</v>
      </c>
      <c r="D367" s="5" t="s">
        <v>72</v>
      </c>
      <c r="E367" s="5">
        <v>7</v>
      </c>
      <c r="F367" s="5">
        <v>2982.04</v>
      </c>
      <c r="G367" s="5">
        <v>3141.3</v>
      </c>
    </row>
    <row r="368" spans="1:7" ht="15" customHeight="1" x14ac:dyDescent="0.3">
      <c r="A368" s="5" t="s">
        <v>210</v>
      </c>
      <c r="B368" s="5" t="s">
        <v>34</v>
      </c>
      <c r="C368" s="5" t="s">
        <v>35</v>
      </c>
      <c r="D368" s="5" t="s">
        <v>80</v>
      </c>
      <c r="E368" s="5">
        <v>12</v>
      </c>
      <c r="F368" s="5">
        <v>8067.7</v>
      </c>
      <c r="G368" s="5">
        <v>7053.7</v>
      </c>
    </row>
    <row r="369" spans="1:7" ht="15" customHeight="1" x14ac:dyDescent="0.3">
      <c r="A369" s="5" t="s">
        <v>210</v>
      </c>
      <c r="B369" s="5" t="s">
        <v>28</v>
      </c>
      <c r="C369" s="5" t="s">
        <v>29</v>
      </c>
      <c r="D369" s="5" t="s">
        <v>97</v>
      </c>
      <c r="E369" s="5">
        <v>2</v>
      </c>
      <c r="F369" s="5">
        <v>1520.47</v>
      </c>
      <c r="G369" s="5">
        <v>1614.01</v>
      </c>
    </row>
    <row r="370" spans="1:7" ht="15" customHeight="1" x14ac:dyDescent="0.3">
      <c r="A370" s="5" t="s">
        <v>210</v>
      </c>
      <c r="B370" s="5" t="s">
        <v>34</v>
      </c>
      <c r="C370" s="5" t="s">
        <v>35</v>
      </c>
      <c r="D370" s="5" t="s">
        <v>91</v>
      </c>
      <c r="E370" s="5">
        <v>6</v>
      </c>
      <c r="F370" s="5">
        <v>2000.61</v>
      </c>
      <c r="G370" s="5">
        <v>2073.11</v>
      </c>
    </row>
    <row r="371" spans="1:7" ht="15" customHeight="1" x14ac:dyDescent="0.3">
      <c r="A371" s="5" t="s">
        <v>210</v>
      </c>
      <c r="B371" s="5" t="s">
        <v>11</v>
      </c>
      <c r="C371" s="5" t="s">
        <v>15</v>
      </c>
      <c r="D371" s="5" t="s">
        <v>96</v>
      </c>
      <c r="E371" s="5">
        <v>5</v>
      </c>
      <c r="F371" s="5">
        <v>7434.24</v>
      </c>
      <c r="G371" s="5">
        <v>7237.44</v>
      </c>
    </row>
    <row r="372" spans="1:7" ht="15" customHeight="1" x14ac:dyDescent="0.3">
      <c r="A372" s="5" t="s">
        <v>211</v>
      </c>
      <c r="B372" s="5" t="s">
        <v>34</v>
      </c>
      <c r="C372" s="5" t="s">
        <v>75</v>
      </c>
      <c r="D372" s="5" t="s">
        <v>69</v>
      </c>
      <c r="E372" s="5">
        <v>1</v>
      </c>
      <c r="F372" s="5">
        <v>330.05</v>
      </c>
      <c r="G372" s="5">
        <v>394.43</v>
      </c>
    </row>
    <row r="373" spans="1:7" ht="15" customHeight="1" x14ac:dyDescent="0.3">
      <c r="A373" s="5" t="s">
        <v>211</v>
      </c>
      <c r="B373" s="5" t="s">
        <v>8</v>
      </c>
      <c r="C373" s="5" t="s">
        <v>126</v>
      </c>
      <c r="D373" s="5" t="s">
        <v>65</v>
      </c>
      <c r="E373" s="5">
        <v>7</v>
      </c>
      <c r="F373" s="5">
        <v>10461.41</v>
      </c>
      <c r="G373" s="5">
        <v>11054.65</v>
      </c>
    </row>
    <row r="374" spans="1:7" ht="15" customHeight="1" x14ac:dyDescent="0.3">
      <c r="A374" s="5" t="s">
        <v>212</v>
      </c>
      <c r="B374" s="5" t="s">
        <v>53</v>
      </c>
      <c r="C374" s="5" t="s">
        <v>58</v>
      </c>
      <c r="D374" s="5" t="s">
        <v>103</v>
      </c>
      <c r="E374" s="5">
        <v>11</v>
      </c>
      <c r="F374" s="5">
        <v>9034.44</v>
      </c>
      <c r="G374" s="5">
        <v>8128.3</v>
      </c>
    </row>
    <row r="375" spans="1:7" ht="15" customHeight="1" x14ac:dyDescent="0.3">
      <c r="A375" s="5" t="s">
        <v>212</v>
      </c>
      <c r="B375" s="5" t="s">
        <v>53</v>
      </c>
      <c r="C375" s="5" t="s">
        <v>71</v>
      </c>
      <c r="D375" s="5" t="s">
        <v>113</v>
      </c>
      <c r="E375" s="5">
        <v>7</v>
      </c>
      <c r="F375" s="5">
        <v>2426.5</v>
      </c>
      <c r="G375" s="5">
        <v>2221.2199999999998</v>
      </c>
    </row>
    <row r="376" spans="1:7" ht="15" customHeight="1" x14ac:dyDescent="0.3">
      <c r="A376" s="5" t="s">
        <v>212</v>
      </c>
      <c r="B376" s="5" t="s">
        <v>8</v>
      </c>
      <c r="C376" s="5" t="s">
        <v>126</v>
      </c>
      <c r="D376" s="5" t="s">
        <v>33</v>
      </c>
      <c r="E376" s="5">
        <v>8</v>
      </c>
      <c r="F376" s="5">
        <v>13891.8</v>
      </c>
      <c r="G376" s="5">
        <v>11870.88</v>
      </c>
    </row>
    <row r="377" spans="1:7" ht="15" customHeight="1" x14ac:dyDescent="0.3">
      <c r="A377" s="5" t="s">
        <v>213</v>
      </c>
      <c r="B377" s="5" t="s">
        <v>34</v>
      </c>
      <c r="C377" s="5" t="s">
        <v>35</v>
      </c>
      <c r="D377" s="5" t="s">
        <v>51</v>
      </c>
      <c r="E377" s="5">
        <v>8</v>
      </c>
      <c r="F377" s="5">
        <v>6005.01</v>
      </c>
      <c r="G377" s="5">
        <v>7040.21</v>
      </c>
    </row>
    <row r="378" spans="1:7" ht="15" customHeight="1" x14ac:dyDescent="0.3">
      <c r="A378" s="5" t="s">
        <v>214</v>
      </c>
      <c r="B378" s="5" t="s">
        <v>42</v>
      </c>
      <c r="C378" s="5" t="s">
        <v>47</v>
      </c>
      <c r="D378" s="5" t="s">
        <v>91</v>
      </c>
      <c r="E378" s="5">
        <v>4</v>
      </c>
      <c r="F378" s="5">
        <v>1339.85</v>
      </c>
      <c r="G378" s="5">
        <v>1075.21</v>
      </c>
    </row>
    <row r="379" spans="1:7" ht="15" customHeight="1" x14ac:dyDescent="0.3">
      <c r="A379" s="5" t="s">
        <v>214</v>
      </c>
      <c r="B379" s="5" t="s">
        <v>53</v>
      </c>
      <c r="C379" s="5" t="s">
        <v>94</v>
      </c>
      <c r="D379" s="5" t="s">
        <v>86</v>
      </c>
      <c r="E379" s="5">
        <v>3</v>
      </c>
      <c r="F379" s="5">
        <v>1010.37</v>
      </c>
      <c r="G379" s="5">
        <v>1065.77</v>
      </c>
    </row>
    <row r="380" spans="1:7" ht="15" customHeight="1" x14ac:dyDescent="0.3">
      <c r="A380" s="5" t="s">
        <v>214</v>
      </c>
      <c r="B380" s="5" t="s">
        <v>8</v>
      </c>
      <c r="C380" s="5" t="s">
        <v>41</v>
      </c>
      <c r="D380" s="5" t="s">
        <v>56</v>
      </c>
      <c r="E380" s="5">
        <v>5</v>
      </c>
      <c r="F380" s="5">
        <v>2823.83</v>
      </c>
      <c r="G380" s="5">
        <v>2323.14</v>
      </c>
    </row>
    <row r="381" spans="1:7" ht="15" customHeight="1" x14ac:dyDescent="0.3">
      <c r="A381" s="5" t="s">
        <v>214</v>
      </c>
      <c r="B381" s="5" t="s">
        <v>17</v>
      </c>
      <c r="C381" s="5" t="s">
        <v>18</v>
      </c>
      <c r="D381" s="5" t="s">
        <v>96</v>
      </c>
      <c r="E381" s="5">
        <v>1</v>
      </c>
      <c r="F381" s="5">
        <v>1400.21</v>
      </c>
      <c r="G381" s="5">
        <v>1641.43</v>
      </c>
    </row>
    <row r="382" spans="1:7" ht="15" customHeight="1" x14ac:dyDescent="0.3">
      <c r="A382" s="5" t="s">
        <v>215</v>
      </c>
      <c r="B382" s="5" t="s">
        <v>8</v>
      </c>
      <c r="C382" s="5" t="s">
        <v>102</v>
      </c>
      <c r="D382" s="5" t="s">
        <v>48</v>
      </c>
      <c r="E382" s="5">
        <v>12</v>
      </c>
      <c r="F382" s="5">
        <v>2588.4699999999998</v>
      </c>
      <c r="G382" s="5">
        <v>2929.02</v>
      </c>
    </row>
    <row r="383" spans="1:7" ht="15" customHeight="1" x14ac:dyDescent="0.3">
      <c r="A383" s="5" t="s">
        <v>215</v>
      </c>
      <c r="B383" s="5" t="s">
        <v>8</v>
      </c>
      <c r="C383" s="5" t="s">
        <v>126</v>
      </c>
      <c r="D383" s="5" t="s">
        <v>16</v>
      </c>
      <c r="E383" s="5">
        <v>12</v>
      </c>
      <c r="F383" s="5">
        <v>4502.8100000000004</v>
      </c>
      <c r="G383" s="5">
        <v>4575.71</v>
      </c>
    </row>
    <row r="384" spans="1:7" ht="15" customHeight="1" x14ac:dyDescent="0.3">
      <c r="A384" s="5" t="s">
        <v>215</v>
      </c>
      <c r="B384" s="5" t="s">
        <v>34</v>
      </c>
      <c r="C384" s="5" t="s">
        <v>35</v>
      </c>
      <c r="D384" s="5" t="s">
        <v>51</v>
      </c>
      <c r="E384" s="5">
        <v>8</v>
      </c>
      <c r="F384" s="5">
        <v>6854.88</v>
      </c>
      <c r="G384" s="5">
        <v>5687.94</v>
      </c>
    </row>
    <row r="385" spans="1:7" ht="15" customHeight="1" x14ac:dyDescent="0.3">
      <c r="A385" s="5" t="s">
        <v>215</v>
      </c>
      <c r="B385" s="5" t="s">
        <v>28</v>
      </c>
      <c r="C385" s="5" t="s">
        <v>29</v>
      </c>
      <c r="D385" s="5" t="s">
        <v>65</v>
      </c>
      <c r="E385" s="5">
        <v>2</v>
      </c>
      <c r="F385" s="5">
        <v>2860.8</v>
      </c>
      <c r="G385" s="5">
        <v>2571.37</v>
      </c>
    </row>
    <row r="386" spans="1:7" ht="15" customHeight="1" x14ac:dyDescent="0.3">
      <c r="A386" s="5" t="s">
        <v>216</v>
      </c>
      <c r="B386" s="5" t="s">
        <v>17</v>
      </c>
      <c r="C386" s="5" t="s">
        <v>19</v>
      </c>
      <c r="D386" s="5" t="s">
        <v>20</v>
      </c>
      <c r="E386" s="5">
        <v>5</v>
      </c>
      <c r="F386" s="5">
        <v>2109.54</v>
      </c>
      <c r="G386" s="5">
        <v>2351.9699999999998</v>
      </c>
    </row>
    <row r="387" spans="1:7" ht="15" customHeight="1" x14ac:dyDescent="0.3">
      <c r="A387" s="5" t="s">
        <v>216</v>
      </c>
      <c r="B387" s="5" t="s">
        <v>53</v>
      </c>
      <c r="C387" s="5" t="s">
        <v>93</v>
      </c>
      <c r="D387" s="5" t="s">
        <v>39</v>
      </c>
      <c r="E387" s="5">
        <v>8</v>
      </c>
      <c r="F387" s="5">
        <v>1509.49</v>
      </c>
      <c r="G387" s="5">
        <v>1444.99</v>
      </c>
    </row>
    <row r="388" spans="1:7" ht="15" customHeight="1" x14ac:dyDescent="0.3">
      <c r="A388" s="5" t="s">
        <v>217</v>
      </c>
      <c r="B388" s="5" t="s">
        <v>53</v>
      </c>
      <c r="C388" s="5" t="s">
        <v>54</v>
      </c>
      <c r="D388" s="5" t="s">
        <v>82</v>
      </c>
      <c r="E388" s="5">
        <v>10</v>
      </c>
      <c r="F388" s="5">
        <v>8398.5400000000009</v>
      </c>
      <c r="G388" s="5">
        <v>8063.81</v>
      </c>
    </row>
    <row r="389" spans="1:7" ht="15" customHeight="1" x14ac:dyDescent="0.3">
      <c r="A389" s="5" t="s">
        <v>218</v>
      </c>
      <c r="B389" s="5" t="s">
        <v>17</v>
      </c>
      <c r="C389" s="5" t="s">
        <v>68</v>
      </c>
      <c r="D389" s="5" t="s">
        <v>16</v>
      </c>
      <c r="E389" s="5">
        <v>5</v>
      </c>
      <c r="F389" s="5">
        <v>1874.86</v>
      </c>
      <c r="G389" s="5">
        <v>2011.5</v>
      </c>
    </row>
    <row r="390" spans="1:7" ht="15" customHeight="1" x14ac:dyDescent="0.3">
      <c r="A390" s="5" t="s">
        <v>218</v>
      </c>
      <c r="B390" s="5" t="s">
        <v>8</v>
      </c>
      <c r="C390" s="5" t="s">
        <v>41</v>
      </c>
      <c r="D390" s="5" t="s">
        <v>10</v>
      </c>
      <c r="E390" s="5">
        <v>8</v>
      </c>
      <c r="F390" s="5">
        <v>8553.42</v>
      </c>
      <c r="G390" s="5">
        <v>9215.81</v>
      </c>
    </row>
    <row r="391" spans="1:7" ht="15" customHeight="1" x14ac:dyDescent="0.3">
      <c r="A391" s="5" t="s">
        <v>218</v>
      </c>
      <c r="B391" s="5" t="s">
        <v>11</v>
      </c>
      <c r="C391" s="5" t="s">
        <v>76</v>
      </c>
      <c r="D391" s="5" t="s">
        <v>103</v>
      </c>
      <c r="E391" s="5">
        <v>11</v>
      </c>
      <c r="F391" s="5">
        <v>8748.2900000000009</v>
      </c>
      <c r="G391" s="5">
        <v>8407.93</v>
      </c>
    </row>
    <row r="392" spans="1:7" ht="15" customHeight="1" x14ac:dyDescent="0.3">
      <c r="A392" s="5" t="s">
        <v>219</v>
      </c>
      <c r="B392" s="5" t="s">
        <v>8</v>
      </c>
      <c r="C392" s="5" t="s">
        <v>9</v>
      </c>
      <c r="D392" s="5" t="s">
        <v>51</v>
      </c>
      <c r="E392" s="5">
        <v>3</v>
      </c>
      <c r="F392" s="5">
        <v>2419.89</v>
      </c>
      <c r="G392" s="5">
        <v>2143.7199999999998</v>
      </c>
    </row>
    <row r="393" spans="1:7" ht="15" customHeight="1" x14ac:dyDescent="0.3">
      <c r="A393" s="5" t="s">
        <v>219</v>
      </c>
      <c r="B393" s="5" t="s">
        <v>22</v>
      </c>
      <c r="C393" s="5" t="s">
        <v>100</v>
      </c>
      <c r="D393" s="5" t="s">
        <v>80</v>
      </c>
      <c r="E393" s="5">
        <v>5</v>
      </c>
      <c r="F393" s="5">
        <v>3415.25</v>
      </c>
      <c r="G393" s="5">
        <v>2824.61</v>
      </c>
    </row>
    <row r="394" spans="1:7" ht="15" customHeight="1" x14ac:dyDescent="0.3">
      <c r="A394" s="5" t="s">
        <v>220</v>
      </c>
      <c r="B394" s="5" t="s">
        <v>42</v>
      </c>
      <c r="C394" s="5" t="s">
        <v>85</v>
      </c>
      <c r="D394" s="5" t="s">
        <v>65</v>
      </c>
      <c r="E394" s="5">
        <v>9</v>
      </c>
      <c r="F394" s="5">
        <v>12865.14</v>
      </c>
      <c r="G394" s="5">
        <v>12024.5</v>
      </c>
    </row>
    <row r="395" spans="1:7" ht="15" customHeight="1" x14ac:dyDescent="0.3">
      <c r="A395" s="5" t="s">
        <v>220</v>
      </c>
      <c r="B395" s="5" t="s">
        <v>8</v>
      </c>
      <c r="C395" s="5" t="s">
        <v>9</v>
      </c>
      <c r="D395" s="5" t="s">
        <v>99</v>
      </c>
      <c r="E395" s="5">
        <v>11</v>
      </c>
      <c r="F395" s="5">
        <v>865.89</v>
      </c>
      <c r="G395" s="5">
        <v>878.74</v>
      </c>
    </row>
    <row r="396" spans="1:7" ht="15" customHeight="1" x14ac:dyDescent="0.3">
      <c r="A396" s="5" t="s">
        <v>220</v>
      </c>
      <c r="B396" s="5" t="s">
        <v>28</v>
      </c>
      <c r="C396" s="5" t="s">
        <v>29</v>
      </c>
      <c r="D396" s="5" t="s">
        <v>13</v>
      </c>
      <c r="E396" s="5">
        <v>10</v>
      </c>
      <c r="F396" s="5">
        <v>6143.35</v>
      </c>
      <c r="G396" s="5">
        <v>6144.2</v>
      </c>
    </row>
    <row r="397" spans="1:7" ht="15" customHeight="1" x14ac:dyDescent="0.3">
      <c r="A397" s="5" t="s">
        <v>220</v>
      </c>
      <c r="B397" s="5" t="s">
        <v>34</v>
      </c>
      <c r="C397" s="5" t="s">
        <v>79</v>
      </c>
      <c r="D397" s="5" t="s">
        <v>72</v>
      </c>
      <c r="E397" s="5">
        <v>10</v>
      </c>
      <c r="F397" s="5">
        <v>3615.53</v>
      </c>
      <c r="G397" s="5">
        <v>3590.83</v>
      </c>
    </row>
    <row r="398" spans="1:7" ht="15" customHeight="1" x14ac:dyDescent="0.3">
      <c r="A398" s="5" t="s">
        <v>220</v>
      </c>
      <c r="B398" s="5" t="s">
        <v>53</v>
      </c>
      <c r="C398" s="5" t="s">
        <v>58</v>
      </c>
      <c r="D398" s="5" t="s">
        <v>96</v>
      </c>
      <c r="E398" s="5">
        <v>7</v>
      </c>
      <c r="F398" s="5">
        <v>9293.7900000000009</v>
      </c>
      <c r="G398" s="5">
        <v>9070.14</v>
      </c>
    </row>
    <row r="399" spans="1:7" ht="15" customHeight="1" x14ac:dyDescent="0.3">
      <c r="A399" s="5" t="s">
        <v>221</v>
      </c>
      <c r="B399" s="5" t="s">
        <v>17</v>
      </c>
      <c r="C399" s="5" t="s">
        <v>68</v>
      </c>
      <c r="D399" s="5" t="s">
        <v>61</v>
      </c>
      <c r="E399" s="5">
        <v>8</v>
      </c>
      <c r="F399" s="5">
        <v>5573.24</v>
      </c>
      <c r="G399" s="5">
        <v>6356.42</v>
      </c>
    </row>
    <row r="400" spans="1:7" ht="15" customHeight="1" x14ac:dyDescent="0.3">
      <c r="A400" s="5" t="s">
        <v>221</v>
      </c>
      <c r="B400" s="5" t="s">
        <v>34</v>
      </c>
      <c r="C400" s="5" t="s">
        <v>79</v>
      </c>
      <c r="D400" s="5" t="s">
        <v>10</v>
      </c>
      <c r="E400" s="5">
        <v>8</v>
      </c>
      <c r="F400" s="5">
        <v>8022.01</v>
      </c>
      <c r="G400" s="5">
        <v>8430.41</v>
      </c>
    </row>
    <row r="401" spans="1:7" ht="15" customHeight="1" x14ac:dyDescent="0.3">
      <c r="A401" s="5" t="s">
        <v>221</v>
      </c>
      <c r="B401" s="5" t="s">
        <v>11</v>
      </c>
      <c r="C401" s="5" t="s">
        <v>76</v>
      </c>
      <c r="D401" s="5" t="s">
        <v>113</v>
      </c>
      <c r="E401" s="5">
        <v>1</v>
      </c>
      <c r="F401" s="5">
        <v>334.47</v>
      </c>
      <c r="G401" s="5">
        <v>374.19</v>
      </c>
    </row>
    <row r="402" spans="1:7" ht="15" customHeight="1" x14ac:dyDescent="0.3">
      <c r="A402" s="5" t="s">
        <v>222</v>
      </c>
      <c r="B402" s="5" t="s">
        <v>8</v>
      </c>
      <c r="C402" s="5" t="s">
        <v>107</v>
      </c>
      <c r="D402" s="5" t="s">
        <v>61</v>
      </c>
      <c r="E402" s="5">
        <v>2</v>
      </c>
      <c r="F402" s="5">
        <v>1415.34</v>
      </c>
      <c r="G402" s="5">
        <v>1349.47</v>
      </c>
    </row>
    <row r="403" spans="1:7" ht="15" customHeight="1" x14ac:dyDescent="0.3">
      <c r="A403" s="5" t="s">
        <v>222</v>
      </c>
      <c r="B403" s="5" t="s">
        <v>53</v>
      </c>
      <c r="C403" s="5" t="s">
        <v>58</v>
      </c>
      <c r="D403" s="5" t="s">
        <v>13</v>
      </c>
      <c r="E403" s="5">
        <v>9</v>
      </c>
      <c r="F403" s="5">
        <v>5622.82</v>
      </c>
      <c r="G403" s="5">
        <v>4962.2700000000004</v>
      </c>
    </row>
    <row r="404" spans="1:7" ht="15" customHeight="1" x14ac:dyDescent="0.3">
      <c r="A404" s="5" t="s">
        <v>223</v>
      </c>
      <c r="B404" s="5" t="s">
        <v>28</v>
      </c>
      <c r="C404" s="5" t="s">
        <v>29</v>
      </c>
      <c r="D404" s="5" t="s">
        <v>39</v>
      </c>
      <c r="E404" s="5">
        <v>1</v>
      </c>
      <c r="F404" s="5">
        <v>192.26</v>
      </c>
      <c r="G404" s="5">
        <v>209.52</v>
      </c>
    </row>
    <row r="405" spans="1:7" ht="15" customHeight="1" x14ac:dyDescent="0.3">
      <c r="A405" s="5" t="s">
        <v>224</v>
      </c>
      <c r="B405" s="5" t="s">
        <v>42</v>
      </c>
      <c r="C405" s="5" t="s">
        <v>111</v>
      </c>
      <c r="D405" s="5" t="s">
        <v>44</v>
      </c>
      <c r="E405" s="5">
        <v>2</v>
      </c>
      <c r="F405" s="5">
        <v>529.16</v>
      </c>
      <c r="G405" s="5">
        <v>591.53</v>
      </c>
    </row>
    <row r="406" spans="1:7" ht="15" customHeight="1" x14ac:dyDescent="0.3">
      <c r="A406" s="5" t="s">
        <v>224</v>
      </c>
      <c r="B406" s="5" t="s">
        <v>42</v>
      </c>
      <c r="C406" s="5" t="s">
        <v>62</v>
      </c>
      <c r="D406" s="5" t="s">
        <v>48</v>
      </c>
      <c r="E406" s="5">
        <v>10</v>
      </c>
      <c r="F406" s="5">
        <v>2361.2399999999998</v>
      </c>
      <c r="G406" s="5">
        <v>2679.12</v>
      </c>
    </row>
    <row r="407" spans="1:7" ht="15" customHeight="1" x14ac:dyDescent="0.3">
      <c r="A407" s="5" t="s">
        <v>224</v>
      </c>
      <c r="B407" s="5" t="s">
        <v>28</v>
      </c>
      <c r="C407" s="5" t="s">
        <v>29</v>
      </c>
      <c r="D407" s="5" t="s">
        <v>91</v>
      </c>
      <c r="E407" s="5">
        <v>4</v>
      </c>
      <c r="F407" s="5">
        <v>1133.68</v>
      </c>
      <c r="G407" s="5">
        <v>1349.17</v>
      </c>
    </row>
    <row r="408" spans="1:7" ht="15" customHeight="1" x14ac:dyDescent="0.3">
      <c r="A408" s="5" t="s">
        <v>225</v>
      </c>
      <c r="B408" s="5" t="s">
        <v>34</v>
      </c>
      <c r="C408" s="5" t="s">
        <v>35</v>
      </c>
      <c r="D408" s="5" t="s">
        <v>36</v>
      </c>
      <c r="E408" s="5">
        <v>10</v>
      </c>
      <c r="F408" s="5">
        <v>7476.99</v>
      </c>
      <c r="G408" s="5">
        <v>7303.33</v>
      </c>
    </row>
    <row r="409" spans="1:7" ht="15" customHeight="1" x14ac:dyDescent="0.3">
      <c r="A409" s="5" t="s">
        <v>225</v>
      </c>
      <c r="B409" s="5" t="s">
        <v>8</v>
      </c>
      <c r="C409" s="5" t="s">
        <v>90</v>
      </c>
      <c r="D409" s="5" t="s">
        <v>103</v>
      </c>
      <c r="E409" s="5">
        <v>9</v>
      </c>
      <c r="F409" s="5">
        <v>7800.18</v>
      </c>
      <c r="G409" s="5">
        <v>7124.67</v>
      </c>
    </row>
    <row r="410" spans="1:7" ht="15" customHeight="1" x14ac:dyDescent="0.3">
      <c r="A410" s="5" t="s">
        <v>226</v>
      </c>
      <c r="B410" s="5" t="s">
        <v>11</v>
      </c>
      <c r="C410" s="5" t="s">
        <v>12</v>
      </c>
      <c r="D410" s="5" t="s">
        <v>10</v>
      </c>
      <c r="E410" s="5">
        <v>10</v>
      </c>
      <c r="F410" s="5">
        <v>9628.59</v>
      </c>
      <c r="G410" s="5">
        <v>10908.84</v>
      </c>
    </row>
    <row r="411" spans="1:7" ht="15" customHeight="1" x14ac:dyDescent="0.3">
      <c r="A411" s="5" t="s">
        <v>227</v>
      </c>
      <c r="B411" s="5" t="s">
        <v>53</v>
      </c>
      <c r="C411" s="5" t="s">
        <v>93</v>
      </c>
      <c r="D411" s="5" t="s">
        <v>56</v>
      </c>
      <c r="E411" s="5">
        <v>11</v>
      </c>
      <c r="F411" s="5">
        <v>5845.42</v>
      </c>
      <c r="G411" s="5">
        <v>5940.25</v>
      </c>
    </row>
    <row r="412" spans="1:7" ht="15" customHeight="1" x14ac:dyDescent="0.3">
      <c r="A412" s="5" t="s">
        <v>227</v>
      </c>
      <c r="B412" s="5" t="s">
        <v>17</v>
      </c>
      <c r="C412" s="5" t="s">
        <v>19</v>
      </c>
      <c r="D412" s="5" t="s">
        <v>20</v>
      </c>
      <c r="E412" s="5">
        <v>11</v>
      </c>
      <c r="F412" s="5">
        <v>4911.21</v>
      </c>
      <c r="G412" s="5">
        <v>5056.9399999999996</v>
      </c>
    </row>
    <row r="413" spans="1:7" ht="15" customHeight="1" x14ac:dyDescent="0.3">
      <c r="A413" s="5" t="s">
        <v>227</v>
      </c>
      <c r="B413" s="5" t="s">
        <v>28</v>
      </c>
      <c r="C413" s="5" t="s">
        <v>66</v>
      </c>
      <c r="D413" s="5" t="s">
        <v>20</v>
      </c>
      <c r="E413" s="5">
        <v>9</v>
      </c>
      <c r="F413" s="5">
        <v>4230.93</v>
      </c>
      <c r="G413" s="5">
        <v>4215.33</v>
      </c>
    </row>
    <row r="414" spans="1:7" ht="15" customHeight="1" x14ac:dyDescent="0.3">
      <c r="A414" s="5" t="s">
        <v>228</v>
      </c>
      <c r="B414" s="5" t="s">
        <v>53</v>
      </c>
      <c r="C414" s="5" t="s">
        <v>58</v>
      </c>
      <c r="D414" s="5" t="s">
        <v>97</v>
      </c>
      <c r="E414" s="5">
        <v>4</v>
      </c>
      <c r="F414" s="5">
        <v>3211.93</v>
      </c>
      <c r="G414" s="5">
        <v>3067.32</v>
      </c>
    </row>
    <row r="415" spans="1:7" ht="15" customHeight="1" x14ac:dyDescent="0.3">
      <c r="A415" s="5" t="s">
        <v>229</v>
      </c>
      <c r="B415" s="5" t="s">
        <v>28</v>
      </c>
      <c r="C415" s="5" t="s">
        <v>66</v>
      </c>
      <c r="D415" s="5" t="s">
        <v>72</v>
      </c>
      <c r="E415" s="5">
        <v>1</v>
      </c>
      <c r="F415" s="5">
        <v>419.79</v>
      </c>
      <c r="G415" s="5">
        <v>401.52</v>
      </c>
    </row>
    <row r="416" spans="1:7" ht="15" customHeight="1" x14ac:dyDescent="0.3">
      <c r="A416" s="5" t="s">
        <v>229</v>
      </c>
      <c r="B416" s="5" t="s">
        <v>34</v>
      </c>
      <c r="C416" s="5" t="s">
        <v>35</v>
      </c>
      <c r="D416" s="5" t="s">
        <v>61</v>
      </c>
      <c r="E416" s="5">
        <v>11</v>
      </c>
      <c r="F416" s="5">
        <v>8660.27</v>
      </c>
      <c r="G416" s="5">
        <v>7340.85</v>
      </c>
    </row>
    <row r="417" spans="1:7" ht="15" customHeight="1" x14ac:dyDescent="0.3">
      <c r="A417" s="5" t="s">
        <v>230</v>
      </c>
      <c r="B417" s="5" t="s">
        <v>22</v>
      </c>
      <c r="C417" s="5" t="s">
        <v>123</v>
      </c>
      <c r="D417" s="5" t="s">
        <v>113</v>
      </c>
      <c r="E417" s="5">
        <v>11</v>
      </c>
      <c r="F417" s="5">
        <v>3774.71</v>
      </c>
      <c r="G417" s="5">
        <v>4034.24</v>
      </c>
    </row>
    <row r="418" spans="1:7" ht="15" customHeight="1" x14ac:dyDescent="0.3">
      <c r="A418" s="5" t="s">
        <v>230</v>
      </c>
      <c r="B418" s="5" t="s">
        <v>11</v>
      </c>
      <c r="C418" s="5" t="s">
        <v>12</v>
      </c>
      <c r="D418" s="5" t="s">
        <v>55</v>
      </c>
      <c r="E418" s="5">
        <v>10</v>
      </c>
      <c r="F418" s="5">
        <v>3516.98</v>
      </c>
      <c r="G418" s="5">
        <v>3359.41</v>
      </c>
    </row>
    <row r="419" spans="1:7" ht="15" customHeight="1" x14ac:dyDescent="0.3">
      <c r="A419" s="5" t="s">
        <v>231</v>
      </c>
      <c r="B419" s="5" t="s">
        <v>34</v>
      </c>
      <c r="C419" s="5" t="s">
        <v>79</v>
      </c>
      <c r="D419" s="5" t="s">
        <v>51</v>
      </c>
      <c r="E419" s="5">
        <v>4</v>
      </c>
      <c r="F419" s="5">
        <v>3124.43</v>
      </c>
      <c r="G419" s="5">
        <v>3492.14</v>
      </c>
    </row>
    <row r="420" spans="1:7" ht="15" customHeight="1" x14ac:dyDescent="0.3">
      <c r="A420" s="5" t="s">
        <v>232</v>
      </c>
      <c r="B420" s="5" t="s">
        <v>28</v>
      </c>
      <c r="C420" s="5" t="s">
        <v>29</v>
      </c>
      <c r="D420" s="5" t="s">
        <v>80</v>
      </c>
      <c r="E420" s="5">
        <v>10</v>
      </c>
      <c r="F420" s="5">
        <v>6861.36</v>
      </c>
      <c r="G420" s="5">
        <v>6745.3</v>
      </c>
    </row>
    <row r="421" spans="1:7" ht="15" customHeight="1" x14ac:dyDescent="0.3">
      <c r="A421" s="5" t="s">
        <v>232</v>
      </c>
      <c r="B421" s="5" t="s">
        <v>53</v>
      </c>
      <c r="C421" s="5" t="s">
        <v>71</v>
      </c>
      <c r="D421" s="5" t="s">
        <v>44</v>
      </c>
      <c r="E421" s="5">
        <v>11</v>
      </c>
      <c r="F421" s="5">
        <v>2954.56</v>
      </c>
      <c r="G421" s="5">
        <v>2734.92</v>
      </c>
    </row>
    <row r="422" spans="1:7" ht="15" customHeight="1" x14ac:dyDescent="0.3">
      <c r="A422" s="5" t="s">
        <v>232</v>
      </c>
      <c r="B422" s="5" t="s">
        <v>17</v>
      </c>
      <c r="C422" s="5" t="s">
        <v>19</v>
      </c>
      <c r="D422" s="5" t="s">
        <v>13</v>
      </c>
      <c r="E422" s="5">
        <v>7</v>
      </c>
      <c r="F422" s="5">
        <v>4076.37</v>
      </c>
      <c r="G422" s="5">
        <v>3765.33</v>
      </c>
    </row>
    <row r="423" spans="1:7" ht="15" customHeight="1" x14ac:dyDescent="0.3">
      <c r="A423" s="5" t="s">
        <v>232</v>
      </c>
      <c r="B423" s="5" t="s">
        <v>34</v>
      </c>
      <c r="C423" s="5" t="s">
        <v>35</v>
      </c>
      <c r="D423" s="5" t="s">
        <v>24</v>
      </c>
      <c r="E423" s="5">
        <v>8</v>
      </c>
      <c r="F423" s="5">
        <v>3659.69</v>
      </c>
      <c r="G423" s="5">
        <v>4006.32</v>
      </c>
    </row>
    <row r="424" spans="1:7" ht="15" customHeight="1" x14ac:dyDescent="0.3">
      <c r="A424" s="5" t="s">
        <v>233</v>
      </c>
      <c r="B424" s="5" t="s">
        <v>8</v>
      </c>
      <c r="C424" s="5" t="s">
        <v>74</v>
      </c>
      <c r="D424" s="5" t="s">
        <v>91</v>
      </c>
      <c r="E424" s="5">
        <v>11</v>
      </c>
      <c r="F424" s="5">
        <v>3073.64</v>
      </c>
      <c r="G424" s="5">
        <v>2923.19</v>
      </c>
    </row>
    <row r="425" spans="1:7" ht="15" customHeight="1" x14ac:dyDescent="0.3">
      <c r="A425" s="5" t="s">
        <v>233</v>
      </c>
      <c r="B425" s="5" t="s">
        <v>28</v>
      </c>
      <c r="C425" s="5" t="s">
        <v>66</v>
      </c>
      <c r="D425" s="5" t="s">
        <v>55</v>
      </c>
      <c r="E425" s="5">
        <v>2</v>
      </c>
      <c r="F425" s="5">
        <v>695.43</v>
      </c>
      <c r="G425" s="5">
        <v>674.17</v>
      </c>
    </row>
    <row r="426" spans="1:7" ht="15" customHeight="1" x14ac:dyDescent="0.3">
      <c r="A426" s="5" t="s">
        <v>233</v>
      </c>
      <c r="B426" s="5" t="s">
        <v>28</v>
      </c>
      <c r="C426" s="5" t="s">
        <v>29</v>
      </c>
      <c r="D426" s="5" t="s">
        <v>103</v>
      </c>
      <c r="E426" s="5">
        <v>2</v>
      </c>
      <c r="F426" s="5">
        <v>1615.07</v>
      </c>
      <c r="G426" s="5">
        <v>1835.31</v>
      </c>
    </row>
    <row r="427" spans="1:7" ht="15" customHeight="1" x14ac:dyDescent="0.3">
      <c r="A427" s="5" t="s">
        <v>233</v>
      </c>
      <c r="B427" s="5" t="s">
        <v>42</v>
      </c>
      <c r="C427" s="5" t="s">
        <v>85</v>
      </c>
      <c r="D427" s="5" t="s">
        <v>16</v>
      </c>
      <c r="E427" s="5">
        <v>1</v>
      </c>
      <c r="F427" s="5">
        <v>363.84</v>
      </c>
      <c r="G427" s="5">
        <v>345</v>
      </c>
    </row>
    <row r="428" spans="1:7" ht="15" customHeight="1" x14ac:dyDescent="0.3">
      <c r="A428" s="5" t="s">
        <v>233</v>
      </c>
      <c r="B428" s="5" t="s">
        <v>22</v>
      </c>
      <c r="C428" s="5" t="s">
        <v>23</v>
      </c>
      <c r="D428" s="5" t="s">
        <v>80</v>
      </c>
      <c r="E428" s="5">
        <v>8</v>
      </c>
      <c r="F428" s="5">
        <v>5703.34</v>
      </c>
      <c r="G428" s="5">
        <v>5951.02</v>
      </c>
    </row>
    <row r="429" spans="1:7" ht="15" customHeight="1" x14ac:dyDescent="0.3">
      <c r="A429" s="5" t="s">
        <v>233</v>
      </c>
      <c r="B429" s="5" t="s">
        <v>28</v>
      </c>
      <c r="C429" s="5" t="s">
        <v>29</v>
      </c>
      <c r="D429" s="5" t="s">
        <v>26</v>
      </c>
      <c r="E429" s="5">
        <v>11</v>
      </c>
      <c r="F429" s="5">
        <v>2361.66</v>
      </c>
      <c r="G429" s="5">
        <v>2794.63</v>
      </c>
    </row>
    <row r="430" spans="1:7" ht="15" customHeight="1" x14ac:dyDescent="0.3">
      <c r="A430" s="5" t="s">
        <v>234</v>
      </c>
      <c r="B430" s="5" t="s">
        <v>11</v>
      </c>
      <c r="C430" s="5" t="s">
        <v>15</v>
      </c>
      <c r="D430" s="5" t="s">
        <v>97</v>
      </c>
      <c r="E430" s="5">
        <v>2</v>
      </c>
      <c r="F430" s="5">
        <v>1486.57</v>
      </c>
      <c r="G430" s="5">
        <v>1412.08</v>
      </c>
    </row>
    <row r="431" spans="1:7" ht="15" customHeight="1" x14ac:dyDescent="0.3">
      <c r="A431" s="5" t="s">
        <v>234</v>
      </c>
      <c r="B431" s="5" t="s">
        <v>34</v>
      </c>
      <c r="C431" s="5" t="s">
        <v>75</v>
      </c>
      <c r="D431" s="5" t="s">
        <v>16</v>
      </c>
      <c r="E431" s="5">
        <v>6</v>
      </c>
      <c r="F431" s="5">
        <v>2230.14</v>
      </c>
      <c r="G431" s="5">
        <v>2176.13</v>
      </c>
    </row>
    <row r="432" spans="1:7" ht="15" customHeight="1" x14ac:dyDescent="0.3">
      <c r="A432" s="5" t="s">
        <v>234</v>
      </c>
      <c r="B432" s="5" t="s">
        <v>34</v>
      </c>
      <c r="C432" s="5" t="s">
        <v>75</v>
      </c>
      <c r="D432" s="5" t="s">
        <v>82</v>
      </c>
      <c r="E432" s="5">
        <v>9</v>
      </c>
      <c r="F432" s="5">
        <v>7979.6</v>
      </c>
      <c r="G432" s="5">
        <v>8109.53</v>
      </c>
    </row>
    <row r="433" spans="1:7" ht="15" customHeight="1" x14ac:dyDescent="0.3">
      <c r="A433" s="5" t="s">
        <v>234</v>
      </c>
      <c r="B433" s="5" t="s">
        <v>17</v>
      </c>
      <c r="C433" s="5" t="s">
        <v>19</v>
      </c>
      <c r="D433" s="5" t="s">
        <v>26</v>
      </c>
      <c r="E433" s="5">
        <v>2</v>
      </c>
      <c r="F433" s="5">
        <v>463.63</v>
      </c>
      <c r="G433" s="5">
        <v>451.55</v>
      </c>
    </row>
    <row r="434" spans="1:7" ht="15" customHeight="1" x14ac:dyDescent="0.3">
      <c r="A434" s="5" t="s">
        <v>234</v>
      </c>
      <c r="B434" s="5" t="s">
        <v>22</v>
      </c>
      <c r="C434" s="5" t="s">
        <v>25</v>
      </c>
      <c r="D434" s="5" t="s">
        <v>72</v>
      </c>
      <c r="E434" s="5">
        <v>10</v>
      </c>
      <c r="F434" s="5">
        <v>3691.33</v>
      </c>
      <c r="G434" s="5">
        <v>4304.1099999999997</v>
      </c>
    </row>
    <row r="435" spans="1:7" ht="15" customHeight="1" x14ac:dyDescent="0.3">
      <c r="A435" s="5" t="s">
        <v>234</v>
      </c>
      <c r="B435" s="5" t="s">
        <v>17</v>
      </c>
      <c r="C435" s="5" t="s">
        <v>68</v>
      </c>
      <c r="D435" s="5" t="s">
        <v>65</v>
      </c>
      <c r="E435" s="5">
        <v>7</v>
      </c>
      <c r="F435" s="5">
        <v>9560.4500000000007</v>
      </c>
      <c r="G435" s="5">
        <v>8919.81</v>
      </c>
    </row>
    <row r="436" spans="1:7" ht="15" customHeight="1" x14ac:dyDescent="0.3">
      <c r="A436" s="5" t="s">
        <v>235</v>
      </c>
      <c r="B436" s="5" t="s">
        <v>53</v>
      </c>
      <c r="C436" s="5" t="s">
        <v>93</v>
      </c>
      <c r="D436" s="5" t="s">
        <v>61</v>
      </c>
      <c r="E436" s="5">
        <v>9</v>
      </c>
      <c r="F436" s="5">
        <v>6420.41</v>
      </c>
      <c r="G436" s="5">
        <v>7747.31</v>
      </c>
    </row>
    <row r="437" spans="1:7" ht="15" customHeight="1" x14ac:dyDescent="0.3">
      <c r="A437" s="5" t="s">
        <v>235</v>
      </c>
      <c r="B437" s="5" t="s">
        <v>34</v>
      </c>
      <c r="C437" s="5" t="s">
        <v>35</v>
      </c>
      <c r="D437" s="5" t="s">
        <v>48</v>
      </c>
      <c r="E437" s="5">
        <v>1</v>
      </c>
      <c r="F437" s="5">
        <v>220.67</v>
      </c>
      <c r="G437" s="5">
        <v>259.35000000000002</v>
      </c>
    </row>
    <row r="438" spans="1:7" ht="15" customHeight="1" x14ac:dyDescent="0.3">
      <c r="A438" s="5" t="s">
        <v>235</v>
      </c>
      <c r="B438" s="5" t="s">
        <v>28</v>
      </c>
      <c r="C438" s="5" t="s">
        <v>66</v>
      </c>
      <c r="D438" s="5" t="s">
        <v>113</v>
      </c>
      <c r="E438" s="5">
        <v>4</v>
      </c>
      <c r="F438" s="5">
        <v>1458.69</v>
      </c>
      <c r="G438" s="5">
        <v>1205.0899999999999</v>
      </c>
    </row>
    <row r="439" spans="1:7" ht="15" customHeight="1" x14ac:dyDescent="0.3">
      <c r="A439" s="5" t="s">
        <v>235</v>
      </c>
      <c r="B439" s="5" t="s">
        <v>34</v>
      </c>
      <c r="C439" s="5" t="s">
        <v>75</v>
      </c>
      <c r="D439" s="5" t="s">
        <v>48</v>
      </c>
      <c r="E439" s="5">
        <v>10</v>
      </c>
      <c r="F439" s="5">
        <v>2280.2199999999998</v>
      </c>
      <c r="G439" s="5">
        <v>2068.59</v>
      </c>
    </row>
    <row r="440" spans="1:7" ht="15" customHeight="1" x14ac:dyDescent="0.3">
      <c r="A440" s="5" t="s">
        <v>235</v>
      </c>
      <c r="B440" s="5" t="s">
        <v>22</v>
      </c>
      <c r="C440" s="5" t="s">
        <v>114</v>
      </c>
      <c r="D440" s="5" t="s">
        <v>55</v>
      </c>
      <c r="E440" s="5">
        <v>9</v>
      </c>
      <c r="F440" s="5">
        <v>3417.54</v>
      </c>
      <c r="G440" s="5">
        <v>3355.69</v>
      </c>
    </row>
    <row r="441" spans="1:7" ht="15" customHeight="1" x14ac:dyDescent="0.3">
      <c r="A441" s="5" t="s">
        <v>236</v>
      </c>
      <c r="B441" s="5" t="s">
        <v>42</v>
      </c>
      <c r="C441" s="5" t="s">
        <v>62</v>
      </c>
      <c r="D441" s="5" t="s">
        <v>99</v>
      </c>
      <c r="E441" s="5">
        <v>5</v>
      </c>
      <c r="F441" s="5">
        <v>406.5</v>
      </c>
      <c r="G441" s="5">
        <v>333.66</v>
      </c>
    </row>
    <row r="442" spans="1:7" ht="15" customHeight="1" x14ac:dyDescent="0.3">
      <c r="A442" s="5" t="s">
        <v>237</v>
      </c>
      <c r="B442" s="5" t="s">
        <v>34</v>
      </c>
      <c r="C442" s="5" t="s">
        <v>75</v>
      </c>
      <c r="D442" s="5" t="s">
        <v>36</v>
      </c>
      <c r="E442" s="5">
        <v>12</v>
      </c>
      <c r="F442" s="5">
        <v>8718.98</v>
      </c>
      <c r="G442" s="5">
        <v>10001.43</v>
      </c>
    </row>
    <row r="443" spans="1:7" ht="15" customHeight="1" x14ac:dyDescent="0.3">
      <c r="A443" s="5" t="s">
        <v>237</v>
      </c>
      <c r="B443" s="5" t="s">
        <v>22</v>
      </c>
      <c r="C443" s="5" t="s">
        <v>123</v>
      </c>
      <c r="D443" s="5" t="s">
        <v>49</v>
      </c>
      <c r="E443" s="5">
        <v>7</v>
      </c>
      <c r="F443" s="5">
        <v>2818.8</v>
      </c>
      <c r="G443" s="5">
        <v>2725.11</v>
      </c>
    </row>
    <row r="444" spans="1:7" ht="15" customHeight="1" x14ac:dyDescent="0.3">
      <c r="A444" s="5" t="s">
        <v>238</v>
      </c>
      <c r="B444" s="5" t="s">
        <v>11</v>
      </c>
      <c r="C444" s="5" t="s">
        <v>76</v>
      </c>
      <c r="D444" s="5" t="s">
        <v>13</v>
      </c>
      <c r="E444" s="5">
        <v>8</v>
      </c>
      <c r="F444" s="5">
        <v>4825.6000000000004</v>
      </c>
      <c r="G444" s="5">
        <v>5219.71</v>
      </c>
    </row>
    <row r="445" spans="1:7" ht="15" customHeight="1" x14ac:dyDescent="0.3">
      <c r="A445" s="5" t="s">
        <v>239</v>
      </c>
      <c r="B445" s="5" t="s">
        <v>28</v>
      </c>
      <c r="C445" s="5" t="s">
        <v>66</v>
      </c>
      <c r="D445" s="5" t="s">
        <v>49</v>
      </c>
      <c r="E445" s="5">
        <v>2</v>
      </c>
      <c r="F445" s="5">
        <v>788.34</v>
      </c>
      <c r="G445" s="5">
        <v>797.29</v>
      </c>
    </row>
    <row r="446" spans="1:7" ht="15" customHeight="1" x14ac:dyDescent="0.3">
      <c r="A446" s="5" t="s">
        <v>239</v>
      </c>
      <c r="B446" s="5" t="s">
        <v>42</v>
      </c>
      <c r="C446" s="5" t="s">
        <v>63</v>
      </c>
      <c r="D446" s="5" t="s">
        <v>69</v>
      </c>
      <c r="E446" s="5">
        <v>3</v>
      </c>
      <c r="F446" s="5">
        <v>1091.6199999999999</v>
      </c>
      <c r="G446" s="5">
        <v>1020.44</v>
      </c>
    </row>
    <row r="447" spans="1:7" ht="15" customHeight="1" x14ac:dyDescent="0.3">
      <c r="A447" s="5" t="s">
        <v>239</v>
      </c>
      <c r="B447" s="5" t="s">
        <v>8</v>
      </c>
      <c r="C447" s="5" t="s">
        <v>102</v>
      </c>
      <c r="D447" s="5" t="s">
        <v>61</v>
      </c>
      <c r="E447" s="5">
        <v>5</v>
      </c>
      <c r="F447" s="5">
        <v>3615.85</v>
      </c>
      <c r="G447" s="5">
        <v>3278.66</v>
      </c>
    </row>
    <row r="448" spans="1:7" ht="15" customHeight="1" x14ac:dyDescent="0.3">
      <c r="A448" s="5" t="s">
        <v>240</v>
      </c>
      <c r="B448" s="5" t="s">
        <v>22</v>
      </c>
      <c r="C448" s="5" t="s">
        <v>78</v>
      </c>
      <c r="D448" s="5" t="s">
        <v>61</v>
      </c>
      <c r="E448" s="5">
        <v>8</v>
      </c>
      <c r="F448" s="5">
        <v>6591.31</v>
      </c>
      <c r="G448" s="5">
        <v>5580.7</v>
      </c>
    </row>
    <row r="449" spans="1:7" ht="15" customHeight="1" x14ac:dyDescent="0.3">
      <c r="A449" s="5" t="s">
        <v>240</v>
      </c>
      <c r="B449" s="5" t="s">
        <v>17</v>
      </c>
      <c r="C449" s="5" t="s">
        <v>68</v>
      </c>
      <c r="D449" s="5" t="s">
        <v>33</v>
      </c>
      <c r="E449" s="5">
        <v>1</v>
      </c>
      <c r="F449" s="5">
        <v>1625.48</v>
      </c>
      <c r="G449" s="5">
        <v>1873.83</v>
      </c>
    </row>
    <row r="450" spans="1:7" ht="15" customHeight="1" x14ac:dyDescent="0.3">
      <c r="A450" s="5" t="s">
        <v>241</v>
      </c>
      <c r="B450" s="5" t="s">
        <v>28</v>
      </c>
      <c r="C450" s="5" t="s">
        <v>66</v>
      </c>
      <c r="D450" s="5" t="s">
        <v>44</v>
      </c>
      <c r="E450" s="5">
        <v>12</v>
      </c>
      <c r="F450" s="5">
        <v>3142.11</v>
      </c>
      <c r="G450" s="5">
        <v>3270.04</v>
      </c>
    </row>
    <row r="451" spans="1:7" ht="15" customHeight="1" x14ac:dyDescent="0.3">
      <c r="A451" s="5" t="s">
        <v>242</v>
      </c>
      <c r="B451" s="5" t="s">
        <v>8</v>
      </c>
      <c r="C451" s="5" t="s">
        <v>126</v>
      </c>
      <c r="D451" s="5" t="s">
        <v>86</v>
      </c>
      <c r="E451" s="5">
        <v>8</v>
      </c>
      <c r="F451" s="5">
        <v>2348.69</v>
      </c>
      <c r="G451" s="5">
        <v>2187.7199999999998</v>
      </c>
    </row>
    <row r="452" spans="1:7" ht="15" customHeight="1" x14ac:dyDescent="0.3">
      <c r="A452" s="5" t="s">
        <v>242</v>
      </c>
      <c r="B452" s="5" t="s">
        <v>17</v>
      </c>
      <c r="C452" s="5" t="s">
        <v>18</v>
      </c>
      <c r="D452" s="5" t="s">
        <v>30</v>
      </c>
      <c r="E452" s="5">
        <v>8</v>
      </c>
      <c r="F452" s="5">
        <v>4029.84</v>
      </c>
      <c r="G452" s="5">
        <v>3662.4</v>
      </c>
    </row>
    <row r="453" spans="1:7" ht="15" customHeight="1" x14ac:dyDescent="0.3">
      <c r="A453" s="5" t="s">
        <v>242</v>
      </c>
      <c r="B453" s="5" t="s">
        <v>17</v>
      </c>
      <c r="C453" s="5" t="s">
        <v>18</v>
      </c>
      <c r="D453" s="5" t="s">
        <v>51</v>
      </c>
      <c r="E453" s="5">
        <v>5</v>
      </c>
      <c r="F453" s="5">
        <v>3866.78</v>
      </c>
      <c r="G453" s="5">
        <v>4617.43</v>
      </c>
    </row>
    <row r="454" spans="1:7" ht="15" customHeight="1" x14ac:dyDescent="0.3">
      <c r="A454" s="5" t="s">
        <v>243</v>
      </c>
      <c r="B454" s="5" t="s">
        <v>17</v>
      </c>
      <c r="C454" s="5" t="s">
        <v>18</v>
      </c>
      <c r="D454" s="5" t="s">
        <v>61</v>
      </c>
      <c r="E454" s="5">
        <v>5</v>
      </c>
      <c r="F454" s="5">
        <v>4207.97</v>
      </c>
      <c r="G454" s="5">
        <v>4021.64</v>
      </c>
    </row>
    <row r="455" spans="1:7" ht="15" customHeight="1" x14ac:dyDescent="0.3">
      <c r="A455" s="5" t="s">
        <v>244</v>
      </c>
      <c r="B455" s="5" t="s">
        <v>17</v>
      </c>
      <c r="C455" s="5" t="s">
        <v>18</v>
      </c>
      <c r="D455" s="5" t="s">
        <v>99</v>
      </c>
      <c r="E455" s="5">
        <v>1</v>
      </c>
      <c r="F455" s="5">
        <v>74.040000000000006</v>
      </c>
      <c r="G455" s="5">
        <v>81.89</v>
      </c>
    </row>
    <row r="456" spans="1:7" ht="15" customHeight="1" x14ac:dyDescent="0.3">
      <c r="A456" s="5" t="s">
        <v>244</v>
      </c>
      <c r="B456" s="5" t="s">
        <v>53</v>
      </c>
      <c r="C456" s="5" t="s">
        <v>71</v>
      </c>
      <c r="D456" s="5" t="s">
        <v>72</v>
      </c>
      <c r="E456" s="5">
        <v>11</v>
      </c>
      <c r="F456" s="5">
        <v>4460.4799999999996</v>
      </c>
      <c r="G456" s="5">
        <v>4489.3100000000004</v>
      </c>
    </row>
    <row r="457" spans="1:7" ht="15" customHeight="1" x14ac:dyDescent="0.3">
      <c r="A457" s="5" t="s">
        <v>244</v>
      </c>
      <c r="B457" s="5" t="s">
        <v>22</v>
      </c>
      <c r="C457" s="5" t="s">
        <v>123</v>
      </c>
      <c r="D457" s="5" t="s">
        <v>49</v>
      </c>
      <c r="E457" s="5">
        <v>5</v>
      </c>
      <c r="F457" s="5">
        <v>2152.0300000000002</v>
      </c>
      <c r="G457" s="5">
        <v>1751.5</v>
      </c>
    </row>
    <row r="458" spans="1:7" ht="15" customHeight="1" x14ac:dyDescent="0.3">
      <c r="A458" s="5" t="s">
        <v>244</v>
      </c>
      <c r="B458" s="5" t="s">
        <v>28</v>
      </c>
      <c r="C458" s="5" t="s">
        <v>66</v>
      </c>
      <c r="D458" s="5" t="s">
        <v>86</v>
      </c>
      <c r="E458" s="5">
        <v>6</v>
      </c>
      <c r="F458" s="5">
        <v>1797.32</v>
      </c>
      <c r="G458" s="5">
        <v>2102.13</v>
      </c>
    </row>
    <row r="459" spans="1:7" ht="15" customHeight="1" x14ac:dyDescent="0.3">
      <c r="A459" s="5" t="s">
        <v>245</v>
      </c>
      <c r="B459" s="5" t="s">
        <v>11</v>
      </c>
      <c r="C459" s="5" t="s">
        <v>60</v>
      </c>
      <c r="D459" s="5" t="s">
        <v>80</v>
      </c>
      <c r="E459" s="5">
        <v>4</v>
      </c>
      <c r="F459" s="5">
        <v>2426.6799999999998</v>
      </c>
      <c r="G459" s="5">
        <v>2263.9699999999998</v>
      </c>
    </row>
    <row r="460" spans="1:7" ht="15" customHeight="1" x14ac:dyDescent="0.3">
      <c r="A460" s="5" t="s">
        <v>245</v>
      </c>
      <c r="B460" s="5" t="s">
        <v>34</v>
      </c>
      <c r="C460" s="5" t="s">
        <v>35</v>
      </c>
      <c r="D460" s="5" t="s">
        <v>96</v>
      </c>
      <c r="E460" s="5">
        <v>2</v>
      </c>
      <c r="F460" s="5">
        <v>3147.25</v>
      </c>
      <c r="G460" s="5">
        <v>2551.4899999999998</v>
      </c>
    </row>
    <row r="461" spans="1:7" ht="15" customHeight="1" x14ac:dyDescent="0.3">
      <c r="A461" s="5" t="s">
        <v>245</v>
      </c>
      <c r="B461" s="5" t="s">
        <v>11</v>
      </c>
      <c r="C461" s="5" t="s">
        <v>60</v>
      </c>
      <c r="D461" s="5" t="s">
        <v>49</v>
      </c>
      <c r="E461" s="5">
        <v>5</v>
      </c>
      <c r="F461" s="5">
        <v>2023.43</v>
      </c>
      <c r="G461" s="5">
        <v>2313.31</v>
      </c>
    </row>
    <row r="462" spans="1:7" ht="15" customHeight="1" x14ac:dyDescent="0.3">
      <c r="A462" s="5" t="s">
        <v>246</v>
      </c>
      <c r="B462" s="5" t="s">
        <v>42</v>
      </c>
      <c r="C462" s="5" t="s">
        <v>43</v>
      </c>
      <c r="D462" s="5" t="s">
        <v>51</v>
      </c>
      <c r="E462" s="5">
        <v>6</v>
      </c>
      <c r="F462" s="5">
        <v>4449.5</v>
      </c>
      <c r="G462" s="5">
        <v>5529.03</v>
      </c>
    </row>
    <row r="463" spans="1:7" ht="15" customHeight="1" x14ac:dyDescent="0.3">
      <c r="A463" s="5" t="s">
        <v>246</v>
      </c>
      <c r="B463" s="5" t="s">
        <v>11</v>
      </c>
      <c r="C463" s="5" t="s">
        <v>12</v>
      </c>
      <c r="D463" s="5" t="s">
        <v>80</v>
      </c>
      <c r="E463" s="5">
        <v>4</v>
      </c>
      <c r="F463" s="5">
        <v>2487.77</v>
      </c>
      <c r="G463" s="5">
        <v>2830.36</v>
      </c>
    </row>
    <row r="464" spans="1:7" ht="15" customHeight="1" x14ac:dyDescent="0.3">
      <c r="A464" s="5" t="s">
        <v>246</v>
      </c>
      <c r="B464" s="5" t="s">
        <v>53</v>
      </c>
      <c r="C464" s="5" t="s">
        <v>54</v>
      </c>
      <c r="D464" s="5" t="s">
        <v>44</v>
      </c>
      <c r="E464" s="5">
        <v>1</v>
      </c>
      <c r="F464" s="5">
        <v>255.51</v>
      </c>
      <c r="G464" s="5">
        <v>273.89</v>
      </c>
    </row>
    <row r="465" spans="1:7" ht="15" customHeight="1" x14ac:dyDescent="0.3">
      <c r="A465" s="5" t="s">
        <v>247</v>
      </c>
      <c r="B465" s="5" t="s">
        <v>8</v>
      </c>
      <c r="C465" s="5" t="s">
        <v>83</v>
      </c>
      <c r="D465" s="5" t="s">
        <v>69</v>
      </c>
      <c r="E465" s="5">
        <v>10</v>
      </c>
      <c r="F465" s="5">
        <v>3449.28</v>
      </c>
      <c r="G465" s="5">
        <v>3233.09</v>
      </c>
    </row>
    <row r="466" spans="1:7" ht="15" customHeight="1" x14ac:dyDescent="0.3">
      <c r="A466" s="5" t="s">
        <v>247</v>
      </c>
      <c r="B466" s="5" t="s">
        <v>17</v>
      </c>
      <c r="C466" s="5" t="s">
        <v>19</v>
      </c>
      <c r="D466" s="5" t="s">
        <v>99</v>
      </c>
      <c r="E466" s="5">
        <v>11</v>
      </c>
      <c r="F466" s="5">
        <v>877.7</v>
      </c>
      <c r="G466" s="5">
        <v>807.2</v>
      </c>
    </row>
    <row r="467" spans="1:7" ht="15" customHeight="1" x14ac:dyDescent="0.3">
      <c r="A467" s="5" t="s">
        <v>247</v>
      </c>
      <c r="B467" s="5" t="s">
        <v>28</v>
      </c>
      <c r="C467" s="5" t="s">
        <v>29</v>
      </c>
      <c r="D467" s="5" t="s">
        <v>72</v>
      </c>
      <c r="E467" s="5">
        <v>10</v>
      </c>
      <c r="F467" s="5">
        <v>3736.26</v>
      </c>
      <c r="G467" s="5">
        <v>3621.83</v>
      </c>
    </row>
    <row r="468" spans="1:7" ht="15" customHeight="1" x14ac:dyDescent="0.3">
      <c r="A468" s="5" t="s">
        <v>248</v>
      </c>
      <c r="B468" s="5" t="s">
        <v>17</v>
      </c>
      <c r="C468" s="5" t="s">
        <v>68</v>
      </c>
      <c r="D468" s="5" t="s">
        <v>65</v>
      </c>
      <c r="E468" s="5">
        <v>2</v>
      </c>
      <c r="F468" s="5">
        <v>3109.98</v>
      </c>
      <c r="G468" s="5">
        <v>3292.99</v>
      </c>
    </row>
    <row r="469" spans="1:7" ht="15" customHeight="1" x14ac:dyDescent="0.3">
      <c r="A469" s="5" t="s">
        <v>249</v>
      </c>
      <c r="B469" s="5" t="s">
        <v>42</v>
      </c>
      <c r="C469" s="5" t="s">
        <v>62</v>
      </c>
      <c r="D469" s="5" t="s">
        <v>96</v>
      </c>
      <c r="E469" s="5">
        <v>10</v>
      </c>
      <c r="F469" s="5">
        <v>14648.93</v>
      </c>
      <c r="G469" s="5">
        <v>13396.13</v>
      </c>
    </row>
    <row r="470" spans="1:7" ht="15" customHeight="1" x14ac:dyDescent="0.3">
      <c r="A470" s="5" t="s">
        <v>249</v>
      </c>
      <c r="B470" s="5" t="s">
        <v>53</v>
      </c>
      <c r="C470" s="5" t="s">
        <v>54</v>
      </c>
      <c r="D470" s="5" t="s">
        <v>86</v>
      </c>
      <c r="E470" s="5">
        <v>7</v>
      </c>
      <c r="F470" s="5">
        <v>2391.3200000000002</v>
      </c>
      <c r="G470" s="5">
        <v>2010.56</v>
      </c>
    </row>
    <row r="471" spans="1:7" ht="15" customHeight="1" x14ac:dyDescent="0.3">
      <c r="A471" s="5" t="s">
        <v>249</v>
      </c>
      <c r="B471" s="5" t="s">
        <v>34</v>
      </c>
      <c r="C471" s="5" t="s">
        <v>35</v>
      </c>
      <c r="D471" s="5" t="s">
        <v>86</v>
      </c>
      <c r="E471" s="5">
        <v>4</v>
      </c>
      <c r="F471" s="5">
        <v>1231.72</v>
      </c>
      <c r="G471" s="5">
        <v>1150.44</v>
      </c>
    </row>
    <row r="472" spans="1:7" ht="15" customHeight="1" x14ac:dyDescent="0.3">
      <c r="A472" s="5" t="s">
        <v>250</v>
      </c>
      <c r="B472" s="5" t="s">
        <v>34</v>
      </c>
      <c r="C472" s="5" t="s">
        <v>35</v>
      </c>
      <c r="D472" s="5" t="s">
        <v>72</v>
      </c>
      <c r="E472" s="5">
        <v>11</v>
      </c>
      <c r="F472" s="5">
        <v>4563.71</v>
      </c>
      <c r="G472" s="5">
        <v>4867.01</v>
      </c>
    </row>
    <row r="473" spans="1:7" ht="15" customHeight="1" x14ac:dyDescent="0.3">
      <c r="A473" s="5" t="s">
        <v>250</v>
      </c>
      <c r="B473" s="5" t="s">
        <v>8</v>
      </c>
      <c r="C473" s="5" t="s">
        <v>37</v>
      </c>
      <c r="D473" s="5" t="s">
        <v>56</v>
      </c>
      <c r="E473" s="5">
        <v>4</v>
      </c>
      <c r="F473" s="5">
        <v>2130.79</v>
      </c>
      <c r="G473" s="5">
        <v>2224.58</v>
      </c>
    </row>
    <row r="474" spans="1:7" ht="15" customHeight="1" x14ac:dyDescent="0.3">
      <c r="A474" s="5" t="s">
        <v>250</v>
      </c>
      <c r="B474" s="5" t="s">
        <v>28</v>
      </c>
      <c r="C474" s="5" t="s">
        <v>29</v>
      </c>
      <c r="D474" s="5" t="s">
        <v>113</v>
      </c>
      <c r="E474" s="5">
        <v>1</v>
      </c>
      <c r="F474" s="5">
        <v>371.93</v>
      </c>
      <c r="G474" s="5">
        <v>357.9</v>
      </c>
    </row>
    <row r="475" spans="1:7" ht="15" customHeight="1" x14ac:dyDescent="0.3">
      <c r="A475" s="5" t="s">
        <v>250</v>
      </c>
      <c r="B475" s="5" t="s">
        <v>8</v>
      </c>
      <c r="C475" s="5" t="s">
        <v>102</v>
      </c>
      <c r="D475" s="5" t="s">
        <v>103</v>
      </c>
      <c r="E475" s="5">
        <v>2</v>
      </c>
      <c r="F475" s="5">
        <v>1560.83</v>
      </c>
      <c r="G475" s="5">
        <v>1763.05</v>
      </c>
    </row>
    <row r="476" spans="1:7" ht="15" customHeight="1" x14ac:dyDescent="0.3">
      <c r="A476" s="5" t="s">
        <v>251</v>
      </c>
      <c r="B476" s="5" t="s">
        <v>53</v>
      </c>
      <c r="C476" s="5" t="s">
        <v>54</v>
      </c>
      <c r="D476" s="5" t="s">
        <v>86</v>
      </c>
      <c r="E476" s="5">
        <v>12</v>
      </c>
      <c r="F476" s="5">
        <v>4077.38</v>
      </c>
      <c r="G476" s="5">
        <v>3304.01</v>
      </c>
    </row>
    <row r="477" spans="1:7" ht="15" customHeight="1" x14ac:dyDescent="0.3">
      <c r="A477" s="5" t="s">
        <v>251</v>
      </c>
      <c r="B477" s="5" t="s">
        <v>42</v>
      </c>
      <c r="C477" s="5" t="s">
        <v>62</v>
      </c>
      <c r="D477" s="5" t="s">
        <v>99</v>
      </c>
      <c r="E477" s="5">
        <v>7</v>
      </c>
      <c r="F477" s="5">
        <v>504.1</v>
      </c>
      <c r="G477" s="5">
        <v>520.38</v>
      </c>
    </row>
    <row r="478" spans="1:7" ht="15" customHeight="1" x14ac:dyDescent="0.3">
      <c r="A478" s="5" t="s">
        <v>251</v>
      </c>
      <c r="B478" s="5" t="s">
        <v>34</v>
      </c>
      <c r="C478" s="5" t="s">
        <v>79</v>
      </c>
      <c r="D478" s="5" t="s">
        <v>103</v>
      </c>
      <c r="E478" s="5">
        <v>6</v>
      </c>
      <c r="F478" s="5">
        <v>4400.0600000000004</v>
      </c>
      <c r="G478" s="5">
        <v>4958.04</v>
      </c>
    </row>
    <row r="479" spans="1:7" ht="15" customHeight="1" x14ac:dyDescent="0.3">
      <c r="A479" s="5" t="s">
        <v>251</v>
      </c>
      <c r="B479" s="5" t="s">
        <v>8</v>
      </c>
      <c r="C479" s="5" t="s">
        <v>41</v>
      </c>
      <c r="D479" s="5" t="s">
        <v>91</v>
      </c>
      <c r="E479" s="5">
        <v>8</v>
      </c>
      <c r="F479" s="5">
        <v>2501.63</v>
      </c>
      <c r="G479" s="5">
        <v>2780.11</v>
      </c>
    </row>
    <row r="480" spans="1:7" ht="15" customHeight="1" x14ac:dyDescent="0.3">
      <c r="A480" s="5" t="s">
        <v>251</v>
      </c>
      <c r="B480" s="5" t="s">
        <v>11</v>
      </c>
      <c r="C480" s="5" t="s">
        <v>15</v>
      </c>
      <c r="D480" s="5" t="s">
        <v>26</v>
      </c>
      <c r="E480" s="5">
        <v>10</v>
      </c>
      <c r="F480" s="5">
        <v>2078.46</v>
      </c>
      <c r="G480" s="5">
        <v>1996.18</v>
      </c>
    </row>
    <row r="481" spans="1:7" ht="15" customHeight="1" x14ac:dyDescent="0.3">
      <c r="A481" s="5" t="s">
        <v>252</v>
      </c>
      <c r="B481" s="5" t="s">
        <v>42</v>
      </c>
      <c r="C481" s="5" t="s">
        <v>85</v>
      </c>
      <c r="D481" s="5" t="s">
        <v>36</v>
      </c>
      <c r="E481" s="5">
        <v>11</v>
      </c>
      <c r="F481" s="5">
        <v>7870.81</v>
      </c>
      <c r="G481" s="5">
        <v>7038.64</v>
      </c>
    </row>
    <row r="482" spans="1:7" ht="15" customHeight="1" x14ac:dyDescent="0.3">
      <c r="A482" s="5" t="s">
        <v>252</v>
      </c>
      <c r="B482" s="5" t="s">
        <v>42</v>
      </c>
      <c r="C482" s="5" t="s">
        <v>62</v>
      </c>
      <c r="D482" s="5" t="s">
        <v>86</v>
      </c>
      <c r="E482" s="5">
        <v>4</v>
      </c>
      <c r="F482" s="5">
        <v>1251.75</v>
      </c>
      <c r="G482" s="5">
        <v>1090.74</v>
      </c>
    </row>
    <row r="483" spans="1:7" ht="15" customHeight="1" x14ac:dyDescent="0.3">
      <c r="A483" s="5" t="s">
        <v>252</v>
      </c>
      <c r="B483" s="5" t="s">
        <v>28</v>
      </c>
      <c r="C483" s="5" t="s">
        <v>66</v>
      </c>
      <c r="D483" s="5" t="s">
        <v>49</v>
      </c>
      <c r="E483" s="5">
        <v>9</v>
      </c>
      <c r="F483" s="5">
        <v>3805.33</v>
      </c>
      <c r="G483" s="5">
        <v>3801.52</v>
      </c>
    </row>
    <row r="484" spans="1:7" ht="15" customHeight="1" x14ac:dyDescent="0.3">
      <c r="A484" s="5" t="s">
        <v>252</v>
      </c>
      <c r="B484" s="5" t="s">
        <v>11</v>
      </c>
      <c r="C484" s="5" t="s">
        <v>76</v>
      </c>
      <c r="D484" s="5" t="s">
        <v>97</v>
      </c>
      <c r="E484" s="5">
        <v>11</v>
      </c>
      <c r="F484" s="5">
        <v>8937.5</v>
      </c>
      <c r="G484" s="5">
        <v>9901.18</v>
      </c>
    </row>
    <row r="485" spans="1:7" ht="15" customHeight="1" x14ac:dyDescent="0.3">
      <c r="A485" s="5" t="s">
        <v>253</v>
      </c>
      <c r="B485" s="5" t="s">
        <v>17</v>
      </c>
      <c r="C485" s="5" t="s">
        <v>19</v>
      </c>
      <c r="D485" s="5" t="s">
        <v>91</v>
      </c>
      <c r="E485" s="5">
        <v>11</v>
      </c>
      <c r="F485" s="5">
        <v>3493.94</v>
      </c>
      <c r="G485" s="5">
        <v>3603.04</v>
      </c>
    </row>
    <row r="486" spans="1:7" ht="15" customHeight="1" x14ac:dyDescent="0.3">
      <c r="A486" s="5" t="s">
        <v>253</v>
      </c>
      <c r="B486" s="5" t="s">
        <v>53</v>
      </c>
      <c r="C486" s="5" t="s">
        <v>94</v>
      </c>
      <c r="D486" s="5" t="s">
        <v>51</v>
      </c>
      <c r="E486" s="5">
        <v>6</v>
      </c>
      <c r="F486" s="5">
        <v>4434.45</v>
      </c>
      <c r="G486" s="5">
        <v>4883.28</v>
      </c>
    </row>
    <row r="487" spans="1:7" ht="15" customHeight="1" x14ac:dyDescent="0.3">
      <c r="A487" s="5" t="s">
        <v>254</v>
      </c>
      <c r="B487" s="5" t="s">
        <v>22</v>
      </c>
      <c r="C487" s="5" t="s">
        <v>78</v>
      </c>
      <c r="D487" s="5" t="s">
        <v>56</v>
      </c>
      <c r="E487" s="5">
        <v>5</v>
      </c>
      <c r="F487" s="5">
        <v>2818.23</v>
      </c>
      <c r="G487" s="5">
        <v>2831.94</v>
      </c>
    </row>
    <row r="488" spans="1:7" ht="15" customHeight="1" x14ac:dyDescent="0.3">
      <c r="A488" s="5" t="s">
        <v>255</v>
      </c>
      <c r="B488" s="5" t="s">
        <v>22</v>
      </c>
      <c r="C488" s="5" t="s">
        <v>78</v>
      </c>
      <c r="D488" s="5" t="s">
        <v>20</v>
      </c>
      <c r="E488" s="5">
        <v>12</v>
      </c>
      <c r="F488" s="5">
        <v>4804.21</v>
      </c>
      <c r="G488" s="5">
        <v>4655.4799999999996</v>
      </c>
    </row>
    <row r="489" spans="1:7" ht="15" customHeight="1" x14ac:dyDescent="0.3">
      <c r="A489" s="5" t="s">
        <v>255</v>
      </c>
      <c r="B489" s="5" t="s">
        <v>42</v>
      </c>
      <c r="C489" s="5" t="s">
        <v>62</v>
      </c>
      <c r="D489" s="5" t="s">
        <v>44</v>
      </c>
      <c r="E489" s="5">
        <v>8</v>
      </c>
      <c r="F489" s="5">
        <v>2223.5500000000002</v>
      </c>
      <c r="G489" s="5">
        <v>2335.06</v>
      </c>
    </row>
    <row r="490" spans="1:7" ht="15" customHeight="1" x14ac:dyDescent="0.3">
      <c r="A490" s="5" t="s">
        <v>255</v>
      </c>
      <c r="B490" s="5" t="s">
        <v>17</v>
      </c>
      <c r="C490" s="5" t="s">
        <v>19</v>
      </c>
      <c r="D490" s="5" t="s">
        <v>16</v>
      </c>
      <c r="E490" s="5">
        <v>7</v>
      </c>
      <c r="F490" s="5">
        <v>2991.17</v>
      </c>
      <c r="G490" s="5">
        <v>2515.2399999999998</v>
      </c>
    </row>
    <row r="491" spans="1:7" ht="15" customHeight="1" x14ac:dyDescent="0.3">
      <c r="A491" s="5" t="s">
        <v>255</v>
      </c>
      <c r="B491" s="5" t="s">
        <v>53</v>
      </c>
      <c r="C491" s="5" t="s">
        <v>58</v>
      </c>
      <c r="D491" s="5" t="s">
        <v>13</v>
      </c>
      <c r="E491" s="5">
        <v>12</v>
      </c>
      <c r="F491" s="5">
        <v>7175.08</v>
      </c>
      <c r="G491" s="5">
        <v>8410.32</v>
      </c>
    </row>
    <row r="492" spans="1:7" ht="15" customHeight="1" x14ac:dyDescent="0.3">
      <c r="A492" s="5" t="s">
        <v>256</v>
      </c>
      <c r="B492" s="5" t="s">
        <v>17</v>
      </c>
      <c r="C492" s="5" t="s">
        <v>68</v>
      </c>
      <c r="D492" s="5" t="s">
        <v>13</v>
      </c>
      <c r="E492" s="5">
        <v>3</v>
      </c>
      <c r="F492" s="5">
        <v>1739.65</v>
      </c>
      <c r="G492" s="5">
        <v>1677.12</v>
      </c>
    </row>
    <row r="493" spans="1:7" ht="15" customHeight="1" x14ac:dyDescent="0.3">
      <c r="A493" s="5" t="s">
        <v>256</v>
      </c>
      <c r="B493" s="5" t="s">
        <v>42</v>
      </c>
      <c r="C493" s="5" t="s">
        <v>63</v>
      </c>
      <c r="D493" s="5" t="s">
        <v>48</v>
      </c>
      <c r="E493" s="5">
        <v>1</v>
      </c>
      <c r="F493" s="5">
        <v>231.6</v>
      </c>
      <c r="G493" s="5">
        <v>220.65</v>
      </c>
    </row>
    <row r="494" spans="1:7" ht="15" customHeight="1" x14ac:dyDescent="0.3">
      <c r="A494" s="5" t="s">
        <v>256</v>
      </c>
      <c r="B494" s="5" t="s">
        <v>11</v>
      </c>
      <c r="C494" s="5" t="s">
        <v>15</v>
      </c>
      <c r="D494" s="5" t="s">
        <v>61</v>
      </c>
      <c r="E494" s="5">
        <v>6</v>
      </c>
      <c r="F494" s="5">
        <v>4142.01</v>
      </c>
      <c r="G494" s="5">
        <v>4569.9799999999996</v>
      </c>
    </row>
    <row r="495" spans="1:7" ht="15" customHeight="1" x14ac:dyDescent="0.3">
      <c r="A495" s="5" t="s">
        <v>257</v>
      </c>
      <c r="B495" s="5" t="s">
        <v>34</v>
      </c>
      <c r="C495" s="5" t="s">
        <v>79</v>
      </c>
      <c r="D495" s="5" t="s">
        <v>30</v>
      </c>
      <c r="E495" s="5">
        <v>2</v>
      </c>
      <c r="F495" s="5">
        <v>960.88</v>
      </c>
      <c r="G495" s="5">
        <v>967.93</v>
      </c>
    </row>
    <row r="496" spans="1:7" ht="15" customHeight="1" x14ac:dyDescent="0.3">
      <c r="A496" s="5" t="s">
        <v>257</v>
      </c>
      <c r="B496" s="5" t="s">
        <v>8</v>
      </c>
      <c r="C496" s="5" t="s">
        <v>126</v>
      </c>
      <c r="D496" s="5" t="s">
        <v>69</v>
      </c>
      <c r="E496" s="5">
        <v>7</v>
      </c>
      <c r="F496" s="5">
        <v>2550.0100000000002</v>
      </c>
      <c r="G496" s="5">
        <v>2211.64</v>
      </c>
    </row>
    <row r="497" spans="1:7" ht="15" customHeight="1" x14ac:dyDescent="0.3">
      <c r="A497" s="5" t="s">
        <v>257</v>
      </c>
      <c r="B497" s="5" t="s">
        <v>8</v>
      </c>
      <c r="C497" s="5" t="s">
        <v>126</v>
      </c>
      <c r="D497" s="5" t="s">
        <v>48</v>
      </c>
      <c r="E497" s="5">
        <v>2</v>
      </c>
      <c r="F497" s="5">
        <v>468.75</v>
      </c>
      <c r="G497" s="5">
        <v>398.78</v>
      </c>
    </row>
    <row r="498" spans="1:7" ht="15" customHeight="1" x14ac:dyDescent="0.3">
      <c r="A498" s="5" t="s">
        <v>258</v>
      </c>
      <c r="B498" s="5" t="s">
        <v>53</v>
      </c>
      <c r="C498" s="5" t="s">
        <v>71</v>
      </c>
      <c r="D498" s="5" t="s">
        <v>96</v>
      </c>
      <c r="E498" s="5">
        <v>2</v>
      </c>
      <c r="F498" s="5">
        <v>2635.05</v>
      </c>
      <c r="G498" s="5">
        <v>2759.05</v>
      </c>
    </row>
    <row r="499" spans="1:7" ht="15" customHeight="1" x14ac:dyDescent="0.3">
      <c r="A499" s="5" t="s">
        <v>258</v>
      </c>
      <c r="B499" s="5" t="s">
        <v>8</v>
      </c>
      <c r="C499" s="5" t="s">
        <v>102</v>
      </c>
      <c r="D499" s="5" t="s">
        <v>55</v>
      </c>
      <c r="E499" s="5">
        <v>7</v>
      </c>
      <c r="F499" s="5">
        <v>2216.1799999999998</v>
      </c>
      <c r="G499" s="5">
        <v>2622.78</v>
      </c>
    </row>
    <row r="500" spans="1:7" ht="15" customHeight="1" x14ac:dyDescent="0.3">
      <c r="A500" s="5" t="s">
        <v>258</v>
      </c>
      <c r="B500" s="5" t="s">
        <v>17</v>
      </c>
      <c r="C500" s="5" t="s">
        <v>18</v>
      </c>
      <c r="D500" s="5" t="s">
        <v>113</v>
      </c>
      <c r="E500" s="5">
        <v>3</v>
      </c>
      <c r="F500" s="5">
        <v>928.3</v>
      </c>
      <c r="G500" s="5">
        <v>943.99</v>
      </c>
    </row>
    <row r="501" spans="1:7" ht="15" customHeight="1" x14ac:dyDescent="0.3">
      <c r="A501" s="5" t="s">
        <v>259</v>
      </c>
      <c r="B501" s="5" t="s">
        <v>11</v>
      </c>
      <c r="C501" s="5" t="s">
        <v>15</v>
      </c>
      <c r="D501" s="5" t="s">
        <v>48</v>
      </c>
      <c r="E501" s="5">
        <v>1</v>
      </c>
      <c r="F501" s="5">
        <v>232.51</v>
      </c>
      <c r="G501" s="5">
        <v>231.54</v>
      </c>
    </row>
    <row r="502" spans="1:7" ht="15" customHeight="1" x14ac:dyDescent="0.3">
      <c r="A502" s="5" t="s">
        <v>259</v>
      </c>
      <c r="B502" s="5" t="s">
        <v>42</v>
      </c>
      <c r="C502" s="5" t="s">
        <v>85</v>
      </c>
      <c r="D502" s="5" t="s">
        <v>16</v>
      </c>
      <c r="E502" s="5">
        <v>7</v>
      </c>
      <c r="F502" s="5">
        <v>2846.26</v>
      </c>
      <c r="G502" s="5">
        <v>2584.17</v>
      </c>
    </row>
    <row r="503" spans="1:7" ht="15" customHeight="1" x14ac:dyDescent="0.3">
      <c r="A503" s="5" t="s">
        <v>259</v>
      </c>
      <c r="B503" s="5" t="s">
        <v>17</v>
      </c>
      <c r="C503" s="5" t="s">
        <v>18</v>
      </c>
      <c r="D503" s="5" t="s">
        <v>39</v>
      </c>
      <c r="E503" s="5">
        <v>9</v>
      </c>
      <c r="F503" s="5">
        <v>1804.91</v>
      </c>
      <c r="G503" s="5">
        <v>2043.57</v>
      </c>
    </row>
    <row r="504" spans="1:7" ht="15" customHeight="1" x14ac:dyDescent="0.3">
      <c r="A504" s="5" t="s">
        <v>259</v>
      </c>
      <c r="B504" s="5" t="s">
        <v>17</v>
      </c>
      <c r="C504" s="5" t="s">
        <v>68</v>
      </c>
      <c r="D504" s="5" t="s">
        <v>97</v>
      </c>
      <c r="E504" s="5">
        <v>8</v>
      </c>
      <c r="F504" s="5">
        <v>6786.75</v>
      </c>
      <c r="G504" s="5">
        <v>7490.53</v>
      </c>
    </row>
    <row r="505" spans="1:7" ht="15" customHeight="1" x14ac:dyDescent="0.3">
      <c r="A505" s="5" t="s">
        <v>260</v>
      </c>
      <c r="B505" s="5" t="s">
        <v>8</v>
      </c>
      <c r="C505" s="5" t="s">
        <v>9</v>
      </c>
      <c r="D505" s="5" t="s">
        <v>33</v>
      </c>
      <c r="E505" s="5">
        <v>12</v>
      </c>
      <c r="F505" s="5">
        <v>20484.21</v>
      </c>
      <c r="G505" s="5">
        <v>21312.11</v>
      </c>
    </row>
    <row r="506" spans="1:7" ht="15" customHeight="1" x14ac:dyDescent="0.3">
      <c r="A506" s="5" t="s">
        <v>260</v>
      </c>
      <c r="B506" s="5" t="s">
        <v>17</v>
      </c>
      <c r="C506" s="5" t="s">
        <v>18</v>
      </c>
      <c r="D506" s="5" t="s">
        <v>30</v>
      </c>
      <c r="E506" s="5">
        <v>3</v>
      </c>
      <c r="F506" s="5">
        <v>1379.53</v>
      </c>
      <c r="G506" s="5">
        <v>1278.5</v>
      </c>
    </row>
    <row r="507" spans="1:7" ht="15" customHeight="1" x14ac:dyDescent="0.3">
      <c r="A507" s="5" t="s">
        <v>261</v>
      </c>
      <c r="B507" s="5" t="s">
        <v>34</v>
      </c>
      <c r="C507" s="5" t="s">
        <v>79</v>
      </c>
      <c r="D507" s="5" t="s">
        <v>48</v>
      </c>
      <c r="E507" s="5">
        <v>2</v>
      </c>
      <c r="F507" s="5">
        <v>463.28</v>
      </c>
      <c r="G507" s="5">
        <v>468.22</v>
      </c>
    </row>
    <row r="508" spans="1:7" ht="15" customHeight="1" x14ac:dyDescent="0.3">
      <c r="A508" s="5" t="s">
        <v>261</v>
      </c>
      <c r="B508" s="5" t="s">
        <v>42</v>
      </c>
      <c r="C508" s="5" t="s">
        <v>85</v>
      </c>
      <c r="D508" s="5" t="s">
        <v>33</v>
      </c>
      <c r="E508" s="5">
        <v>2</v>
      </c>
      <c r="F508" s="5">
        <v>3664.36</v>
      </c>
      <c r="G508" s="5">
        <v>3606.66</v>
      </c>
    </row>
    <row r="509" spans="1:7" ht="15" customHeight="1" x14ac:dyDescent="0.3">
      <c r="A509" s="5" t="s">
        <v>261</v>
      </c>
      <c r="B509" s="5" t="s">
        <v>34</v>
      </c>
      <c r="C509" s="5" t="s">
        <v>79</v>
      </c>
      <c r="D509" s="5" t="s">
        <v>80</v>
      </c>
      <c r="E509" s="5">
        <v>6</v>
      </c>
      <c r="F509" s="5">
        <v>3942.6</v>
      </c>
      <c r="G509" s="5">
        <v>4042.48</v>
      </c>
    </row>
    <row r="510" spans="1:7" ht="15" customHeight="1" x14ac:dyDescent="0.3">
      <c r="A510" s="5" t="s">
        <v>262</v>
      </c>
      <c r="B510" s="5" t="s">
        <v>8</v>
      </c>
      <c r="C510" s="5" t="s">
        <v>102</v>
      </c>
      <c r="D510" s="5" t="s">
        <v>72</v>
      </c>
      <c r="E510" s="5">
        <v>1</v>
      </c>
      <c r="F510" s="5">
        <v>383.71</v>
      </c>
      <c r="G510" s="5">
        <v>395.73</v>
      </c>
    </row>
    <row r="511" spans="1:7" ht="15" customHeight="1" x14ac:dyDescent="0.3">
      <c r="A511" s="5" t="s">
        <v>262</v>
      </c>
      <c r="B511" s="5" t="s">
        <v>28</v>
      </c>
      <c r="C511" s="5" t="s">
        <v>29</v>
      </c>
      <c r="D511" s="5" t="s">
        <v>99</v>
      </c>
      <c r="E511" s="5">
        <v>12</v>
      </c>
      <c r="F511" s="5">
        <v>979.57</v>
      </c>
      <c r="G511" s="5">
        <v>952.88</v>
      </c>
    </row>
    <row r="512" spans="1:7" ht="15" customHeight="1" x14ac:dyDescent="0.3">
      <c r="A512" s="5" t="s">
        <v>262</v>
      </c>
      <c r="B512" s="5" t="s">
        <v>8</v>
      </c>
      <c r="C512" s="5" t="s">
        <v>32</v>
      </c>
      <c r="D512" s="5" t="s">
        <v>61</v>
      </c>
      <c r="E512" s="5">
        <v>7</v>
      </c>
      <c r="F512" s="5">
        <v>5600.99</v>
      </c>
      <c r="G512" s="5">
        <v>5847.98</v>
      </c>
    </row>
    <row r="513" spans="1:7" ht="15" customHeight="1" x14ac:dyDescent="0.3">
      <c r="A513" s="5" t="s">
        <v>262</v>
      </c>
      <c r="B513" s="5" t="s">
        <v>34</v>
      </c>
      <c r="C513" s="5" t="s">
        <v>35</v>
      </c>
      <c r="D513" s="5" t="s">
        <v>26</v>
      </c>
      <c r="E513" s="5">
        <v>10</v>
      </c>
      <c r="F513" s="5">
        <v>2139.41</v>
      </c>
      <c r="G513" s="5">
        <v>2114.16</v>
      </c>
    </row>
    <row r="514" spans="1:7" ht="15" customHeight="1" x14ac:dyDescent="0.3">
      <c r="A514" s="5" t="s">
        <v>263</v>
      </c>
      <c r="B514" s="5" t="s">
        <v>34</v>
      </c>
      <c r="C514" s="5" t="s">
        <v>75</v>
      </c>
      <c r="D514" s="5" t="s">
        <v>24</v>
      </c>
      <c r="E514" s="5">
        <v>8</v>
      </c>
      <c r="F514" s="5">
        <v>4057.48</v>
      </c>
      <c r="G514" s="5">
        <v>3632.51</v>
      </c>
    </row>
    <row r="515" spans="1:7" ht="15" customHeight="1" x14ac:dyDescent="0.3">
      <c r="A515" s="5" t="s">
        <v>263</v>
      </c>
      <c r="B515" s="5" t="s">
        <v>28</v>
      </c>
      <c r="C515" s="5" t="s">
        <v>66</v>
      </c>
      <c r="D515" s="5" t="s">
        <v>55</v>
      </c>
      <c r="E515" s="5">
        <v>7</v>
      </c>
      <c r="F515" s="5">
        <v>2702.77</v>
      </c>
      <c r="G515" s="5">
        <v>2397.44</v>
      </c>
    </row>
    <row r="516" spans="1:7" ht="15" customHeight="1" x14ac:dyDescent="0.3">
      <c r="A516" s="5" t="s">
        <v>263</v>
      </c>
      <c r="B516" s="5" t="s">
        <v>28</v>
      </c>
      <c r="C516" s="5" t="s">
        <v>66</v>
      </c>
      <c r="D516" s="5" t="s">
        <v>99</v>
      </c>
      <c r="E516" s="5">
        <v>6</v>
      </c>
      <c r="F516" s="5">
        <v>453.43</v>
      </c>
      <c r="G516" s="5">
        <v>469.92</v>
      </c>
    </row>
    <row r="517" spans="1:7" ht="15" customHeight="1" x14ac:dyDescent="0.3">
      <c r="A517" s="5" t="s">
        <v>263</v>
      </c>
      <c r="B517" s="5" t="s">
        <v>22</v>
      </c>
      <c r="C517" s="5" t="s">
        <v>38</v>
      </c>
      <c r="D517" s="5" t="s">
        <v>86</v>
      </c>
      <c r="E517" s="5">
        <v>2</v>
      </c>
      <c r="F517" s="5">
        <v>642.75</v>
      </c>
      <c r="G517" s="5">
        <v>719.56</v>
      </c>
    </row>
    <row r="518" spans="1:7" ht="15" customHeight="1" x14ac:dyDescent="0.3">
      <c r="A518" s="5" t="s">
        <v>263</v>
      </c>
      <c r="B518" s="5" t="s">
        <v>17</v>
      </c>
      <c r="C518" s="5" t="s">
        <v>18</v>
      </c>
      <c r="D518" s="5" t="s">
        <v>10</v>
      </c>
      <c r="E518" s="5">
        <v>11</v>
      </c>
      <c r="F518" s="5">
        <v>11553.49</v>
      </c>
      <c r="G518" s="5">
        <v>11012.99</v>
      </c>
    </row>
    <row r="519" spans="1:7" ht="15" customHeight="1" x14ac:dyDescent="0.3">
      <c r="A519" s="5" t="s">
        <v>264</v>
      </c>
      <c r="B519" s="5" t="s">
        <v>8</v>
      </c>
      <c r="C519" s="5" t="s">
        <v>126</v>
      </c>
      <c r="D519" s="5" t="s">
        <v>61</v>
      </c>
      <c r="E519" s="5">
        <v>3</v>
      </c>
      <c r="F519" s="5">
        <v>2247.54</v>
      </c>
      <c r="G519" s="5">
        <v>2248.04</v>
      </c>
    </row>
    <row r="520" spans="1:7" ht="15" customHeight="1" x14ac:dyDescent="0.3">
      <c r="A520" s="5" t="s">
        <v>264</v>
      </c>
      <c r="B520" s="5" t="s">
        <v>22</v>
      </c>
      <c r="C520" s="5" t="s">
        <v>123</v>
      </c>
      <c r="D520" s="5" t="s">
        <v>26</v>
      </c>
      <c r="E520" s="5">
        <v>7</v>
      </c>
      <c r="F520" s="5">
        <v>1426.63</v>
      </c>
      <c r="G520" s="5">
        <v>1703.54</v>
      </c>
    </row>
    <row r="521" spans="1:7" ht="15" customHeight="1" x14ac:dyDescent="0.3">
      <c r="A521" s="5" t="s">
        <v>265</v>
      </c>
      <c r="B521" s="5" t="s">
        <v>17</v>
      </c>
      <c r="C521" s="5" t="s">
        <v>68</v>
      </c>
      <c r="D521" s="5" t="s">
        <v>51</v>
      </c>
      <c r="E521" s="5">
        <v>1</v>
      </c>
      <c r="F521" s="5">
        <v>800.85</v>
      </c>
      <c r="G521" s="5">
        <v>899.29</v>
      </c>
    </row>
    <row r="522" spans="1:7" ht="15" customHeight="1" x14ac:dyDescent="0.3">
      <c r="A522" s="5" t="s">
        <v>265</v>
      </c>
      <c r="B522" s="5" t="s">
        <v>11</v>
      </c>
      <c r="C522" s="5" t="s">
        <v>60</v>
      </c>
      <c r="D522" s="5" t="s">
        <v>39</v>
      </c>
      <c r="E522" s="5">
        <v>3</v>
      </c>
      <c r="F522" s="5">
        <v>593.48</v>
      </c>
      <c r="G522" s="5">
        <v>671.24</v>
      </c>
    </row>
    <row r="523" spans="1:7" ht="15" customHeight="1" x14ac:dyDescent="0.3">
      <c r="A523" s="5" t="s">
        <v>266</v>
      </c>
      <c r="B523" s="5" t="s">
        <v>11</v>
      </c>
      <c r="C523" s="5" t="s">
        <v>12</v>
      </c>
      <c r="D523" s="5" t="s">
        <v>96</v>
      </c>
      <c r="E523" s="5">
        <v>4</v>
      </c>
      <c r="F523" s="5">
        <v>5591.71</v>
      </c>
      <c r="G523" s="5">
        <v>6220.97</v>
      </c>
    </row>
    <row r="524" spans="1:7" ht="15" customHeight="1" x14ac:dyDescent="0.3">
      <c r="A524" s="5" t="s">
        <v>266</v>
      </c>
      <c r="B524" s="5" t="s">
        <v>28</v>
      </c>
      <c r="C524" s="5" t="s">
        <v>29</v>
      </c>
      <c r="D524" s="5" t="s">
        <v>44</v>
      </c>
      <c r="E524" s="5">
        <v>11</v>
      </c>
      <c r="F524" s="5">
        <v>3195.84</v>
      </c>
      <c r="G524" s="5">
        <v>2564</v>
      </c>
    </row>
    <row r="525" spans="1:7" ht="15" customHeight="1" x14ac:dyDescent="0.3">
      <c r="A525" s="5" t="s">
        <v>266</v>
      </c>
      <c r="B525" s="5" t="s">
        <v>8</v>
      </c>
      <c r="C525" s="5" t="s">
        <v>32</v>
      </c>
      <c r="D525" s="5" t="s">
        <v>80</v>
      </c>
      <c r="E525" s="5">
        <v>5</v>
      </c>
      <c r="F525" s="5">
        <v>3159.84</v>
      </c>
      <c r="G525" s="5">
        <v>3150.3</v>
      </c>
    </row>
    <row r="526" spans="1:7" ht="15" customHeight="1" x14ac:dyDescent="0.3">
      <c r="A526" s="5" t="s">
        <v>267</v>
      </c>
      <c r="B526" s="5" t="s">
        <v>34</v>
      </c>
      <c r="C526" s="5" t="s">
        <v>35</v>
      </c>
      <c r="D526" s="5" t="s">
        <v>91</v>
      </c>
      <c r="E526" s="5">
        <v>1</v>
      </c>
      <c r="F526" s="5">
        <v>275.31</v>
      </c>
      <c r="G526" s="5">
        <v>329.06</v>
      </c>
    </row>
    <row r="527" spans="1:7" ht="15" customHeight="1" x14ac:dyDescent="0.3">
      <c r="A527" s="5" t="s">
        <v>267</v>
      </c>
      <c r="B527" s="5" t="s">
        <v>34</v>
      </c>
      <c r="C527" s="5" t="s">
        <v>35</v>
      </c>
      <c r="D527" s="5" t="s">
        <v>33</v>
      </c>
      <c r="E527" s="5">
        <v>8</v>
      </c>
      <c r="F527" s="5">
        <v>12897.43</v>
      </c>
      <c r="G527" s="5">
        <v>15376.51</v>
      </c>
    </row>
    <row r="528" spans="1:7" ht="15" customHeight="1" x14ac:dyDescent="0.3">
      <c r="A528" s="5" t="s">
        <v>267</v>
      </c>
      <c r="B528" s="5" t="s">
        <v>22</v>
      </c>
      <c r="C528" s="5" t="s">
        <v>78</v>
      </c>
      <c r="D528" s="5" t="s">
        <v>48</v>
      </c>
      <c r="E528" s="5">
        <v>10</v>
      </c>
      <c r="F528" s="5">
        <v>2156.36</v>
      </c>
      <c r="G528" s="5">
        <v>2527.6799999999998</v>
      </c>
    </row>
    <row r="529" spans="1:7" ht="15" customHeight="1" x14ac:dyDescent="0.3">
      <c r="A529" s="5" t="s">
        <v>267</v>
      </c>
      <c r="B529" s="5" t="s">
        <v>34</v>
      </c>
      <c r="C529" s="5" t="s">
        <v>35</v>
      </c>
      <c r="D529" s="5" t="s">
        <v>65</v>
      </c>
      <c r="E529" s="5">
        <v>11</v>
      </c>
      <c r="F529" s="5">
        <v>14767.41</v>
      </c>
      <c r="G529" s="5">
        <v>15644.54</v>
      </c>
    </row>
    <row r="530" spans="1:7" ht="15" customHeight="1" x14ac:dyDescent="0.3">
      <c r="A530" s="5" t="s">
        <v>267</v>
      </c>
      <c r="B530" s="5" t="s">
        <v>42</v>
      </c>
      <c r="C530" s="5" t="s">
        <v>47</v>
      </c>
      <c r="D530" s="5" t="s">
        <v>26</v>
      </c>
      <c r="E530" s="5">
        <v>3</v>
      </c>
      <c r="F530" s="5">
        <v>705.22</v>
      </c>
      <c r="G530" s="5">
        <v>692.78</v>
      </c>
    </row>
    <row r="531" spans="1:7" ht="15" customHeight="1" x14ac:dyDescent="0.3">
      <c r="A531" s="5" t="s">
        <v>267</v>
      </c>
      <c r="B531" s="5" t="s">
        <v>8</v>
      </c>
      <c r="C531" s="5" t="s">
        <v>126</v>
      </c>
      <c r="D531" s="5" t="s">
        <v>49</v>
      </c>
      <c r="E531" s="5">
        <v>9</v>
      </c>
      <c r="F531" s="5">
        <v>3932.97</v>
      </c>
      <c r="G531" s="5">
        <v>3677.88</v>
      </c>
    </row>
    <row r="532" spans="1:7" ht="15" customHeight="1" x14ac:dyDescent="0.3">
      <c r="A532" s="5" t="s">
        <v>267</v>
      </c>
      <c r="B532" s="5" t="s">
        <v>17</v>
      </c>
      <c r="C532" s="5" t="s">
        <v>68</v>
      </c>
      <c r="D532" s="5" t="s">
        <v>16</v>
      </c>
      <c r="E532" s="5">
        <v>8</v>
      </c>
      <c r="F532" s="5">
        <v>3271.86</v>
      </c>
      <c r="G532" s="5">
        <v>3464.57</v>
      </c>
    </row>
    <row r="533" spans="1:7" ht="15" customHeight="1" x14ac:dyDescent="0.3">
      <c r="A533" s="5" t="s">
        <v>267</v>
      </c>
      <c r="B533" s="5" t="s">
        <v>8</v>
      </c>
      <c r="C533" s="5" t="s">
        <v>83</v>
      </c>
      <c r="D533" s="5" t="s">
        <v>36</v>
      </c>
      <c r="E533" s="5">
        <v>6</v>
      </c>
      <c r="F533" s="5">
        <v>4157.07</v>
      </c>
      <c r="G533" s="5">
        <v>4764.3900000000003</v>
      </c>
    </row>
    <row r="534" spans="1:7" ht="15" customHeight="1" x14ac:dyDescent="0.3">
      <c r="A534" s="5" t="s">
        <v>267</v>
      </c>
      <c r="B534" s="5" t="s">
        <v>42</v>
      </c>
      <c r="C534" s="5" t="s">
        <v>111</v>
      </c>
      <c r="D534" s="5" t="s">
        <v>51</v>
      </c>
      <c r="E534" s="5">
        <v>8</v>
      </c>
      <c r="F534" s="5">
        <v>6543.24</v>
      </c>
      <c r="G534" s="5">
        <v>6924.19</v>
      </c>
    </row>
    <row r="535" spans="1:7" ht="15" customHeight="1" x14ac:dyDescent="0.3">
      <c r="A535" s="5" t="s">
        <v>268</v>
      </c>
      <c r="B535" s="5" t="s">
        <v>28</v>
      </c>
      <c r="C535" s="5" t="s">
        <v>29</v>
      </c>
      <c r="D535" s="5" t="s">
        <v>30</v>
      </c>
      <c r="E535" s="5">
        <v>1</v>
      </c>
      <c r="F535" s="5">
        <v>475.53</v>
      </c>
      <c r="G535" s="5">
        <v>454.21</v>
      </c>
    </row>
    <row r="536" spans="1:7" ht="15" customHeight="1" x14ac:dyDescent="0.3">
      <c r="A536" s="5" t="s">
        <v>268</v>
      </c>
      <c r="B536" s="5" t="s">
        <v>11</v>
      </c>
      <c r="C536" s="5" t="s">
        <v>12</v>
      </c>
      <c r="D536" s="5" t="s">
        <v>80</v>
      </c>
      <c r="E536" s="5">
        <v>1</v>
      </c>
      <c r="F536" s="5">
        <v>709.72</v>
      </c>
      <c r="G536" s="5">
        <v>670.84</v>
      </c>
    </row>
    <row r="537" spans="1:7" ht="15" customHeight="1" x14ac:dyDescent="0.3">
      <c r="A537" s="5" t="s">
        <v>268</v>
      </c>
      <c r="B537" s="5" t="s">
        <v>22</v>
      </c>
      <c r="C537" s="5" t="s">
        <v>23</v>
      </c>
      <c r="D537" s="5" t="s">
        <v>44</v>
      </c>
      <c r="E537" s="5">
        <v>11</v>
      </c>
      <c r="F537" s="5">
        <v>2677.03</v>
      </c>
      <c r="G537" s="5">
        <v>2912.64</v>
      </c>
    </row>
    <row r="538" spans="1:7" ht="15" customHeight="1" x14ac:dyDescent="0.3">
      <c r="A538" s="5" t="s">
        <v>269</v>
      </c>
      <c r="B538" s="5" t="s">
        <v>34</v>
      </c>
      <c r="C538" s="5" t="s">
        <v>75</v>
      </c>
      <c r="D538" s="5" t="s">
        <v>24</v>
      </c>
      <c r="E538" s="5">
        <v>10</v>
      </c>
      <c r="F538" s="5">
        <v>4501.59</v>
      </c>
      <c r="G538" s="5">
        <v>5160.16</v>
      </c>
    </row>
    <row r="539" spans="1:7" ht="15" customHeight="1" x14ac:dyDescent="0.3">
      <c r="A539" s="5" t="s">
        <v>270</v>
      </c>
      <c r="B539" s="5" t="s">
        <v>22</v>
      </c>
      <c r="C539" s="5" t="s">
        <v>123</v>
      </c>
      <c r="D539" s="5" t="s">
        <v>86</v>
      </c>
      <c r="E539" s="5">
        <v>7</v>
      </c>
      <c r="F539" s="5">
        <v>2122.87</v>
      </c>
      <c r="G539" s="5">
        <v>2378.4</v>
      </c>
    </row>
    <row r="540" spans="1:7" ht="15" customHeight="1" x14ac:dyDescent="0.3">
      <c r="A540" s="5" t="s">
        <v>270</v>
      </c>
      <c r="B540" s="5" t="s">
        <v>28</v>
      </c>
      <c r="C540" s="5" t="s">
        <v>29</v>
      </c>
      <c r="D540" s="5" t="s">
        <v>49</v>
      </c>
      <c r="E540" s="5">
        <v>8</v>
      </c>
      <c r="F540" s="5">
        <v>3152.29</v>
      </c>
      <c r="G540" s="5">
        <v>2810.38</v>
      </c>
    </row>
    <row r="541" spans="1:7" ht="15" customHeight="1" x14ac:dyDescent="0.3">
      <c r="A541" s="5" t="s">
        <v>270</v>
      </c>
      <c r="B541" s="5" t="s">
        <v>28</v>
      </c>
      <c r="C541" s="5" t="s">
        <v>29</v>
      </c>
      <c r="D541" s="5" t="s">
        <v>33</v>
      </c>
      <c r="E541" s="5">
        <v>10</v>
      </c>
      <c r="F541" s="5">
        <v>17462.740000000002</v>
      </c>
      <c r="G541" s="5">
        <v>15341.78</v>
      </c>
    </row>
    <row r="542" spans="1:7" ht="15" customHeight="1" x14ac:dyDescent="0.3">
      <c r="A542" s="5" t="s">
        <v>271</v>
      </c>
      <c r="B542" s="5" t="s">
        <v>34</v>
      </c>
      <c r="C542" s="5" t="s">
        <v>79</v>
      </c>
      <c r="D542" s="5" t="s">
        <v>103</v>
      </c>
      <c r="E542" s="5">
        <v>3</v>
      </c>
      <c r="F542" s="5">
        <v>2317.13</v>
      </c>
      <c r="G542" s="5">
        <v>2130.7399999999998</v>
      </c>
    </row>
    <row r="543" spans="1:7" ht="15" customHeight="1" x14ac:dyDescent="0.3">
      <c r="A543" s="5" t="s">
        <v>271</v>
      </c>
      <c r="B543" s="5" t="s">
        <v>17</v>
      </c>
      <c r="C543" s="5" t="s">
        <v>19</v>
      </c>
      <c r="D543" s="5" t="s">
        <v>49</v>
      </c>
      <c r="E543" s="5">
        <v>9</v>
      </c>
      <c r="F543" s="5">
        <v>3850.14</v>
      </c>
      <c r="G543" s="5">
        <v>4041.72</v>
      </c>
    </row>
    <row r="544" spans="1:7" ht="15" customHeight="1" x14ac:dyDescent="0.3">
      <c r="A544" s="5" t="s">
        <v>271</v>
      </c>
      <c r="B544" s="5" t="s">
        <v>53</v>
      </c>
      <c r="C544" s="5" t="s">
        <v>93</v>
      </c>
      <c r="D544" s="5" t="s">
        <v>16</v>
      </c>
      <c r="E544" s="5">
        <v>12</v>
      </c>
      <c r="F544" s="5">
        <v>5197.76</v>
      </c>
      <c r="G544" s="5">
        <v>5253.43</v>
      </c>
    </row>
    <row r="545" spans="1:7" ht="15" customHeight="1" x14ac:dyDescent="0.3">
      <c r="A545" s="5" t="s">
        <v>272</v>
      </c>
      <c r="B545" s="5" t="s">
        <v>22</v>
      </c>
      <c r="C545" s="5" t="s">
        <v>114</v>
      </c>
      <c r="D545" s="5" t="s">
        <v>51</v>
      </c>
      <c r="E545" s="5">
        <v>6</v>
      </c>
      <c r="F545" s="5">
        <v>4579.3999999999996</v>
      </c>
      <c r="G545" s="5">
        <v>4751.47</v>
      </c>
    </row>
    <row r="546" spans="1:7" ht="15" customHeight="1" x14ac:dyDescent="0.3">
      <c r="A546" s="5" t="s">
        <v>272</v>
      </c>
      <c r="B546" s="5" t="s">
        <v>28</v>
      </c>
      <c r="C546" s="5" t="s">
        <v>29</v>
      </c>
      <c r="D546" s="5" t="s">
        <v>97</v>
      </c>
      <c r="E546" s="5">
        <v>6</v>
      </c>
      <c r="F546" s="5">
        <v>5215.26</v>
      </c>
      <c r="G546" s="5">
        <v>5595.75</v>
      </c>
    </row>
    <row r="547" spans="1:7" ht="15" customHeight="1" x14ac:dyDescent="0.3">
      <c r="A547" s="5" t="s">
        <v>272</v>
      </c>
      <c r="B547" s="5" t="s">
        <v>22</v>
      </c>
      <c r="C547" s="5" t="s">
        <v>123</v>
      </c>
      <c r="D547" s="5" t="s">
        <v>65</v>
      </c>
      <c r="E547" s="5">
        <v>12</v>
      </c>
      <c r="F547" s="5">
        <v>19067.37</v>
      </c>
      <c r="G547" s="5">
        <v>19261.46</v>
      </c>
    </row>
    <row r="548" spans="1:7" ht="15" customHeight="1" x14ac:dyDescent="0.3">
      <c r="A548" s="5" t="s">
        <v>272</v>
      </c>
      <c r="B548" s="5" t="s">
        <v>53</v>
      </c>
      <c r="C548" s="5" t="s">
        <v>54</v>
      </c>
      <c r="D548" s="5" t="s">
        <v>39</v>
      </c>
      <c r="E548" s="5">
        <v>4</v>
      </c>
      <c r="F548" s="5">
        <v>810.12</v>
      </c>
      <c r="G548" s="5">
        <v>887.48</v>
      </c>
    </row>
    <row r="549" spans="1:7" ht="15" customHeight="1" x14ac:dyDescent="0.3">
      <c r="A549" s="5" t="s">
        <v>273</v>
      </c>
      <c r="B549" s="5" t="s">
        <v>53</v>
      </c>
      <c r="C549" s="5" t="s">
        <v>58</v>
      </c>
      <c r="D549" s="5" t="s">
        <v>39</v>
      </c>
      <c r="E549" s="5">
        <v>9</v>
      </c>
      <c r="F549" s="5">
        <v>1919.43</v>
      </c>
      <c r="G549" s="5">
        <v>1957.54</v>
      </c>
    </row>
    <row r="550" spans="1:7" ht="15" customHeight="1" x14ac:dyDescent="0.3">
      <c r="A550" s="5" t="s">
        <v>273</v>
      </c>
      <c r="B550" s="5" t="s">
        <v>17</v>
      </c>
      <c r="C550" s="5" t="s">
        <v>18</v>
      </c>
      <c r="D550" s="5" t="s">
        <v>16</v>
      </c>
      <c r="E550" s="5">
        <v>10</v>
      </c>
      <c r="F550" s="5">
        <v>4092.65</v>
      </c>
      <c r="G550" s="5">
        <v>4244.6499999999996</v>
      </c>
    </row>
    <row r="551" spans="1:7" ht="15" customHeight="1" x14ac:dyDescent="0.3">
      <c r="A551" s="5" t="s">
        <v>273</v>
      </c>
      <c r="B551" s="5" t="s">
        <v>53</v>
      </c>
      <c r="C551" s="5" t="s">
        <v>94</v>
      </c>
      <c r="D551" s="5" t="s">
        <v>86</v>
      </c>
      <c r="E551" s="5">
        <v>3</v>
      </c>
      <c r="F551" s="5">
        <v>963.38</v>
      </c>
      <c r="G551" s="5">
        <v>955.13</v>
      </c>
    </row>
    <row r="552" spans="1:7" ht="15" customHeight="1" x14ac:dyDescent="0.3">
      <c r="A552" s="5" t="s">
        <v>274</v>
      </c>
      <c r="B552" s="5" t="s">
        <v>34</v>
      </c>
      <c r="C552" s="5" t="s">
        <v>79</v>
      </c>
      <c r="D552" s="5" t="s">
        <v>51</v>
      </c>
      <c r="E552" s="5">
        <v>12</v>
      </c>
      <c r="F552" s="5">
        <v>10341.77</v>
      </c>
      <c r="G552" s="5">
        <v>10554.56</v>
      </c>
    </row>
    <row r="553" spans="1:7" ht="15" customHeight="1" x14ac:dyDescent="0.3">
      <c r="A553" s="5" t="s">
        <v>274</v>
      </c>
      <c r="B553" s="5" t="s">
        <v>17</v>
      </c>
      <c r="C553" s="5" t="s">
        <v>19</v>
      </c>
      <c r="D553" s="5" t="s">
        <v>48</v>
      </c>
      <c r="E553" s="5">
        <v>11</v>
      </c>
      <c r="F553" s="5">
        <v>2381.64</v>
      </c>
      <c r="G553" s="5">
        <v>2480.9</v>
      </c>
    </row>
    <row r="554" spans="1:7" ht="15" customHeight="1" x14ac:dyDescent="0.3">
      <c r="A554" s="5" t="s">
        <v>275</v>
      </c>
      <c r="B554" s="5" t="s">
        <v>17</v>
      </c>
      <c r="C554" s="5" t="s">
        <v>18</v>
      </c>
      <c r="D554" s="5" t="s">
        <v>36</v>
      </c>
      <c r="E554" s="5">
        <v>2</v>
      </c>
      <c r="F554" s="5">
        <v>1597.39</v>
      </c>
      <c r="G554" s="5">
        <v>1538.46</v>
      </c>
    </row>
    <row r="555" spans="1:7" ht="15" customHeight="1" x14ac:dyDescent="0.3">
      <c r="A555" s="5" t="s">
        <v>276</v>
      </c>
      <c r="B555" s="5" t="s">
        <v>42</v>
      </c>
      <c r="C555" s="5" t="s">
        <v>43</v>
      </c>
      <c r="D555" s="5" t="s">
        <v>69</v>
      </c>
      <c r="E555" s="5">
        <v>6</v>
      </c>
      <c r="F555" s="5">
        <v>2000.13</v>
      </c>
      <c r="G555" s="5">
        <v>2050.4</v>
      </c>
    </row>
    <row r="556" spans="1:7" ht="15" customHeight="1" x14ac:dyDescent="0.3">
      <c r="A556" s="5" t="s">
        <v>277</v>
      </c>
      <c r="B556" s="5" t="s">
        <v>42</v>
      </c>
      <c r="C556" s="5" t="s">
        <v>62</v>
      </c>
      <c r="D556" s="5" t="s">
        <v>44</v>
      </c>
      <c r="E556" s="5">
        <v>1</v>
      </c>
      <c r="F556" s="5">
        <v>255.29</v>
      </c>
      <c r="G556" s="5">
        <v>290.36</v>
      </c>
    </row>
    <row r="557" spans="1:7" ht="15" customHeight="1" x14ac:dyDescent="0.3">
      <c r="A557" s="5" t="s">
        <v>278</v>
      </c>
      <c r="B557" s="5" t="s">
        <v>34</v>
      </c>
      <c r="C557" s="5" t="s">
        <v>79</v>
      </c>
      <c r="D557" s="5" t="s">
        <v>86</v>
      </c>
      <c r="E557" s="5">
        <v>7</v>
      </c>
      <c r="F557" s="5">
        <v>2011.14</v>
      </c>
      <c r="G557" s="5">
        <v>2031.8</v>
      </c>
    </row>
    <row r="558" spans="1:7" ht="15" customHeight="1" x14ac:dyDescent="0.3">
      <c r="A558" s="5" t="s">
        <v>278</v>
      </c>
      <c r="B558" s="5" t="s">
        <v>17</v>
      </c>
      <c r="C558" s="5" t="s">
        <v>18</v>
      </c>
      <c r="D558" s="5" t="s">
        <v>13</v>
      </c>
      <c r="E558" s="5">
        <v>2</v>
      </c>
      <c r="F558" s="5">
        <v>1224.58</v>
      </c>
      <c r="G558" s="5">
        <v>1179.5</v>
      </c>
    </row>
    <row r="559" spans="1:7" ht="15" customHeight="1" x14ac:dyDescent="0.3">
      <c r="A559" s="5" t="s">
        <v>278</v>
      </c>
      <c r="B559" s="5" t="s">
        <v>11</v>
      </c>
      <c r="C559" s="5" t="s">
        <v>12</v>
      </c>
      <c r="D559" s="5" t="s">
        <v>65</v>
      </c>
      <c r="E559" s="5">
        <v>8</v>
      </c>
      <c r="F559" s="5">
        <v>11853.99</v>
      </c>
      <c r="G559" s="5">
        <v>12943.35</v>
      </c>
    </row>
    <row r="560" spans="1:7" ht="15" customHeight="1" x14ac:dyDescent="0.3">
      <c r="A560" s="5" t="s">
        <v>279</v>
      </c>
      <c r="B560" s="5" t="s">
        <v>28</v>
      </c>
      <c r="C560" s="5" t="s">
        <v>66</v>
      </c>
      <c r="D560" s="5" t="s">
        <v>72</v>
      </c>
      <c r="E560" s="5">
        <v>10</v>
      </c>
      <c r="F560" s="5">
        <v>3991.22</v>
      </c>
      <c r="G560" s="5">
        <v>3682.69</v>
      </c>
    </row>
    <row r="561" spans="1:7" ht="15" customHeight="1" x14ac:dyDescent="0.3">
      <c r="A561" s="5" t="s">
        <v>279</v>
      </c>
      <c r="B561" s="5" t="s">
        <v>28</v>
      </c>
      <c r="C561" s="5" t="s">
        <v>66</v>
      </c>
      <c r="D561" s="5" t="s">
        <v>16</v>
      </c>
      <c r="E561" s="5">
        <v>6</v>
      </c>
      <c r="F561" s="5">
        <v>2211.9299999999998</v>
      </c>
      <c r="G561" s="5">
        <v>2491.2199999999998</v>
      </c>
    </row>
    <row r="562" spans="1:7" ht="15" customHeight="1" x14ac:dyDescent="0.3">
      <c r="A562" s="5" t="s">
        <v>279</v>
      </c>
      <c r="B562" s="5" t="s">
        <v>8</v>
      </c>
      <c r="C562" s="5" t="s">
        <v>107</v>
      </c>
      <c r="D562" s="5" t="s">
        <v>97</v>
      </c>
      <c r="E562" s="5">
        <v>8</v>
      </c>
      <c r="F562" s="5">
        <v>6097.42</v>
      </c>
      <c r="G562" s="5">
        <v>7516.63</v>
      </c>
    </row>
    <row r="563" spans="1:7" ht="15" customHeight="1" x14ac:dyDescent="0.3">
      <c r="A563" s="5" t="s">
        <v>279</v>
      </c>
      <c r="B563" s="5" t="s">
        <v>53</v>
      </c>
      <c r="C563" s="5" t="s">
        <v>93</v>
      </c>
      <c r="D563" s="5" t="s">
        <v>69</v>
      </c>
      <c r="E563" s="5">
        <v>10</v>
      </c>
      <c r="F563" s="5">
        <v>3421.4</v>
      </c>
      <c r="G563" s="5">
        <v>3198.95</v>
      </c>
    </row>
    <row r="564" spans="1:7" ht="15" customHeight="1" x14ac:dyDescent="0.3">
      <c r="A564" s="5" t="s">
        <v>280</v>
      </c>
      <c r="B564" s="5" t="s">
        <v>53</v>
      </c>
      <c r="C564" s="5" t="s">
        <v>94</v>
      </c>
      <c r="D564" s="5" t="s">
        <v>69</v>
      </c>
      <c r="E564" s="5">
        <v>11</v>
      </c>
      <c r="F564" s="5">
        <v>3750.39</v>
      </c>
      <c r="G564" s="5">
        <v>4095.66</v>
      </c>
    </row>
    <row r="565" spans="1:7" ht="15" customHeight="1" x14ac:dyDescent="0.3">
      <c r="A565" s="5" t="s">
        <v>280</v>
      </c>
      <c r="B565" s="5" t="s">
        <v>22</v>
      </c>
      <c r="C565" s="5" t="s">
        <v>25</v>
      </c>
      <c r="D565" s="5" t="s">
        <v>99</v>
      </c>
      <c r="E565" s="5">
        <v>8</v>
      </c>
      <c r="F565" s="5">
        <v>596.26</v>
      </c>
      <c r="G565" s="5">
        <v>688.5</v>
      </c>
    </row>
    <row r="566" spans="1:7" ht="15" customHeight="1" x14ac:dyDescent="0.3">
      <c r="A566" s="5" t="s">
        <v>281</v>
      </c>
      <c r="B566" s="5" t="s">
        <v>17</v>
      </c>
      <c r="C566" s="5" t="s">
        <v>68</v>
      </c>
      <c r="D566" s="5" t="s">
        <v>103</v>
      </c>
      <c r="E566" s="5">
        <v>8</v>
      </c>
      <c r="F566" s="5">
        <v>6831.32</v>
      </c>
      <c r="G566" s="5">
        <v>6004.93</v>
      </c>
    </row>
    <row r="567" spans="1:7" ht="15" customHeight="1" x14ac:dyDescent="0.3">
      <c r="A567" s="5" t="s">
        <v>281</v>
      </c>
      <c r="B567" s="5" t="s">
        <v>17</v>
      </c>
      <c r="C567" s="5" t="s">
        <v>68</v>
      </c>
      <c r="D567" s="5" t="s">
        <v>10</v>
      </c>
      <c r="E567" s="5">
        <v>7</v>
      </c>
      <c r="F567" s="5">
        <v>7877.91</v>
      </c>
      <c r="G567" s="5">
        <v>7994.11</v>
      </c>
    </row>
    <row r="568" spans="1:7" ht="15" customHeight="1" x14ac:dyDescent="0.3">
      <c r="A568" s="5" t="s">
        <v>281</v>
      </c>
      <c r="B568" s="5" t="s">
        <v>53</v>
      </c>
      <c r="C568" s="5" t="s">
        <v>58</v>
      </c>
      <c r="D568" s="5" t="s">
        <v>20</v>
      </c>
      <c r="E568" s="5">
        <v>9</v>
      </c>
      <c r="F568" s="5">
        <v>4067.53</v>
      </c>
      <c r="G568" s="5">
        <v>4228.91</v>
      </c>
    </row>
    <row r="569" spans="1:7" ht="15" customHeight="1" x14ac:dyDescent="0.3">
      <c r="A569" s="5" t="s">
        <v>282</v>
      </c>
      <c r="B569" s="5" t="s">
        <v>8</v>
      </c>
      <c r="C569" s="5" t="s">
        <v>102</v>
      </c>
      <c r="D569" s="5" t="s">
        <v>61</v>
      </c>
      <c r="E569" s="5">
        <v>2</v>
      </c>
      <c r="F569" s="5">
        <v>1658.53</v>
      </c>
      <c r="G569" s="5">
        <v>1367.66</v>
      </c>
    </row>
    <row r="570" spans="1:7" ht="15" customHeight="1" x14ac:dyDescent="0.3">
      <c r="A570" s="5" t="s">
        <v>282</v>
      </c>
      <c r="B570" s="5" t="s">
        <v>34</v>
      </c>
      <c r="C570" s="5" t="s">
        <v>35</v>
      </c>
      <c r="D570" s="5" t="s">
        <v>97</v>
      </c>
      <c r="E570" s="5">
        <v>7</v>
      </c>
      <c r="F570" s="5">
        <v>6250.59</v>
      </c>
      <c r="G570" s="5">
        <v>5135.3</v>
      </c>
    </row>
    <row r="571" spans="1:7" ht="15" customHeight="1" x14ac:dyDescent="0.3">
      <c r="A571" s="5" t="s">
        <v>283</v>
      </c>
      <c r="B571" s="5" t="s">
        <v>22</v>
      </c>
      <c r="C571" s="5" t="s">
        <v>123</v>
      </c>
      <c r="D571" s="5" t="s">
        <v>36</v>
      </c>
      <c r="E571" s="5">
        <v>6</v>
      </c>
      <c r="F571" s="5">
        <v>4647.9799999999996</v>
      </c>
      <c r="G571" s="5">
        <v>4242.3900000000003</v>
      </c>
    </row>
    <row r="572" spans="1:7" ht="15" customHeight="1" x14ac:dyDescent="0.3">
      <c r="A572" s="5" t="s">
        <v>283</v>
      </c>
      <c r="B572" s="5" t="s">
        <v>11</v>
      </c>
      <c r="C572" s="5" t="s">
        <v>12</v>
      </c>
      <c r="D572" s="5" t="s">
        <v>20</v>
      </c>
      <c r="E572" s="5">
        <v>6</v>
      </c>
      <c r="F572" s="5">
        <v>2739.65</v>
      </c>
      <c r="G572" s="5">
        <v>2257.77</v>
      </c>
    </row>
    <row r="573" spans="1:7" ht="15" customHeight="1" x14ac:dyDescent="0.3">
      <c r="A573" s="5" t="s">
        <v>283</v>
      </c>
      <c r="B573" s="5" t="s">
        <v>11</v>
      </c>
      <c r="C573" s="5" t="s">
        <v>12</v>
      </c>
      <c r="D573" s="5" t="s">
        <v>30</v>
      </c>
      <c r="E573" s="5">
        <v>2</v>
      </c>
      <c r="F573" s="5">
        <v>1042.46</v>
      </c>
      <c r="G573" s="5">
        <v>971.81</v>
      </c>
    </row>
    <row r="574" spans="1:7" ht="15" customHeight="1" x14ac:dyDescent="0.3">
      <c r="A574" s="5" t="s">
        <v>284</v>
      </c>
      <c r="B574" s="5" t="s">
        <v>22</v>
      </c>
      <c r="C574" s="5" t="s">
        <v>23</v>
      </c>
      <c r="D574" s="5" t="s">
        <v>97</v>
      </c>
      <c r="E574" s="5">
        <v>9</v>
      </c>
      <c r="F574" s="5">
        <v>7206.01</v>
      </c>
      <c r="G574" s="5">
        <v>6737.68</v>
      </c>
    </row>
    <row r="575" spans="1:7" ht="15" customHeight="1" x14ac:dyDescent="0.3">
      <c r="A575" s="5" t="s">
        <v>285</v>
      </c>
      <c r="B575" s="5" t="s">
        <v>17</v>
      </c>
      <c r="C575" s="5" t="s">
        <v>19</v>
      </c>
      <c r="D575" s="5" t="s">
        <v>48</v>
      </c>
      <c r="E575" s="5">
        <v>7</v>
      </c>
      <c r="F575" s="5">
        <v>1775.06</v>
      </c>
      <c r="G575" s="5">
        <v>1654.86</v>
      </c>
    </row>
    <row r="576" spans="1:7" ht="15" customHeight="1" x14ac:dyDescent="0.3">
      <c r="A576" s="5" t="s">
        <v>285</v>
      </c>
      <c r="B576" s="5" t="s">
        <v>11</v>
      </c>
      <c r="C576" s="5" t="s">
        <v>76</v>
      </c>
      <c r="D576" s="5" t="s">
        <v>72</v>
      </c>
      <c r="E576" s="5">
        <v>6</v>
      </c>
      <c r="F576" s="5">
        <v>2483.4699999999998</v>
      </c>
      <c r="G576" s="5">
        <v>2624.67</v>
      </c>
    </row>
    <row r="577" spans="1:7" ht="15" customHeight="1" x14ac:dyDescent="0.3">
      <c r="A577" s="5" t="s">
        <v>285</v>
      </c>
      <c r="B577" s="5" t="s">
        <v>53</v>
      </c>
      <c r="C577" s="5" t="s">
        <v>71</v>
      </c>
      <c r="D577" s="5" t="s">
        <v>72</v>
      </c>
      <c r="E577" s="5">
        <v>10</v>
      </c>
      <c r="F577" s="5">
        <v>3810.85</v>
      </c>
      <c r="G577" s="5">
        <v>4023.47</v>
      </c>
    </row>
    <row r="578" spans="1:7" ht="15" customHeight="1" x14ac:dyDescent="0.3">
      <c r="A578" s="5" t="s">
        <v>285</v>
      </c>
      <c r="B578" s="5" t="s">
        <v>22</v>
      </c>
      <c r="C578" s="5" t="s">
        <v>78</v>
      </c>
      <c r="D578" s="5" t="s">
        <v>80</v>
      </c>
      <c r="E578" s="5">
        <v>9</v>
      </c>
      <c r="F578" s="5">
        <v>5728.67</v>
      </c>
      <c r="G578" s="5">
        <v>6772.27</v>
      </c>
    </row>
    <row r="579" spans="1:7" ht="15" customHeight="1" x14ac:dyDescent="0.3">
      <c r="A579" s="5" t="s">
        <v>286</v>
      </c>
      <c r="B579" s="5" t="s">
        <v>53</v>
      </c>
      <c r="C579" s="5" t="s">
        <v>93</v>
      </c>
      <c r="D579" s="5" t="s">
        <v>72</v>
      </c>
      <c r="E579" s="5">
        <v>12</v>
      </c>
      <c r="F579" s="5">
        <v>4864.71</v>
      </c>
      <c r="G579" s="5">
        <v>5092.03</v>
      </c>
    </row>
    <row r="580" spans="1:7" ht="15" customHeight="1" x14ac:dyDescent="0.3">
      <c r="A580" s="5" t="s">
        <v>287</v>
      </c>
      <c r="B580" s="5" t="s">
        <v>8</v>
      </c>
      <c r="C580" s="5" t="s">
        <v>102</v>
      </c>
      <c r="D580" s="5" t="s">
        <v>30</v>
      </c>
      <c r="E580" s="5">
        <v>1</v>
      </c>
      <c r="F580" s="5">
        <v>494.2</v>
      </c>
      <c r="G580" s="5">
        <v>465.13</v>
      </c>
    </row>
    <row r="581" spans="1:7" ht="15" customHeight="1" x14ac:dyDescent="0.3">
      <c r="A581" s="5" t="s">
        <v>287</v>
      </c>
      <c r="B581" s="5" t="s">
        <v>42</v>
      </c>
      <c r="C581" s="5" t="s">
        <v>111</v>
      </c>
      <c r="D581" s="5" t="s">
        <v>55</v>
      </c>
      <c r="E581" s="5">
        <v>7</v>
      </c>
      <c r="F581" s="5">
        <v>2665.22</v>
      </c>
      <c r="G581" s="5">
        <v>2787.85</v>
      </c>
    </row>
    <row r="582" spans="1:7" ht="15" customHeight="1" x14ac:dyDescent="0.3">
      <c r="A582" s="5" t="s">
        <v>288</v>
      </c>
      <c r="B582" s="5" t="s">
        <v>11</v>
      </c>
      <c r="C582" s="5" t="s">
        <v>12</v>
      </c>
      <c r="D582" s="5" t="s">
        <v>48</v>
      </c>
      <c r="E582" s="5">
        <v>12</v>
      </c>
      <c r="F582" s="5">
        <v>2541.56</v>
      </c>
      <c r="G582" s="5">
        <v>2785.88</v>
      </c>
    </row>
    <row r="583" spans="1:7" ht="15" customHeight="1" x14ac:dyDescent="0.3">
      <c r="A583" s="5" t="s">
        <v>289</v>
      </c>
      <c r="B583" s="5" t="s">
        <v>53</v>
      </c>
      <c r="C583" s="5" t="s">
        <v>58</v>
      </c>
      <c r="D583" s="5" t="s">
        <v>51</v>
      </c>
      <c r="E583" s="5">
        <v>8</v>
      </c>
      <c r="F583" s="5">
        <v>6440.45</v>
      </c>
      <c r="G583" s="5">
        <v>5901.8</v>
      </c>
    </row>
    <row r="584" spans="1:7" ht="15" customHeight="1" x14ac:dyDescent="0.3">
      <c r="A584" s="5" t="s">
        <v>289</v>
      </c>
      <c r="B584" s="5" t="s">
        <v>22</v>
      </c>
      <c r="C584" s="5" t="s">
        <v>23</v>
      </c>
      <c r="D584" s="5" t="s">
        <v>10</v>
      </c>
      <c r="E584" s="5">
        <v>8</v>
      </c>
      <c r="F584" s="5">
        <v>8257.83</v>
      </c>
      <c r="G584" s="5">
        <v>8154.03</v>
      </c>
    </row>
    <row r="585" spans="1:7" ht="15" customHeight="1" x14ac:dyDescent="0.3">
      <c r="A585" s="5" t="s">
        <v>289</v>
      </c>
      <c r="B585" s="5" t="s">
        <v>34</v>
      </c>
      <c r="C585" s="5" t="s">
        <v>79</v>
      </c>
      <c r="D585" s="5" t="s">
        <v>82</v>
      </c>
      <c r="E585" s="5">
        <v>8</v>
      </c>
      <c r="F585" s="5">
        <v>6918.92</v>
      </c>
      <c r="G585" s="5">
        <v>7233.13</v>
      </c>
    </row>
    <row r="586" spans="1:7" ht="15" customHeight="1" x14ac:dyDescent="0.3">
      <c r="A586" s="5" t="s">
        <v>289</v>
      </c>
      <c r="B586" s="5" t="s">
        <v>42</v>
      </c>
      <c r="C586" s="5" t="s">
        <v>85</v>
      </c>
      <c r="D586" s="5" t="s">
        <v>91</v>
      </c>
      <c r="E586" s="5">
        <v>10</v>
      </c>
      <c r="F586" s="5">
        <v>3105.71</v>
      </c>
      <c r="G586" s="5">
        <v>2961.56</v>
      </c>
    </row>
    <row r="587" spans="1:7" ht="15" customHeight="1" x14ac:dyDescent="0.3">
      <c r="A587" s="5" t="s">
        <v>289</v>
      </c>
      <c r="B587" s="5" t="s">
        <v>53</v>
      </c>
      <c r="C587" s="5" t="s">
        <v>71</v>
      </c>
      <c r="D587" s="5" t="s">
        <v>103</v>
      </c>
      <c r="E587" s="5">
        <v>11</v>
      </c>
      <c r="F587" s="5">
        <v>9109.2099999999991</v>
      </c>
      <c r="G587" s="5">
        <v>7513.05</v>
      </c>
    </row>
    <row r="588" spans="1:7" ht="15" customHeight="1" x14ac:dyDescent="0.3">
      <c r="A588" s="5" t="s">
        <v>290</v>
      </c>
      <c r="B588" s="5" t="s">
        <v>22</v>
      </c>
      <c r="C588" s="5" t="s">
        <v>25</v>
      </c>
      <c r="D588" s="5" t="s">
        <v>49</v>
      </c>
      <c r="E588" s="5">
        <v>1</v>
      </c>
      <c r="F588" s="5">
        <v>381.08</v>
      </c>
      <c r="G588" s="5">
        <v>421.64</v>
      </c>
    </row>
    <row r="589" spans="1:7" ht="15" customHeight="1" x14ac:dyDescent="0.3">
      <c r="A589" s="5" t="s">
        <v>291</v>
      </c>
      <c r="B589" s="5" t="s">
        <v>8</v>
      </c>
      <c r="C589" s="5" t="s">
        <v>90</v>
      </c>
      <c r="D589" s="5" t="s">
        <v>49</v>
      </c>
      <c r="E589" s="5">
        <v>2</v>
      </c>
      <c r="F589" s="5">
        <v>761.9</v>
      </c>
      <c r="G589" s="5">
        <v>753.01</v>
      </c>
    </row>
    <row r="590" spans="1:7" ht="15" customHeight="1" x14ac:dyDescent="0.3">
      <c r="A590" s="5" t="s">
        <v>291</v>
      </c>
      <c r="B590" s="5" t="s">
        <v>34</v>
      </c>
      <c r="C590" s="5" t="s">
        <v>75</v>
      </c>
      <c r="D590" s="5" t="s">
        <v>99</v>
      </c>
      <c r="E590" s="5">
        <v>2</v>
      </c>
      <c r="F590" s="5">
        <v>157.19999999999999</v>
      </c>
      <c r="G590" s="5">
        <v>170.75</v>
      </c>
    </row>
    <row r="591" spans="1:7" ht="15" customHeight="1" x14ac:dyDescent="0.3">
      <c r="A591" s="5" t="s">
        <v>291</v>
      </c>
      <c r="B591" s="5" t="s">
        <v>28</v>
      </c>
      <c r="C591" s="5" t="s">
        <v>29</v>
      </c>
      <c r="D591" s="5" t="s">
        <v>55</v>
      </c>
      <c r="E591" s="5">
        <v>5</v>
      </c>
      <c r="F591" s="5">
        <v>1780.4</v>
      </c>
      <c r="G591" s="5">
        <v>1543</v>
      </c>
    </row>
    <row r="592" spans="1:7" ht="15" customHeight="1" x14ac:dyDescent="0.3">
      <c r="A592" s="5" t="s">
        <v>291</v>
      </c>
      <c r="B592" s="5" t="s">
        <v>17</v>
      </c>
      <c r="C592" s="5" t="s">
        <v>19</v>
      </c>
      <c r="D592" s="5" t="s">
        <v>99</v>
      </c>
      <c r="E592" s="5">
        <v>9</v>
      </c>
      <c r="F592" s="5">
        <v>758.96</v>
      </c>
      <c r="G592" s="5">
        <v>642.6</v>
      </c>
    </row>
    <row r="593" spans="1:7" ht="15" customHeight="1" x14ac:dyDescent="0.3">
      <c r="A593" s="5" t="s">
        <v>292</v>
      </c>
      <c r="B593" s="5" t="s">
        <v>28</v>
      </c>
      <c r="C593" s="5" t="s">
        <v>66</v>
      </c>
      <c r="D593" s="5" t="s">
        <v>48</v>
      </c>
      <c r="E593" s="5">
        <v>2</v>
      </c>
      <c r="F593" s="5">
        <v>498.95</v>
      </c>
      <c r="G593" s="5">
        <v>464.65</v>
      </c>
    </row>
    <row r="594" spans="1:7" ht="15" customHeight="1" x14ac:dyDescent="0.3">
      <c r="A594" s="5" t="s">
        <v>292</v>
      </c>
      <c r="B594" s="5" t="s">
        <v>28</v>
      </c>
      <c r="C594" s="5" t="s">
        <v>66</v>
      </c>
      <c r="D594" s="5" t="s">
        <v>20</v>
      </c>
      <c r="E594" s="5">
        <v>12</v>
      </c>
      <c r="F594" s="5">
        <v>5659.99</v>
      </c>
      <c r="G594" s="5">
        <v>4833.45</v>
      </c>
    </row>
    <row r="595" spans="1:7" ht="15" customHeight="1" x14ac:dyDescent="0.3">
      <c r="A595" s="5" t="s">
        <v>292</v>
      </c>
      <c r="B595" s="5" t="s">
        <v>42</v>
      </c>
      <c r="C595" s="5" t="s">
        <v>43</v>
      </c>
      <c r="D595" s="5" t="s">
        <v>80</v>
      </c>
      <c r="E595" s="5">
        <v>11</v>
      </c>
      <c r="F595" s="5">
        <v>6897.55</v>
      </c>
      <c r="G595" s="5">
        <v>6420.65</v>
      </c>
    </row>
    <row r="596" spans="1:7" ht="15" customHeight="1" x14ac:dyDescent="0.3">
      <c r="A596" s="5" t="s">
        <v>293</v>
      </c>
      <c r="B596" s="5" t="s">
        <v>8</v>
      </c>
      <c r="C596" s="5" t="s">
        <v>9</v>
      </c>
      <c r="D596" s="5" t="s">
        <v>13</v>
      </c>
      <c r="E596" s="5">
        <v>12</v>
      </c>
      <c r="F596" s="5">
        <v>7194.81</v>
      </c>
      <c r="G596" s="5">
        <v>7800.22</v>
      </c>
    </row>
    <row r="597" spans="1:7" ht="15" customHeight="1" x14ac:dyDescent="0.3">
      <c r="A597" s="5" t="s">
        <v>293</v>
      </c>
      <c r="B597" s="5" t="s">
        <v>42</v>
      </c>
      <c r="C597" s="5" t="s">
        <v>63</v>
      </c>
      <c r="D597" s="5" t="s">
        <v>61</v>
      </c>
      <c r="E597" s="5">
        <v>2</v>
      </c>
      <c r="F597" s="5">
        <v>1641.67</v>
      </c>
      <c r="G597" s="5">
        <v>1339.91</v>
      </c>
    </row>
    <row r="598" spans="1:7" ht="15" customHeight="1" x14ac:dyDescent="0.3">
      <c r="A598" s="5" t="s">
        <v>293</v>
      </c>
      <c r="B598" s="5" t="s">
        <v>42</v>
      </c>
      <c r="C598" s="5" t="s">
        <v>111</v>
      </c>
      <c r="D598" s="5" t="s">
        <v>36</v>
      </c>
      <c r="E598" s="5">
        <v>2</v>
      </c>
      <c r="F598" s="5">
        <v>1499.72</v>
      </c>
      <c r="G598" s="5">
        <v>1320.32</v>
      </c>
    </row>
    <row r="599" spans="1:7" ht="15" customHeight="1" x14ac:dyDescent="0.3">
      <c r="A599" s="5" t="s">
        <v>293</v>
      </c>
      <c r="B599" s="5" t="s">
        <v>42</v>
      </c>
      <c r="C599" s="5" t="s">
        <v>47</v>
      </c>
      <c r="D599" s="5" t="s">
        <v>69</v>
      </c>
      <c r="E599" s="5">
        <v>1</v>
      </c>
      <c r="F599" s="5">
        <v>362.65</v>
      </c>
      <c r="G599" s="5">
        <v>304.52999999999997</v>
      </c>
    </row>
    <row r="600" spans="1:7" ht="15" customHeight="1" x14ac:dyDescent="0.3">
      <c r="A600" s="5" t="s">
        <v>294</v>
      </c>
      <c r="B600" s="5" t="s">
        <v>22</v>
      </c>
      <c r="C600" s="5" t="s">
        <v>38</v>
      </c>
      <c r="D600" s="5" t="s">
        <v>61</v>
      </c>
      <c r="E600" s="5">
        <v>1</v>
      </c>
      <c r="F600" s="5">
        <v>764.71</v>
      </c>
      <c r="G600" s="5">
        <v>742.78</v>
      </c>
    </row>
    <row r="601" spans="1:7" ht="15" customHeight="1" x14ac:dyDescent="0.3">
      <c r="A601" s="5" t="s">
        <v>294</v>
      </c>
      <c r="B601" s="5" t="s">
        <v>22</v>
      </c>
      <c r="C601" s="5" t="s">
        <v>100</v>
      </c>
      <c r="D601" s="5" t="s">
        <v>20</v>
      </c>
      <c r="E601" s="5">
        <v>12</v>
      </c>
      <c r="F601" s="5">
        <v>5271.31</v>
      </c>
      <c r="G601" s="5">
        <v>4994.6099999999997</v>
      </c>
    </row>
    <row r="602" spans="1:7" ht="15" customHeight="1" x14ac:dyDescent="0.3">
      <c r="A602" s="5" t="s">
        <v>295</v>
      </c>
      <c r="B602" s="5" t="s">
        <v>42</v>
      </c>
      <c r="C602" s="5" t="s">
        <v>85</v>
      </c>
      <c r="D602" s="5" t="s">
        <v>96</v>
      </c>
      <c r="E602" s="5">
        <v>4</v>
      </c>
      <c r="F602" s="5">
        <v>5353.99</v>
      </c>
      <c r="G602" s="5">
        <v>6682.4</v>
      </c>
    </row>
    <row r="603" spans="1:7" ht="15" customHeight="1" x14ac:dyDescent="0.3">
      <c r="A603" s="5" t="s">
        <v>295</v>
      </c>
      <c r="B603" s="5" t="s">
        <v>53</v>
      </c>
      <c r="C603" s="5" t="s">
        <v>94</v>
      </c>
      <c r="D603" s="5" t="s">
        <v>48</v>
      </c>
      <c r="E603" s="5">
        <v>1</v>
      </c>
      <c r="F603" s="5">
        <v>253.88</v>
      </c>
      <c r="G603" s="5">
        <v>262.27</v>
      </c>
    </row>
    <row r="604" spans="1:7" ht="15" customHeight="1" x14ac:dyDescent="0.3">
      <c r="A604" s="5" t="s">
        <v>295</v>
      </c>
      <c r="B604" s="5" t="s">
        <v>8</v>
      </c>
      <c r="C604" s="5" t="s">
        <v>102</v>
      </c>
      <c r="D604" s="5" t="s">
        <v>30</v>
      </c>
      <c r="E604" s="5">
        <v>1</v>
      </c>
      <c r="F604" s="5">
        <v>513.13</v>
      </c>
      <c r="G604" s="5">
        <v>530.94000000000005</v>
      </c>
    </row>
    <row r="605" spans="1:7" ht="15" customHeight="1" x14ac:dyDescent="0.3">
      <c r="A605" s="5" t="s">
        <v>295</v>
      </c>
      <c r="B605" s="5" t="s">
        <v>22</v>
      </c>
      <c r="C605" s="5" t="s">
        <v>25</v>
      </c>
      <c r="D605" s="5" t="s">
        <v>44</v>
      </c>
      <c r="E605" s="5">
        <v>2</v>
      </c>
      <c r="F605" s="5">
        <v>497.24</v>
      </c>
      <c r="G605" s="5">
        <v>548.67999999999995</v>
      </c>
    </row>
    <row r="606" spans="1:7" ht="15" customHeight="1" x14ac:dyDescent="0.3">
      <c r="A606" s="5" t="s">
        <v>295</v>
      </c>
      <c r="B606" s="5" t="s">
        <v>17</v>
      </c>
      <c r="C606" s="5" t="s">
        <v>19</v>
      </c>
      <c r="D606" s="5" t="s">
        <v>26</v>
      </c>
      <c r="E606" s="5">
        <v>2</v>
      </c>
      <c r="F606" s="5">
        <v>493.98</v>
      </c>
      <c r="G606" s="5">
        <v>387.63</v>
      </c>
    </row>
    <row r="607" spans="1:7" ht="15" customHeight="1" x14ac:dyDescent="0.3">
      <c r="A607" s="5" t="s">
        <v>295</v>
      </c>
      <c r="B607" s="5" t="s">
        <v>28</v>
      </c>
      <c r="C607" s="5" t="s">
        <v>66</v>
      </c>
      <c r="D607" s="5" t="s">
        <v>91</v>
      </c>
      <c r="E607" s="5">
        <v>1</v>
      </c>
      <c r="F607" s="5">
        <v>299.95999999999998</v>
      </c>
      <c r="G607" s="5">
        <v>287.41000000000003</v>
      </c>
    </row>
    <row r="608" spans="1:7" ht="15" customHeight="1" x14ac:dyDescent="0.3">
      <c r="A608" s="5" t="s">
        <v>296</v>
      </c>
      <c r="B608" s="5" t="s">
        <v>8</v>
      </c>
      <c r="C608" s="5" t="s">
        <v>107</v>
      </c>
      <c r="D608" s="5" t="s">
        <v>10</v>
      </c>
      <c r="E608" s="5">
        <v>7</v>
      </c>
      <c r="F608" s="5">
        <v>7909.8</v>
      </c>
      <c r="G608" s="5">
        <v>7684.78</v>
      </c>
    </row>
    <row r="609" spans="1:7" ht="15" customHeight="1" x14ac:dyDescent="0.3">
      <c r="A609" s="5" t="s">
        <v>296</v>
      </c>
      <c r="B609" s="5" t="s">
        <v>22</v>
      </c>
      <c r="C609" s="5" t="s">
        <v>25</v>
      </c>
      <c r="D609" s="5" t="s">
        <v>97</v>
      </c>
      <c r="E609" s="5">
        <v>11</v>
      </c>
      <c r="F609" s="5">
        <v>9360.83</v>
      </c>
      <c r="G609" s="5">
        <v>8673.9</v>
      </c>
    </row>
    <row r="610" spans="1:7" ht="15" customHeight="1" x14ac:dyDescent="0.3">
      <c r="A610" s="5" t="s">
        <v>297</v>
      </c>
      <c r="B610" s="5" t="s">
        <v>53</v>
      </c>
      <c r="C610" s="5" t="s">
        <v>58</v>
      </c>
      <c r="D610" s="5" t="s">
        <v>80</v>
      </c>
      <c r="E610" s="5">
        <v>7</v>
      </c>
      <c r="F610" s="5">
        <v>4880.68</v>
      </c>
      <c r="G610" s="5">
        <v>5279.08</v>
      </c>
    </row>
    <row r="611" spans="1:7" ht="15" customHeight="1" x14ac:dyDescent="0.3">
      <c r="A611" s="5" t="s">
        <v>297</v>
      </c>
      <c r="B611" s="5" t="s">
        <v>17</v>
      </c>
      <c r="C611" s="5" t="s">
        <v>68</v>
      </c>
      <c r="D611" s="5" t="s">
        <v>103</v>
      </c>
      <c r="E611" s="5">
        <v>12</v>
      </c>
      <c r="F611" s="5">
        <v>9808.0499999999993</v>
      </c>
      <c r="G611" s="5">
        <v>10345.23</v>
      </c>
    </row>
    <row r="612" spans="1:7" ht="15" customHeight="1" x14ac:dyDescent="0.3">
      <c r="A612" s="5" t="s">
        <v>297</v>
      </c>
      <c r="B612" s="5" t="s">
        <v>11</v>
      </c>
      <c r="C612" s="5" t="s">
        <v>76</v>
      </c>
      <c r="D612" s="5" t="s">
        <v>36</v>
      </c>
      <c r="E612" s="5">
        <v>10</v>
      </c>
      <c r="F612" s="5">
        <v>6779.19</v>
      </c>
      <c r="G612" s="5">
        <v>8205.7999999999993</v>
      </c>
    </row>
    <row r="613" spans="1:7" ht="15" customHeight="1" x14ac:dyDescent="0.3">
      <c r="A613" s="5" t="s">
        <v>298</v>
      </c>
      <c r="B613" s="5" t="s">
        <v>8</v>
      </c>
      <c r="C613" s="5" t="s">
        <v>41</v>
      </c>
      <c r="D613" s="5" t="s">
        <v>69</v>
      </c>
      <c r="E613" s="5">
        <v>7</v>
      </c>
      <c r="F613" s="5">
        <v>2600.2800000000002</v>
      </c>
      <c r="G613" s="5">
        <v>2157.3000000000002</v>
      </c>
    </row>
    <row r="614" spans="1:7" ht="15" customHeight="1" x14ac:dyDescent="0.3">
      <c r="A614" s="5" t="s">
        <v>298</v>
      </c>
      <c r="B614" s="5" t="s">
        <v>22</v>
      </c>
      <c r="C614" s="5" t="s">
        <v>78</v>
      </c>
      <c r="D614" s="5" t="s">
        <v>55</v>
      </c>
      <c r="E614" s="5">
        <v>8</v>
      </c>
      <c r="F614" s="5">
        <v>3007.48</v>
      </c>
      <c r="G614" s="5">
        <v>3036.21</v>
      </c>
    </row>
    <row r="615" spans="1:7" ht="15" customHeight="1" x14ac:dyDescent="0.3">
      <c r="A615" s="5" t="s">
        <v>298</v>
      </c>
      <c r="B615" s="5" t="s">
        <v>28</v>
      </c>
      <c r="C615" s="5" t="s">
        <v>29</v>
      </c>
      <c r="D615" s="5" t="s">
        <v>61</v>
      </c>
      <c r="E615" s="5">
        <v>5</v>
      </c>
      <c r="F615" s="5">
        <v>3819.89</v>
      </c>
      <c r="G615" s="5">
        <v>3287.71</v>
      </c>
    </row>
    <row r="616" spans="1:7" ht="15" customHeight="1" x14ac:dyDescent="0.3">
      <c r="A616" s="5" t="s">
        <v>298</v>
      </c>
      <c r="B616" s="5" t="s">
        <v>42</v>
      </c>
      <c r="C616" s="5" t="s">
        <v>43</v>
      </c>
      <c r="D616" s="5" t="s">
        <v>39</v>
      </c>
      <c r="E616" s="5">
        <v>3</v>
      </c>
      <c r="F616" s="5">
        <v>535.16999999999996</v>
      </c>
      <c r="G616" s="5">
        <v>595.23</v>
      </c>
    </row>
    <row r="617" spans="1:7" ht="15" customHeight="1" x14ac:dyDescent="0.3">
      <c r="A617" s="5" t="s">
        <v>298</v>
      </c>
      <c r="B617" s="5" t="s">
        <v>22</v>
      </c>
      <c r="C617" s="5" t="s">
        <v>25</v>
      </c>
      <c r="D617" s="5" t="s">
        <v>51</v>
      </c>
      <c r="E617" s="5">
        <v>2</v>
      </c>
      <c r="F617" s="5">
        <v>1722.36</v>
      </c>
      <c r="G617" s="5">
        <v>1608.13</v>
      </c>
    </row>
    <row r="618" spans="1:7" ht="15" customHeight="1" x14ac:dyDescent="0.3">
      <c r="A618" s="5" t="s">
        <v>299</v>
      </c>
      <c r="B618" s="5" t="s">
        <v>34</v>
      </c>
      <c r="C618" s="5" t="s">
        <v>79</v>
      </c>
      <c r="D618" s="5" t="s">
        <v>72</v>
      </c>
      <c r="E618" s="5">
        <v>6</v>
      </c>
      <c r="F618" s="5">
        <v>2239.5</v>
      </c>
      <c r="G618" s="5">
        <v>2664.62</v>
      </c>
    </row>
    <row r="619" spans="1:7" ht="15" customHeight="1" x14ac:dyDescent="0.3">
      <c r="A619" s="5" t="s">
        <v>300</v>
      </c>
      <c r="B619" s="5" t="s">
        <v>17</v>
      </c>
      <c r="C619" s="5" t="s">
        <v>18</v>
      </c>
      <c r="D619" s="5" t="s">
        <v>69</v>
      </c>
      <c r="E619" s="5">
        <v>7</v>
      </c>
      <c r="F619" s="5">
        <v>2664.28</v>
      </c>
      <c r="G619" s="5">
        <v>2259.5700000000002</v>
      </c>
    </row>
    <row r="620" spans="1:7" ht="15" customHeight="1" x14ac:dyDescent="0.3">
      <c r="A620" s="5" t="s">
        <v>300</v>
      </c>
      <c r="B620" s="5" t="s">
        <v>53</v>
      </c>
      <c r="C620" s="5" t="s">
        <v>94</v>
      </c>
      <c r="D620" s="5" t="s">
        <v>36</v>
      </c>
      <c r="E620" s="5">
        <v>2</v>
      </c>
      <c r="F620" s="5">
        <v>1489.5</v>
      </c>
      <c r="G620" s="5">
        <v>1575.14</v>
      </c>
    </row>
    <row r="621" spans="1:7" ht="15" customHeight="1" x14ac:dyDescent="0.3">
      <c r="A621" s="5" t="s">
        <v>300</v>
      </c>
      <c r="B621" s="5" t="s">
        <v>11</v>
      </c>
      <c r="C621" s="5" t="s">
        <v>15</v>
      </c>
      <c r="D621" s="5" t="s">
        <v>86</v>
      </c>
      <c r="E621" s="5">
        <v>2</v>
      </c>
      <c r="F621" s="5">
        <v>605.9</v>
      </c>
      <c r="G621" s="5">
        <v>706.02</v>
      </c>
    </row>
    <row r="622" spans="1:7" ht="15" customHeight="1" x14ac:dyDescent="0.3">
      <c r="A622" s="5" t="s">
        <v>300</v>
      </c>
      <c r="B622" s="5" t="s">
        <v>11</v>
      </c>
      <c r="C622" s="5" t="s">
        <v>60</v>
      </c>
      <c r="D622" s="5" t="s">
        <v>103</v>
      </c>
      <c r="E622" s="5">
        <v>3</v>
      </c>
      <c r="F622" s="5">
        <v>2332.8000000000002</v>
      </c>
      <c r="G622" s="5">
        <v>2506.02</v>
      </c>
    </row>
    <row r="623" spans="1:7" ht="15" customHeight="1" x14ac:dyDescent="0.3">
      <c r="A623" s="5" t="s">
        <v>301</v>
      </c>
      <c r="B623" s="5" t="s">
        <v>34</v>
      </c>
      <c r="C623" s="5" t="s">
        <v>75</v>
      </c>
      <c r="D623" s="5" t="s">
        <v>99</v>
      </c>
      <c r="E623" s="5">
        <v>6</v>
      </c>
      <c r="F623" s="5">
        <v>466.73</v>
      </c>
      <c r="G623" s="5">
        <v>474.19</v>
      </c>
    </row>
    <row r="624" spans="1:7" ht="15" customHeight="1" x14ac:dyDescent="0.3">
      <c r="A624" s="5" t="s">
        <v>301</v>
      </c>
      <c r="B624" s="5" t="s">
        <v>42</v>
      </c>
      <c r="C624" s="5" t="s">
        <v>63</v>
      </c>
      <c r="D624" s="5" t="s">
        <v>49</v>
      </c>
      <c r="E624" s="5">
        <v>3</v>
      </c>
      <c r="F624" s="5">
        <v>1157.23</v>
      </c>
      <c r="G624" s="5">
        <v>1221.24</v>
      </c>
    </row>
    <row r="625" spans="1:7" ht="15" customHeight="1" x14ac:dyDescent="0.3">
      <c r="A625" s="5" t="s">
        <v>302</v>
      </c>
      <c r="B625" s="5" t="s">
        <v>34</v>
      </c>
      <c r="C625" s="5" t="s">
        <v>35</v>
      </c>
      <c r="D625" s="5" t="s">
        <v>30</v>
      </c>
      <c r="E625" s="5">
        <v>11</v>
      </c>
      <c r="F625" s="5">
        <v>5727.24</v>
      </c>
      <c r="G625" s="5">
        <v>4541.92</v>
      </c>
    </row>
    <row r="626" spans="1:7" ht="15" customHeight="1" x14ac:dyDescent="0.3">
      <c r="A626" s="5" t="s">
        <v>302</v>
      </c>
      <c r="B626" s="5" t="s">
        <v>11</v>
      </c>
      <c r="C626" s="5" t="s">
        <v>12</v>
      </c>
      <c r="D626" s="5" t="s">
        <v>39</v>
      </c>
      <c r="E626" s="5">
        <v>6</v>
      </c>
      <c r="F626" s="5">
        <v>1279.6099999999999</v>
      </c>
      <c r="G626" s="5">
        <v>1266.3900000000001</v>
      </c>
    </row>
    <row r="627" spans="1:7" ht="15" customHeight="1" x14ac:dyDescent="0.3">
      <c r="A627" s="5" t="s">
        <v>302</v>
      </c>
      <c r="B627" s="5" t="s">
        <v>34</v>
      </c>
      <c r="C627" s="5" t="s">
        <v>79</v>
      </c>
      <c r="D627" s="5" t="s">
        <v>56</v>
      </c>
      <c r="E627" s="5">
        <v>8</v>
      </c>
      <c r="F627" s="5">
        <v>4541.71</v>
      </c>
      <c r="G627" s="5">
        <v>4592.41</v>
      </c>
    </row>
    <row r="628" spans="1:7" ht="15" customHeight="1" x14ac:dyDescent="0.3">
      <c r="A628" s="5" t="s">
        <v>303</v>
      </c>
      <c r="B628" s="5" t="s">
        <v>11</v>
      </c>
      <c r="C628" s="5" t="s">
        <v>15</v>
      </c>
      <c r="D628" s="5" t="s">
        <v>103</v>
      </c>
      <c r="E628" s="5">
        <v>9</v>
      </c>
      <c r="F628" s="5">
        <v>7712.8</v>
      </c>
      <c r="G628" s="5">
        <v>6596.11</v>
      </c>
    </row>
    <row r="629" spans="1:7" ht="15" customHeight="1" x14ac:dyDescent="0.3">
      <c r="A629" s="5" t="s">
        <v>303</v>
      </c>
      <c r="B629" s="5" t="s">
        <v>22</v>
      </c>
      <c r="C629" s="5" t="s">
        <v>100</v>
      </c>
      <c r="D629" s="5" t="s">
        <v>86</v>
      </c>
      <c r="E629" s="5">
        <v>7</v>
      </c>
      <c r="F629" s="5">
        <v>2127.2600000000002</v>
      </c>
      <c r="G629" s="5">
        <v>2100.8000000000002</v>
      </c>
    </row>
    <row r="630" spans="1:7" ht="15" customHeight="1" x14ac:dyDescent="0.3">
      <c r="A630" s="5" t="s">
        <v>303</v>
      </c>
      <c r="B630" s="5" t="s">
        <v>17</v>
      </c>
      <c r="C630" s="5" t="s">
        <v>68</v>
      </c>
      <c r="D630" s="5" t="s">
        <v>86</v>
      </c>
      <c r="E630" s="5">
        <v>3</v>
      </c>
      <c r="F630" s="5">
        <v>943.34</v>
      </c>
      <c r="G630" s="5">
        <v>837.18</v>
      </c>
    </row>
    <row r="631" spans="1:7" ht="15" customHeight="1" x14ac:dyDescent="0.3">
      <c r="A631" s="5" t="s">
        <v>304</v>
      </c>
      <c r="B631" s="5" t="s">
        <v>22</v>
      </c>
      <c r="C631" s="5" t="s">
        <v>123</v>
      </c>
      <c r="D631" s="5" t="s">
        <v>16</v>
      </c>
      <c r="E631" s="5">
        <v>10</v>
      </c>
      <c r="F631" s="5">
        <v>4228.21</v>
      </c>
      <c r="G631" s="5">
        <v>4376.6899999999996</v>
      </c>
    </row>
    <row r="632" spans="1:7" ht="15" customHeight="1" x14ac:dyDescent="0.3">
      <c r="A632" s="5" t="s">
        <v>304</v>
      </c>
      <c r="B632" s="5" t="s">
        <v>22</v>
      </c>
      <c r="C632" s="5" t="s">
        <v>38</v>
      </c>
      <c r="D632" s="5" t="s">
        <v>86</v>
      </c>
      <c r="E632" s="5">
        <v>7</v>
      </c>
      <c r="F632" s="5">
        <v>2009.31</v>
      </c>
      <c r="G632" s="5">
        <v>2126.29</v>
      </c>
    </row>
    <row r="633" spans="1:7" ht="15" customHeight="1" x14ac:dyDescent="0.3">
      <c r="A633" s="5" t="s">
        <v>304</v>
      </c>
      <c r="B633" s="5" t="s">
        <v>53</v>
      </c>
      <c r="C633" s="5" t="s">
        <v>71</v>
      </c>
      <c r="D633" s="5" t="s">
        <v>20</v>
      </c>
      <c r="E633" s="5">
        <v>10</v>
      </c>
      <c r="F633" s="5">
        <v>4387.78</v>
      </c>
      <c r="G633" s="5">
        <v>4429.25</v>
      </c>
    </row>
    <row r="634" spans="1:7" ht="15" customHeight="1" x14ac:dyDescent="0.3">
      <c r="A634" s="5" t="s">
        <v>305</v>
      </c>
      <c r="B634" s="5" t="s">
        <v>8</v>
      </c>
      <c r="C634" s="5" t="s">
        <v>9</v>
      </c>
      <c r="D634" s="5" t="s">
        <v>36</v>
      </c>
      <c r="E634" s="5">
        <v>8</v>
      </c>
      <c r="F634" s="5">
        <v>5680.48</v>
      </c>
      <c r="G634" s="5">
        <v>5341.94</v>
      </c>
    </row>
    <row r="635" spans="1:7" ht="15" customHeight="1" x14ac:dyDescent="0.3">
      <c r="A635" s="5" t="s">
        <v>306</v>
      </c>
      <c r="B635" s="5" t="s">
        <v>8</v>
      </c>
      <c r="C635" s="5" t="s">
        <v>74</v>
      </c>
      <c r="D635" s="5" t="s">
        <v>13</v>
      </c>
      <c r="E635" s="5">
        <v>7</v>
      </c>
      <c r="F635" s="5">
        <v>4636.9399999999996</v>
      </c>
      <c r="G635" s="5">
        <v>3838.81</v>
      </c>
    </row>
    <row r="636" spans="1:7" ht="15" customHeight="1" x14ac:dyDescent="0.3">
      <c r="A636" s="5" t="s">
        <v>306</v>
      </c>
      <c r="B636" s="5" t="s">
        <v>28</v>
      </c>
      <c r="C636" s="5" t="s">
        <v>66</v>
      </c>
      <c r="D636" s="5" t="s">
        <v>24</v>
      </c>
      <c r="E636" s="5">
        <v>1</v>
      </c>
      <c r="F636" s="5">
        <v>492.43</v>
      </c>
      <c r="G636" s="5">
        <v>499.1</v>
      </c>
    </row>
    <row r="637" spans="1:7" ht="15" customHeight="1" x14ac:dyDescent="0.3">
      <c r="A637" s="5" t="s">
        <v>306</v>
      </c>
      <c r="B637" s="5" t="s">
        <v>17</v>
      </c>
      <c r="C637" s="5" t="s">
        <v>19</v>
      </c>
      <c r="D637" s="5" t="s">
        <v>30</v>
      </c>
      <c r="E637" s="5">
        <v>11</v>
      </c>
      <c r="F637" s="5">
        <v>5218.29</v>
      </c>
      <c r="G637" s="5">
        <v>5745.92</v>
      </c>
    </row>
    <row r="638" spans="1:7" ht="15" customHeight="1" x14ac:dyDescent="0.3">
      <c r="A638" s="5" t="s">
        <v>307</v>
      </c>
      <c r="B638" s="5" t="s">
        <v>11</v>
      </c>
      <c r="C638" s="5" t="s">
        <v>76</v>
      </c>
      <c r="D638" s="5" t="s">
        <v>80</v>
      </c>
      <c r="E638" s="5">
        <v>4</v>
      </c>
      <c r="F638" s="5">
        <v>2632.39</v>
      </c>
      <c r="G638" s="5">
        <v>2350.42</v>
      </c>
    </row>
    <row r="639" spans="1:7" ht="15" customHeight="1" x14ac:dyDescent="0.3">
      <c r="A639" s="5" t="s">
        <v>307</v>
      </c>
      <c r="B639" s="5" t="s">
        <v>22</v>
      </c>
      <c r="C639" s="5" t="s">
        <v>23</v>
      </c>
      <c r="D639" s="5" t="s">
        <v>49</v>
      </c>
      <c r="E639" s="5">
        <v>2</v>
      </c>
      <c r="F639" s="5">
        <v>817.92</v>
      </c>
      <c r="G639" s="5">
        <v>784.38</v>
      </c>
    </row>
    <row r="640" spans="1:7" ht="15" customHeight="1" x14ac:dyDescent="0.3">
      <c r="A640" s="5" t="s">
        <v>308</v>
      </c>
      <c r="B640" s="5" t="s">
        <v>11</v>
      </c>
      <c r="C640" s="5" t="s">
        <v>12</v>
      </c>
      <c r="D640" s="5" t="s">
        <v>65</v>
      </c>
      <c r="E640" s="5">
        <v>6</v>
      </c>
      <c r="F640" s="5">
        <v>9645.0499999999993</v>
      </c>
      <c r="G640" s="5">
        <v>7728.34</v>
      </c>
    </row>
    <row r="641" spans="1:7" ht="15" customHeight="1" x14ac:dyDescent="0.3">
      <c r="A641" s="5" t="s">
        <v>308</v>
      </c>
      <c r="B641" s="5" t="s">
        <v>34</v>
      </c>
      <c r="C641" s="5" t="s">
        <v>79</v>
      </c>
      <c r="D641" s="5" t="s">
        <v>61</v>
      </c>
      <c r="E641" s="5">
        <v>9</v>
      </c>
      <c r="F641" s="5">
        <v>6244.86</v>
      </c>
      <c r="G641" s="5">
        <v>7102.55</v>
      </c>
    </row>
    <row r="642" spans="1:7" ht="15" customHeight="1" x14ac:dyDescent="0.3">
      <c r="A642" s="5" t="s">
        <v>308</v>
      </c>
      <c r="B642" s="5" t="s">
        <v>8</v>
      </c>
      <c r="C642" s="5" t="s">
        <v>37</v>
      </c>
      <c r="D642" s="5" t="s">
        <v>44</v>
      </c>
      <c r="E642" s="5">
        <v>1</v>
      </c>
      <c r="F642" s="5">
        <v>274.75</v>
      </c>
      <c r="G642" s="5">
        <v>256.33</v>
      </c>
    </row>
    <row r="643" spans="1:7" ht="15" customHeight="1" x14ac:dyDescent="0.3">
      <c r="A643" s="5" t="s">
        <v>308</v>
      </c>
      <c r="B643" s="5" t="s">
        <v>42</v>
      </c>
      <c r="C643" s="5" t="s">
        <v>85</v>
      </c>
      <c r="D643" s="5" t="s">
        <v>39</v>
      </c>
      <c r="E643" s="5">
        <v>8</v>
      </c>
      <c r="F643" s="5">
        <v>1637.64</v>
      </c>
      <c r="G643" s="5">
        <v>1603.4</v>
      </c>
    </row>
    <row r="644" spans="1:7" ht="15" customHeight="1" x14ac:dyDescent="0.3">
      <c r="A644" s="5" t="s">
        <v>308</v>
      </c>
      <c r="B644" s="5" t="s">
        <v>11</v>
      </c>
      <c r="C644" s="5" t="s">
        <v>12</v>
      </c>
      <c r="D644" s="5" t="s">
        <v>20</v>
      </c>
      <c r="E644" s="5">
        <v>8</v>
      </c>
      <c r="F644" s="5">
        <v>3173.91</v>
      </c>
      <c r="G644" s="5">
        <v>3024.84</v>
      </c>
    </row>
    <row r="645" spans="1:7" ht="15" customHeight="1" x14ac:dyDescent="0.3">
      <c r="A645" s="5" t="s">
        <v>308</v>
      </c>
      <c r="B645" s="5" t="s">
        <v>34</v>
      </c>
      <c r="C645" s="5" t="s">
        <v>75</v>
      </c>
      <c r="D645" s="5" t="s">
        <v>44</v>
      </c>
      <c r="E645" s="5">
        <v>7</v>
      </c>
      <c r="F645" s="5">
        <v>1842.53</v>
      </c>
      <c r="G645" s="5">
        <v>1863.3</v>
      </c>
    </row>
    <row r="646" spans="1:7" ht="15" customHeight="1" x14ac:dyDescent="0.3">
      <c r="A646" s="5" t="s">
        <v>308</v>
      </c>
      <c r="B646" s="5" t="s">
        <v>8</v>
      </c>
      <c r="C646" s="5" t="s">
        <v>32</v>
      </c>
      <c r="D646" s="5" t="s">
        <v>44</v>
      </c>
      <c r="E646" s="5">
        <v>8</v>
      </c>
      <c r="F646" s="5">
        <v>2178.77</v>
      </c>
      <c r="G646" s="5">
        <v>1841.06</v>
      </c>
    </row>
    <row r="647" spans="1:7" ht="15" customHeight="1" x14ac:dyDescent="0.3">
      <c r="A647" s="5" t="s">
        <v>308</v>
      </c>
      <c r="B647" s="5" t="s">
        <v>34</v>
      </c>
      <c r="C647" s="5" t="s">
        <v>75</v>
      </c>
      <c r="D647" s="5" t="s">
        <v>69</v>
      </c>
      <c r="E647" s="5">
        <v>5</v>
      </c>
      <c r="F647" s="5">
        <v>1708.35</v>
      </c>
      <c r="G647" s="5">
        <v>2020.85</v>
      </c>
    </row>
    <row r="648" spans="1:7" ht="15" customHeight="1" x14ac:dyDescent="0.3">
      <c r="A648" s="5" t="s">
        <v>308</v>
      </c>
      <c r="B648" s="5" t="s">
        <v>22</v>
      </c>
      <c r="C648" s="5" t="s">
        <v>23</v>
      </c>
      <c r="D648" s="5" t="s">
        <v>33</v>
      </c>
      <c r="E648" s="5">
        <v>10</v>
      </c>
      <c r="F648" s="5">
        <v>17151.009999999998</v>
      </c>
      <c r="G648" s="5">
        <v>17464.11</v>
      </c>
    </row>
    <row r="649" spans="1:7" ht="15" customHeight="1" x14ac:dyDescent="0.3">
      <c r="A649" s="5" t="s">
        <v>309</v>
      </c>
      <c r="B649" s="5" t="s">
        <v>22</v>
      </c>
      <c r="C649" s="5" t="s">
        <v>100</v>
      </c>
      <c r="D649" s="5" t="s">
        <v>36</v>
      </c>
      <c r="E649" s="5">
        <v>5</v>
      </c>
      <c r="F649" s="5">
        <v>3516.21</v>
      </c>
      <c r="G649" s="5">
        <v>3537.01</v>
      </c>
    </row>
    <row r="650" spans="1:7" ht="15" customHeight="1" x14ac:dyDescent="0.3">
      <c r="A650" s="5" t="s">
        <v>310</v>
      </c>
      <c r="B650" s="5" t="s">
        <v>8</v>
      </c>
      <c r="C650" s="5" t="s">
        <v>9</v>
      </c>
      <c r="D650" s="5" t="s">
        <v>65</v>
      </c>
      <c r="E650" s="5">
        <v>10</v>
      </c>
      <c r="F650" s="5">
        <v>14594.64</v>
      </c>
      <c r="G650" s="5">
        <v>15941.75</v>
      </c>
    </row>
    <row r="651" spans="1:7" ht="15" customHeight="1" x14ac:dyDescent="0.3">
      <c r="A651" s="5" t="s">
        <v>311</v>
      </c>
      <c r="B651" s="5" t="s">
        <v>34</v>
      </c>
      <c r="C651" s="5" t="s">
        <v>75</v>
      </c>
      <c r="D651" s="5" t="s">
        <v>13</v>
      </c>
      <c r="E651" s="5">
        <v>12</v>
      </c>
      <c r="F651" s="5">
        <v>7354.07</v>
      </c>
      <c r="G651" s="5">
        <v>7567.95</v>
      </c>
    </row>
    <row r="652" spans="1:7" ht="15" customHeight="1" x14ac:dyDescent="0.3">
      <c r="A652" s="5" t="s">
        <v>311</v>
      </c>
      <c r="B652" s="5" t="s">
        <v>42</v>
      </c>
      <c r="C652" s="5" t="s">
        <v>85</v>
      </c>
      <c r="D652" s="5" t="s">
        <v>69</v>
      </c>
      <c r="E652" s="5">
        <v>5</v>
      </c>
      <c r="F652" s="5">
        <v>1873.82</v>
      </c>
      <c r="G652" s="5">
        <v>1793.52</v>
      </c>
    </row>
    <row r="653" spans="1:7" ht="15" customHeight="1" x14ac:dyDescent="0.3">
      <c r="A653" s="5" t="s">
        <v>311</v>
      </c>
      <c r="B653" s="5" t="s">
        <v>17</v>
      </c>
      <c r="C653" s="5" t="s">
        <v>68</v>
      </c>
      <c r="D653" s="5" t="s">
        <v>69</v>
      </c>
      <c r="E653" s="5">
        <v>1</v>
      </c>
      <c r="F653" s="5">
        <v>376.39</v>
      </c>
      <c r="G653" s="5">
        <v>388.63</v>
      </c>
    </row>
    <row r="654" spans="1:7" ht="15" customHeight="1" x14ac:dyDescent="0.3">
      <c r="A654" s="5" t="s">
        <v>312</v>
      </c>
      <c r="B654" s="5" t="s">
        <v>34</v>
      </c>
      <c r="C654" s="5" t="s">
        <v>75</v>
      </c>
      <c r="D654" s="5" t="s">
        <v>20</v>
      </c>
      <c r="E654" s="5">
        <v>6</v>
      </c>
      <c r="F654" s="5">
        <v>2866.08</v>
      </c>
      <c r="G654" s="5">
        <v>2925.32</v>
      </c>
    </row>
    <row r="655" spans="1:7" ht="15" customHeight="1" x14ac:dyDescent="0.3">
      <c r="A655" s="5" t="s">
        <v>312</v>
      </c>
      <c r="B655" s="5" t="s">
        <v>8</v>
      </c>
      <c r="C655" s="5" t="s">
        <v>102</v>
      </c>
      <c r="D655" s="5" t="s">
        <v>61</v>
      </c>
      <c r="E655" s="5">
        <v>10</v>
      </c>
      <c r="F655" s="5">
        <v>7506.64</v>
      </c>
      <c r="G655" s="5">
        <v>6629.38</v>
      </c>
    </row>
    <row r="656" spans="1:7" ht="15" customHeight="1" x14ac:dyDescent="0.3">
      <c r="A656" s="5" t="s">
        <v>312</v>
      </c>
      <c r="B656" s="5" t="s">
        <v>17</v>
      </c>
      <c r="C656" s="5" t="s">
        <v>19</v>
      </c>
      <c r="D656" s="5" t="s">
        <v>80</v>
      </c>
      <c r="E656" s="5">
        <v>2</v>
      </c>
      <c r="F656" s="5">
        <v>1319.86</v>
      </c>
      <c r="G656" s="5">
        <v>1153.8699999999999</v>
      </c>
    </row>
    <row r="657" spans="1:7" ht="15" customHeight="1" x14ac:dyDescent="0.3">
      <c r="A657" s="5" t="s">
        <v>313</v>
      </c>
      <c r="B657" s="5" t="s">
        <v>42</v>
      </c>
      <c r="C657" s="5" t="s">
        <v>47</v>
      </c>
      <c r="D657" s="5" t="s">
        <v>86</v>
      </c>
      <c r="E657" s="5">
        <v>5</v>
      </c>
      <c r="F657" s="5">
        <v>1674.97</v>
      </c>
      <c r="G657" s="5">
        <v>1546.2</v>
      </c>
    </row>
    <row r="658" spans="1:7" ht="15" customHeight="1" x14ac:dyDescent="0.3">
      <c r="A658" s="5" t="s">
        <v>313</v>
      </c>
      <c r="B658" s="5" t="s">
        <v>22</v>
      </c>
      <c r="C658" s="5" t="s">
        <v>114</v>
      </c>
      <c r="D658" s="5" t="s">
        <v>10</v>
      </c>
      <c r="E658" s="5">
        <v>11</v>
      </c>
      <c r="F658" s="5">
        <v>10927.48</v>
      </c>
      <c r="G658" s="5">
        <v>11625.52</v>
      </c>
    </row>
    <row r="659" spans="1:7" ht="15" customHeight="1" x14ac:dyDescent="0.3">
      <c r="A659" s="5" t="s">
        <v>313</v>
      </c>
      <c r="B659" s="5" t="s">
        <v>42</v>
      </c>
      <c r="C659" s="5" t="s">
        <v>43</v>
      </c>
      <c r="D659" s="5" t="s">
        <v>16</v>
      </c>
      <c r="E659" s="5">
        <v>5</v>
      </c>
      <c r="F659" s="5">
        <v>1931.38</v>
      </c>
      <c r="G659" s="5">
        <v>2212.4899999999998</v>
      </c>
    </row>
    <row r="660" spans="1:7" ht="15" customHeight="1" x14ac:dyDescent="0.3">
      <c r="A660" s="5" t="s">
        <v>314</v>
      </c>
      <c r="B660" s="5" t="s">
        <v>28</v>
      </c>
      <c r="C660" s="5" t="s">
        <v>29</v>
      </c>
      <c r="D660" s="5" t="s">
        <v>20</v>
      </c>
      <c r="E660" s="5">
        <v>12</v>
      </c>
      <c r="F660" s="5">
        <v>4890.55</v>
      </c>
      <c r="G660" s="5">
        <v>5431.6</v>
      </c>
    </row>
    <row r="661" spans="1:7" ht="15" customHeight="1" x14ac:dyDescent="0.3">
      <c r="A661" s="5" t="s">
        <v>314</v>
      </c>
      <c r="B661" s="5" t="s">
        <v>22</v>
      </c>
      <c r="C661" s="5" t="s">
        <v>23</v>
      </c>
      <c r="D661" s="5" t="s">
        <v>91</v>
      </c>
      <c r="E661" s="5">
        <v>11</v>
      </c>
      <c r="F661" s="5">
        <v>3513.23</v>
      </c>
      <c r="G661" s="5">
        <v>3097.43</v>
      </c>
    </row>
    <row r="662" spans="1:7" ht="15" customHeight="1" x14ac:dyDescent="0.3">
      <c r="A662" s="5" t="s">
        <v>315</v>
      </c>
      <c r="B662" s="5" t="s">
        <v>22</v>
      </c>
      <c r="C662" s="5" t="s">
        <v>25</v>
      </c>
      <c r="D662" s="5" t="s">
        <v>69</v>
      </c>
      <c r="E662" s="5">
        <v>9</v>
      </c>
      <c r="F662" s="5">
        <v>3051.52</v>
      </c>
      <c r="G662" s="5">
        <v>2883.1</v>
      </c>
    </row>
    <row r="663" spans="1:7" ht="15" customHeight="1" x14ac:dyDescent="0.3">
      <c r="A663" s="5" t="s">
        <v>316</v>
      </c>
      <c r="B663" s="5" t="s">
        <v>42</v>
      </c>
      <c r="C663" s="5" t="s">
        <v>111</v>
      </c>
      <c r="D663" s="5" t="s">
        <v>33</v>
      </c>
      <c r="E663" s="5">
        <v>6</v>
      </c>
      <c r="F663" s="5">
        <v>9962.2800000000007</v>
      </c>
      <c r="G663" s="5">
        <v>8703.8799999999992</v>
      </c>
    </row>
    <row r="664" spans="1:7" ht="15" customHeight="1" x14ac:dyDescent="0.3">
      <c r="A664" s="5" t="s">
        <v>317</v>
      </c>
      <c r="B664" s="5" t="s">
        <v>22</v>
      </c>
      <c r="C664" s="5" t="s">
        <v>100</v>
      </c>
      <c r="D664" s="5" t="s">
        <v>16</v>
      </c>
      <c r="E664" s="5">
        <v>7</v>
      </c>
      <c r="F664" s="5">
        <v>2763.99</v>
      </c>
      <c r="G664" s="5">
        <v>2640.31</v>
      </c>
    </row>
    <row r="665" spans="1:7" ht="15" customHeight="1" x14ac:dyDescent="0.3">
      <c r="A665" s="5" t="s">
        <v>317</v>
      </c>
      <c r="B665" s="5" t="s">
        <v>8</v>
      </c>
      <c r="C665" s="5" t="s">
        <v>83</v>
      </c>
      <c r="D665" s="5" t="s">
        <v>33</v>
      </c>
      <c r="E665" s="5">
        <v>7</v>
      </c>
      <c r="F665" s="5">
        <v>11580.91</v>
      </c>
      <c r="G665" s="5">
        <v>10786.43</v>
      </c>
    </row>
    <row r="666" spans="1:7" ht="15" customHeight="1" x14ac:dyDescent="0.3">
      <c r="A666" s="5" t="s">
        <v>317</v>
      </c>
      <c r="B666" s="5" t="s">
        <v>11</v>
      </c>
      <c r="C666" s="5" t="s">
        <v>12</v>
      </c>
      <c r="D666" s="5" t="s">
        <v>103</v>
      </c>
      <c r="E666" s="5">
        <v>11</v>
      </c>
      <c r="F666" s="5">
        <v>9607.73</v>
      </c>
      <c r="G666" s="5">
        <v>8993.5</v>
      </c>
    </row>
    <row r="667" spans="1:7" ht="15" customHeight="1" x14ac:dyDescent="0.3">
      <c r="A667" s="5" t="s">
        <v>318</v>
      </c>
      <c r="B667" s="5" t="s">
        <v>53</v>
      </c>
      <c r="C667" s="5" t="s">
        <v>94</v>
      </c>
      <c r="D667" s="5" t="s">
        <v>80</v>
      </c>
      <c r="E667" s="5">
        <v>1</v>
      </c>
      <c r="F667" s="5">
        <v>666.8</v>
      </c>
      <c r="G667" s="5">
        <v>633.75</v>
      </c>
    </row>
    <row r="668" spans="1:7" ht="15" customHeight="1" x14ac:dyDescent="0.3">
      <c r="A668" s="5" t="s">
        <v>318</v>
      </c>
      <c r="B668" s="5" t="s">
        <v>8</v>
      </c>
      <c r="C668" s="5" t="s">
        <v>37</v>
      </c>
      <c r="D668" s="5" t="s">
        <v>44</v>
      </c>
      <c r="E668" s="5">
        <v>1</v>
      </c>
      <c r="F668" s="5">
        <v>277.64999999999998</v>
      </c>
      <c r="G668" s="5">
        <v>255.06</v>
      </c>
    </row>
    <row r="669" spans="1:7" ht="15" customHeight="1" x14ac:dyDescent="0.3">
      <c r="A669" s="5" t="s">
        <v>318</v>
      </c>
      <c r="B669" s="5" t="s">
        <v>53</v>
      </c>
      <c r="C669" s="5" t="s">
        <v>58</v>
      </c>
      <c r="D669" s="5" t="s">
        <v>44</v>
      </c>
      <c r="E669" s="5">
        <v>11</v>
      </c>
      <c r="F669" s="5">
        <v>2916.43</v>
      </c>
      <c r="G669" s="5">
        <v>2776.94</v>
      </c>
    </row>
    <row r="670" spans="1:7" ht="15" customHeight="1" x14ac:dyDescent="0.3">
      <c r="A670" s="5" t="s">
        <v>318</v>
      </c>
      <c r="B670" s="5" t="s">
        <v>8</v>
      </c>
      <c r="C670" s="5" t="s">
        <v>83</v>
      </c>
      <c r="D670" s="5" t="s">
        <v>51</v>
      </c>
      <c r="E670" s="5">
        <v>2</v>
      </c>
      <c r="F670" s="5">
        <v>1637</v>
      </c>
      <c r="G670" s="5">
        <v>1694.16</v>
      </c>
    </row>
    <row r="671" spans="1:7" ht="15" customHeight="1" x14ac:dyDescent="0.3">
      <c r="A671" s="5" t="s">
        <v>319</v>
      </c>
      <c r="B671" s="5" t="s">
        <v>42</v>
      </c>
      <c r="C671" s="5" t="s">
        <v>62</v>
      </c>
      <c r="D671" s="5" t="s">
        <v>36</v>
      </c>
      <c r="E671" s="5">
        <v>9</v>
      </c>
      <c r="F671" s="5">
        <v>7053.92</v>
      </c>
      <c r="G671" s="5">
        <v>6245.93</v>
      </c>
    </row>
    <row r="672" spans="1:7" ht="15" customHeight="1" x14ac:dyDescent="0.3">
      <c r="A672" s="5" t="s">
        <v>319</v>
      </c>
      <c r="B672" s="5" t="s">
        <v>34</v>
      </c>
      <c r="C672" s="5" t="s">
        <v>35</v>
      </c>
      <c r="D672" s="5" t="s">
        <v>33</v>
      </c>
      <c r="E672" s="5">
        <v>11</v>
      </c>
      <c r="F672" s="5">
        <v>17592.939999999999</v>
      </c>
      <c r="G672" s="5">
        <v>18921.53</v>
      </c>
    </row>
    <row r="673" spans="1:7" ht="15" customHeight="1" x14ac:dyDescent="0.3">
      <c r="A673" s="5" t="s">
        <v>320</v>
      </c>
      <c r="B673" s="5" t="s">
        <v>17</v>
      </c>
      <c r="C673" s="5" t="s">
        <v>68</v>
      </c>
      <c r="D673" s="5" t="s">
        <v>69</v>
      </c>
      <c r="E673" s="5">
        <v>5</v>
      </c>
      <c r="F673" s="5">
        <v>1639.89</v>
      </c>
      <c r="G673" s="5">
        <v>1825.11</v>
      </c>
    </row>
    <row r="674" spans="1:7" ht="15" customHeight="1" x14ac:dyDescent="0.3">
      <c r="A674" s="5" t="s">
        <v>320</v>
      </c>
      <c r="B674" s="5" t="s">
        <v>17</v>
      </c>
      <c r="C674" s="5" t="s">
        <v>68</v>
      </c>
      <c r="D674" s="5" t="s">
        <v>30</v>
      </c>
      <c r="E674" s="5">
        <v>1</v>
      </c>
      <c r="F674" s="5">
        <v>442.76</v>
      </c>
      <c r="G674" s="5">
        <v>444.74</v>
      </c>
    </row>
    <row r="675" spans="1:7" ht="15" customHeight="1" x14ac:dyDescent="0.3">
      <c r="A675" s="5" t="s">
        <v>321</v>
      </c>
      <c r="B675" s="5" t="s">
        <v>17</v>
      </c>
      <c r="C675" s="5" t="s">
        <v>19</v>
      </c>
      <c r="D675" s="5" t="s">
        <v>48</v>
      </c>
      <c r="E675" s="5">
        <v>5</v>
      </c>
      <c r="F675" s="5">
        <v>1263.3</v>
      </c>
      <c r="G675" s="5">
        <v>1270.69</v>
      </c>
    </row>
    <row r="676" spans="1:7" ht="15" customHeight="1" x14ac:dyDescent="0.3">
      <c r="A676" s="5" t="s">
        <v>322</v>
      </c>
      <c r="B676" s="5" t="s">
        <v>42</v>
      </c>
      <c r="C676" s="5" t="s">
        <v>111</v>
      </c>
      <c r="D676" s="5" t="s">
        <v>20</v>
      </c>
      <c r="E676" s="5">
        <v>9</v>
      </c>
      <c r="F676" s="5">
        <v>4264.57</v>
      </c>
      <c r="G676" s="5">
        <v>3994.76</v>
      </c>
    </row>
    <row r="677" spans="1:7" ht="15" customHeight="1" x14ac:dyDescent="0.3">
      <c r="A677" s="5" t="s">
        <v>322</v>
      </c>
      <c r="B677" s="5" t="s">
        <v>28</v>
      </c>
      <c r="C677" s="5" t="s">
        <v>29</v>
      </c>
      <c r="D677" s="5" t="s">
        <v>103</v>
      </c>
      <c r="E677" s="5">
        <v>6</v>
      </c>
      <c r="F677" s="5">
        <v>4635.7700000000004</v>
      </c>
      <c r="G677" s="5">
        <v>5464.25</v>
      </c>
    </row>
    <row r="678" spans="1:7" ht="15" customHeight="1" x14ac:dyDescent="0.3">
      <c r="A678" s="5" t="s">
        <v>323</v>
      </c>
      <c r="B678" s="5" t="s">
        <v>22</v>
      </c>
      <c r="C678" s="5" t="s">
        <v>23</v>
      </c>
      <c r="D678" s="5" t="s">
        <v>20</v>
      </c>
      <c r="E678" s="5">
        <v>6</v>
      </c>
      <c r="F678" s="5">
        <v>2750.47</v>
      </c>
      <c r="G678" s="5">
        <v>2616.84</v>
      </c>
    </row>
    <row r="679" spans="1:7" ht="15" customHeight="1" x14ac:dyDescent="0.3">
      <c r="A679" s="5" t="s">
        <v>323</v>
      </c>
      <c r="B679" s="5" t="s">
        <v>17</v>
      </c>
      <c r="C679" s="5" t="s">
        <v>18</v>
      </c>
      <c r="D679" s="5" t="s">
        <v>36</v>
      </c>
      <c r="E679" s="5">
        <v>5</v>
      </c>
      <c r="F679" s="5">
        <v>3552.07</v>
      </c>
      <c r="G679" s="5">
        <v>3833.2</v>
      </c>
    </row>
    <row r="680" spans="1:7" ht="15" customHeight="1" x14ac:dyDescent="0.3">
      <c r="A680" s="5" t="s">
        <v>323</v>
      </c>
      <c r="B680" s="5" t="s">
        <v>22</v>
      </c>
      <c r="C680" s="5" t="s">
        <v>25</v>
      </c>
      <c r="D680" s="5" t="s">
        <v>129</v>
      </c>
      <c r="E680" s="5">
        <v>1</v>
      </c>
      <c r="F680" s="5">
        <v>356.87</v>
      </c>
      <c r="G680" s="5">
        <v>388.28</v>
      </c>
    </row>
    <row r="681" spans="1:7" ht="15" customHeight="1" x14ac:dyDescent="0.3">
      <c r="A681" s="5" t="s">
        <v>323</v>
      </c>
      <c r="B681" s="5" t="s">
        <v>42</v>
      </c>
      <c r="C681" s="5" t="s">
        <v>111</v>
      </c>
      <c r="D681" s="5" t="s">
        <v>91</v>
      </c>
      <c r="E681" s="5">
        <v>11</v>
      </c>
      <c r="F681" s="5">
        <v>3132.62</v>
      </c>
      <c r="G681" s="5">
        <v>3368.21</v>
      </c>
    </row>
    <row r="682" spans="1:7" ht="15" customHeight="1" x14ac:dyDescent="0.3">
      <c r="A682" s="5" t="s">
        <v>323</v>
      </c>
      <c r="B682" s="5" t="s">
        <v>8</v>
      </c>
      <c r="C682" s="5" t="s">
        <v>126</v>
      </c>
      <c r="D682" s="5" t="s">
        <v>55</v>
      </c>
      <c r="E682" s="5">
        <v>11</v>
      </c>
      <c r="F682" s="5">
        <v>4199.01</v>
      </c>
      <c r="G682" s="5">
        <v>4271.53</v>
      </c>
    </row>
    <row r="683" spans="1:7" ht="15" customHeight="1" x14ac:dyDescent="0.3">
      <c r="A683" s="5" t="s">
        <v>323</v>
      </c>
      <c r="B683" s="5" t="s">
        <v>17</v>
      </c>
      <c r="C683" s="5" t="s">
        <v>19</v>
      </c>
      <c r="D683" s="5" t="s">
        <v>49</v>
      </c>
      <c r="E683" s="5">
        <v>7</v>
      </c>
      <c r="F683" s="5">
        <v>3046.93</v>
      </c>
      <c r="G683" s="5">
        <v>2667.62</v>
      </c>
    </row>
    <row r="684" spans="1:7" ht="15" customHeight="1" x14ac:dyDescent="0.3">
      <c r="A684" s="5" t="s">
        <v>324</v>
      </c>
      <c r="B684" s="5" t="s">
        <v>53</v>
      </c>
      <c r="C684" s="5" t="s">
        <v>71</v>
      </c>
      <c r="D684" s="5" t="s">
        <v>44</v>
      </c>
      <c r="E684" s="5">
        <v>1</v>
      </c>
      <c r="F684" s="5">
        <v>286.37</v>
      </c>
      <c r="G684" s="5">
        <v>229.98</v>
      </c>
    </row>
    <row r="685" spans="1:7" ht="15" customHeight="1" x14ac:dyDescent="0.3">
      <c r="A685" s="5" t="s">
        <v>324</v>
      </c>
      <c r="B685" s="5" t="s">
        <v>17</v>
      </c>
      <c r="C685" s="5" t="s">
        <v>19</v>
      </c>
      <c r="D685" s="5" t="s">
        <v>10</v>
      </c>
      <c r="E685" s="5">
        <v>1</v>
      </c>
      <c r="F685" s="5">
        <v>1037.58</v>
      </c>
      <c r="G685" s="5">
        <v>997.15</v>
      </c>
    </row>
    <row r="686" spans="1:7" ht="15" customHeight="1" x14ac:dyDescent="0.3">
      <c r="A686" s="5" t="s">
        <v>324</v>
      </c>
      <c r="B686" s="5" t="s">
        <v>8</v>
      </c>
      <c r="C686" s="5" t="s">
        <v>32</v>
      </c>
      <c r="D686" s="5" t="s">
        <v>61</v>
      </c>
      <c r="E686" s="5">
        <v>11</v>
      </c>
      <c r="F686" s="5">
        <v>8497.76</v>
      </c>
      <c r="G686" s="5">
        <v>8635.11</v>
      </c>
    </row>
    <row r="687" spans="1:7" ht="15" customHeight="1" x14ac:dyDescent="0.3">
      <c r="A687" s="5" t="s">
        <v>325</v>
      </c>
      <c r="B687" s="5" t="s">
        <v>22</v>
      </c>
      <c r="C687" s="5" t="s">
        <v>114</v>
      </c>
      <c r="D687" s="5" t="s">
        <v>10</v>
      </c>
      <c r="E687" s="5">
        <v>11</v>
      </c>
      <c r="F687" s="5">
        <v>11819.99</v>
      </c>
      <c r="G687" s="5">
        <v>12180.35</v>
      </c>
    </row>
    <row r="688" spans="1:7" ht="15" customHeight="1" x14ac:dyDescent="0.3">
      <c r="A688" s="5" t="s">
        <v>325</v>
      </c>
      <c r="B688" s="5" t="s">
        <v>17</v>
      </c>
      <c r="C688" s="5" t="s">
        <v>18</v>
      </c>
      <c r="D688" s="5" t="s">
        <v>51</v>
      </c>
      <c r="E688" s="5">
        <v>1</v>
      </c>
      <c r="F688" s="5">
        <v>815.91</v>
      </c>
      <c r="G688" s="5">
        <v>842.64</v>
      </c>
    </row>
    <row r="689" spans="1:7" ht="15" customHeight="1" x14ac:dyDescent="0.3">
      <c r="A689" s="5" t="s">
        <v>325</v>
      </c>
      <c r="B689" s="5" t="s">
        <v>8</v>
      </c>
      <c r="C689" s="5" t="s">
        <v>107</v>
      </c>
      <c r="D689" s="5" t="s">
        <v>26</v>
      </c>
      <c r="E689" s="5">
        <v>7</v>
      </c>
      <c r="F689" s="5">
        <v>1507.5</v>
      </c>
      <c r="G689" s="5">
        <v>1527.48</v>
      </c>
    </row>
    <row r="690" spans="1:7" ht="15" customHeight="1" x14ac:dyDescent="0.3">
      <c r="A690" s="5" t="s">
        <v>325</v>
      </c>
      <c r="B690" s="5" t="s">
        <v>11</v>
      </c>
      <c r="C690" s="5" t="s">
        <v>60</v>
      </c>
      <c r="D690" s="5" t="s">
        <v>56</v>
      </c>
      <c r="E690" s="5">
        <v>9</v>
      </c>
      <c r="F690" s="5">
        <v>4974.8</v>
      </c>
      <c r="G690" s="5">
        <v>5043.8</v>
      </c>
    </row>
    <row r="691" spans="1:7" ht="15" customHeight="1" x14ac:dyDescent="0.3">
      <c r="A691" s="5" t="s">
        <v>326</v>
      </c>
      <c r="B691" s="5" t="s">
        <v>42</v>
      </c>
      <c r="C691" s="5" t="s">
        <v>63</v>
      </c>
      <c r="D691" s="5" t="s">
        <v>99</v>
      </c>
      <c r="E691" s="5">
        <v>7</v>
      </c>
      <c r="F691" s="5">
        <v>492.87</v>
      </c>
      <c r="G691" s="5">
        <v>585.55999999999995</v>
      </c>
    </row>
    <row r="692" spans="1:7" ht="15" customHeight="1" x14ac:dyDescent="0.3">
      <c r="A692" s="5" t="s">
        <v>326</v>
      </c>
      <c r="B692" s="5" t="s">
        <v>42</v>
      </c>
      <c r="C692" s="5" t="s">
        <v>111</v>
      </c>
      <c r="D692" s="5" t="s">
        <v>103</v>
      </c>
      <c r="E692" s="5">
        <v>4</v>
      </c>
      <c r="F692" s="5">
        <v>3364.31</v>
      </c>
      <c r="G692" s="5">
        <v>2753.67</v>
      </c>
    </row>
    <row r="693" spans="1:7" ht="15" customHeight="1" x14ac:dyDescent="0.3">
      <c r="A693" s="5" t="s">
        <v>327</v>
      </c>
      <c r="B693" s="5" t="s">
        <v>42</v>
      </c>
      <c r="C693" s="5" t="s">
        <v>111</v>
      </c>
      <c r="D693" s="5" t="s">
        <v>13</v>
      </c>
      <c r="E693" s="5">
        <v>6</v>
      </c>
      <c r="F693" s="5">
        <v>3557.83</v>
      </c>
      <c r="G693" s="5">
        <v>3330.49</v>
      </c>
    </row>
    <row r="694" spans="1:7" ht="15" customHeight="1" x14ac:dyDescent="0.3">
      <c r="A694" s="5" t="s">
        <v>327</v>
      </c>
      <c r="B694" s="5" t="s">
        <v>8</v>
      </c>
      <c r="C694" s="5" t="s">
        <v>90</v>
      </c>
      <c r="D694" s="5" t="s">
        <v>51</v>
      </c>
      <c r="E694" s="5">
        <v>7</v>
      </c>
      <c r="F694" s="5">
        <v>5905.93</v>
      </c>
      <c r="G694" s="5">
        <v>5182.74</v>
      </c>
    </row>
    <row r="695" spans="1:7" ht="15" customHeight="1" x14ac:dyDescent="0.3">
      <c r="A695" s="5" t="s">
        <v>328</v>
      </c>
      <c r="B695" s="5" t="s">
        <v>34</v>
      </c>
      <c r="C695" s="5" t="s">
        <v>35</v>
      </c>
      <c r="D695" s="5" t="s">
        <v>10</v>
      </c>
      <c r="E695" s="5">
        <v>5</v>
      </c>
      <c r="F695" s="5">
        <v>5058.09</v>
      </c>
      <c r="G695" s="5">
        <v>5463.63</v>
      </c>
    </row>
    <row r="696" spans="1:7" ht="15" customHeight="1" x14ac:dyDescent="0.3">
      <c r="A696" s="5" t="s">
        <v>328</v>
      </c>
      <c r="B696" s="5" t="s">
        <v>17</v>
      </c>
      <c r="C696" s="5" t="s">
        <v>68</v>
      </c>
      <c r="D696" s="5" t="s">
        <v>51</v>
      </c>
      <c r="E696" s="5">
        <v>6</v>
      </c>
      <c r="F696" s="5">
        <v>5047.41</v>
      </c>
      <c r="G696" s="5">
        <v>4179.6400000000003</v>
      </c>
    </row>
    <row r="697" spans="1:7" ht="15" customHeight="1" x14ac:dyDescent="0.3">
      <c r="A697" s="5" t="s">
        <v>328</v>
      </c>
      <c r="B697" s="5" t="s">
        <v>34</v>
      </c>
      <c r="C697" s="5" t="s">
        <v>75</v>
      </c>
      <c r="D697" s="5" t="s">
        <v>44</v>
      </c>
      <c r="E697" s="5">
        <v>7</v>
      </c>
      <c r="F697" s="5">
        <v>1821.52</v>
      </c>
      <c r="G697" s="5">
        <v>1839.65</v>
      </c>
    </row>
    <row r="698" spans="1:7" ht="15" customHeight="1" x14ac:dyDescent="0.3">
      <c r="A698" s="5" t="s">
        <v>328</v>
      </c>
      <c r="B698" s="5" t="s">
        <v>17</v>
      </c>
      <c r="C698" s="5" t="s">
        <v>18</v>
      </c>
      <c r="D698" s="5" t="s">
        <v>69</v>
      </c>
      <c r="E698" s="5">
        <v>11</v>
      </c>
      <c r="F698" s="5">
        <v>3903.95</v>
      </c>
      <c r="G698" s="5">
        <v>3437.15</v>
      </c>
    </row>
    <row r="699" spans="1:7" ht="15" customHeight="1" x14ac:dyDescent="0.3">
      <c r="A699" s="5" t="s">
        <v>328</v>
      </c>
      <c r="B699" s="5" t="s">
        <v>42</v>
      </c>
      <c r="C699" s="5" t="s">
        <v>47</v>
      </c>
      <c r="D699" s="5" t="s">
        <v>10</v>
      </c>
      <c r="E699" s="5">
        <v>4</v>
      </c>
      <c r="F699" s="5">
        <v>3882.63</v>
      </c>
      <c r="G699" s="5">
        <v>3921.68</v>
      </c>
    </row>
    <row r="700" spans="1:7" ht="15" customHeight="1" x14ac:dyDescent="0.3">
      <c r="A700" s="5" t="s">
        <v>329</v>
      </c>
      <c r="B700" s="5" t="s">
        <v>8</v>
      </c>
      <c r="C700" s="5" t="s">
        <v>107</v>
      </c>
      <c r="D700" s="5" t="s">
        <v>99</v>
      </c>
      <c r="E700" s="5">
        <v>6</v>
      </c>
      <c r="F700" s="5">
        <v>503.05</v>
      </c>
      <c r="G700" s="5">
        <v>508.51</v>
      </c>
    </row>
    <row r="701" spans="1:7" ht="15" customHeight="1" x14ac:dyDescent="0.3">
      <c r="A701" s="5" t="s">
        <v>329</v>
      </c>
      <c r="B701" s="5" t="s">
        <v>42</v>
      </c>
      <c r="C701" s="5" t="s">
        <v>63</v>
      </c>
      <c r="D701" s="5" t="s">
        <v>26</v>
      </c>
      <c r="E701" s="5">
        <v>2</v>
      </c>
      <c r="F701" s="5">
        <v>407.3</v>
      </c>
      <c r="G701" s="5">
        <v>485.5</v>
      </c>
    </row>
    <row r="702" spans="1:7" ht="15" customHeight="1" x14ac:dyDescent="0.3">
      <c r="A702" s="5" t="s">
        <v>329</v>
      </c>
      <c r="B702" s="5" t="s">
        <v>22</v>
      </c>
      <c r="C702" s="5" t="s">
        <v>100</v>
      </c>
      <c r="D702" s="5" t="s">
        <v>80</v>
      </c>
      <c r="E702" s="5">
        <v>1</v>
      </c>
      <c r="F702" s="5"/>
      <c r="G702" s="5">
        <v>742.5</v>
      </c>
    </row>
    <row r="703" spans="1:7" ht="15" customHeight="1" x14ac:dyDescent="0.3">
      <c r="A703" s="5" t="s">
        <v>330</v>
      </c>
      <c r="B703" s="5" t="s">
        <v>11</v>
      </c>
      <c r="C703" s="5" t="s">
        <v>76</v>
      </c>
      <c r="D703" s="5" t="s">
        <v>65</v>
      </c>
      <c r="E703" s="5">
        <v>2</v>
      </c>
      <c r="F703" s="5">
        <v>2927.97</v>
      </c>
      <c r="G703" s="5">
        <v>3197.78</v>
      </c>
    </row>
    <row r="704" spans="1:7" ht="15" customHeight="1" x14ac:dyDescent="0.3">
      <c r="A704" s="5" t="s">
        <v>330</v>
      </c>
      <c r="B704" s="5" t="s">
        <v>11</v>
      </c>
      <c r="C704" s="5" t="s">
        <v>60</v>
      </c>
      <c r="D704" s="5" t="s">
        <v>20</v>
      </c>
      <c r="E704" s="5">
        <v>5</v>
      </c>
      <c r="F704" s="5">
        <v>2166.4299999999998</v>
      </c>
      <c r="G704" s="5">
        <v>2101.41</v>
      </c>
    </row>
    <row r="705" spans="1:7" ht="15" customHeight="1" x14ac:dyDescent="0.3">
      <c r="A705" s="5" t="s">
        <v>330</v>
      </c>
      <c r="B705" s="5" t="s">
        <v>42</v>
      </c>
      <c r="C705" s="5" t="s">
        <v>62</v>
      </c>
      <c r="D705" s="5" t="s">
        <v>44</v>
      </c>
      <c r="E705" s="5">
        <v>8</v>
      </c>
      <c r="F705" s="5">
        <v>1983.3</v>
      </c>
      <c r="G705" s="5">
        <v>2149.5</v>
      </c>
    </row>
    <row r="706" spans="1:7" ht="15" customHeight="1" x14ac:dyDescent="0.3">
      <c r="A706" s="5" t="s">
        <v>330</v>
      </c>
      <c r="B706" s="5" t="s">
        <v>53</v>
      </c>
      <c r="C706" s="5" t="s">
        <v>94</v>
      </c>
      <c r="D706" s="5" t="s">
        <v>61</v>
      </c>
      <c r="E706" s="5">
        <v>3</v>
      </c>
      <c r="F706" s="5">
        <v>2119.4499999999998</v>
      </c>
      <c r="G706" s="5">
        <v>2253.29</v>
      </c>
    </row>
    <row r="707" spans="1:7" ht="15" customHeight="1" x14ac:dyDescent="0.3">
      <c r="A707" s="5" t="s">
        <v>330</v>
      </c>
      <c r="B707" s="5" t="s">
        <v>42</v>
      </c>
      <c r="C707" s="5" t="s">
        <v>43</v>
      </c>
      <c r="D707" s="5" t="s">
        <v>82</v>
      </c>
      <c r="E707" s="5">
        <v>1</v>
      </c>
      <c r="F707" s="5">
        <v>874.91</v>
      </c>
      <c r="G707" s="5">
        <v>850.99</v>
      </c>
    </row>
    <row r="708" spans="1:7" ht="15" customHeight="1" x14ac:dyDescent="0.3">
      <c r="A708" s="5" t="s">
        <v>331</v>
      </c>
      <c r="B708" s="5" t="s">
        <v>17</v>
      </c>
      <c r="C708" s="5" t="s">
        <v>18</v>
      </c>
      <c r="D708" s="5" t="s">
        <v>26</v>
      </c>
      <c r="E708" s="5">
        <v>6</v>
      </c>
      <c r="F708" s="5">
        <v>1343.08</v>
      </c>
      <c r="G708" s="5">
        <v>1156.3499999999999</v>
      </c>
    </row>
    <row r="709" spans="1:7" ht="15" customHeight="1" x14ac:dyDescent="0.3">
      <c r="A709" s="5" t="s">
        <v>332</v>
      </c>
      <c r="B709" s="5" t="s">
        <v>28</v>
      </c>
      <c r="C709" s="5" t="s">
        <v>29</v>
      </c>
      <c r="D709" s="5" t="s">
        <v>97</v>
      </c>
      <c r="E709" s="5">
        <v>2</v>
      </c>
      <c r="F709" s="5">
        <v>1682.07</v>
      </c>
      <c r="G709" s="5">
        <v>1476.75</v>
      </c>
    </row>
    <row r="710" spans="1:7" ht="15" customHeight="1" x14ac:dyDescent="0.3">
      <c r="A710" s="5" t="s">
        <v>332</v>
      </c>
      <c r="B710" s="5" t="s">
        <v>53</v>
      </c>
      <c r="C710" s="5" t="s">
        <v>58</v>
      </c>
      <c r="D710" s="5" t="s">
        <v>55</v>
      </c>
      <c r="E710" s="5">
        <v>12</v>
      </c>
      <c r="F710" s="5">
        <v>4334.62</v>
      </c>
      <c r="G710" s="5">
        <v>3710.48</v>
      </c>
    </row>
    <row r="711" spans="1:7" ht="15" customHeight="1" x14ac:dyDescent="0.3">
      <c r="A711" s="5" t="s">
        <v>332</v>
      </c>
      <c r="B711" s="5" t="s">
        <v>11</v>
      </c>
      <c r="C711" s="5" t="s">
        <v>76</v>
      </c>
      <c r="D711" s="5" t="s">
        <v>86</v>
      </c>
      <c r="E711" s="5">
        <v>4</v>
      </c>
      <c r="F711" s="5">
        <v>1196.02</v>
      </c>
      <c r="G711" s="5">
        <v>1366.85</v>
      </c>
    </row>
    <row r="712" spans="1:7" ht="15" customHeight="1" x14ac:dyDescent="0.3">
      <c r="A712" s="5" t="s">
        <v>333</v>
      </c>
      <c r="B712" s="5" t="s">
        <v>8</v>
      </c>
      <c r="C712" s="5" t="s">
        <v>74</v>
      </c>
      <c r="D712" s="5" t="s">
        <v>48</v>
      </c>
      <c r="E712" s="5">
        <v>5</v>
      </c>
      <c r="F712" s="5">
        <v>1264.97</v>
      </c>
      <c r="G712" s="5">
        <v>1276.02</v>
      </c>
    </row>
    <row r="713" spans="1:7" ht="15" customHeight="1" x14ac:dyDescent="0.3">
      <c r="A713" s="5" t="s">
        <v>334</v>
      </c>
      <c r="B713" s="5" t="s">
        <v>53</v>
      </c>
      <c r="C713" s="5" t="s">
        <v>54</v>
      </c>
      <c r="D713" s="5" t="s">
        <v>96</v>
      </c>
      <c r="E713" s="5">
        <v>10</v>
      </c>
      <c r="F713" s="5">
        <v>13854.88</v>
      </c>
      <c r="G713" s="5">
        <v>14150.67</v>
      </c>
    </row>
    <row r="714" spans="1:7" ht="15" customHeight="1" x14ac:dyDescent="0.3">
      <c r="A714" s="5" t="s">
        <v>334</v>
      </c>
      <c r="B714" s="5" t="s">
        <v>42</v>
      </c>
      <c r="C714" s="5" t="s">
        <v>43</v>
      </c>
      <c r="D714" s="5" t="s">
        <v>113</v>
      </c>
      <c r="E714" s="5">
        <v>4</v>
      </c>
      <c r="F714" s="5">
        <v>1222.68</v>
      </c>
      <c r="G714" s="5">
        <v>1162.3399999999999</v>
      </c>
    </row>
    <row r="715" spans="1:7" ht="15" customHeight="1" x14ac:dyDescent="0.3">
      <c r="A715" s="5" t="s">
        <v>335</v>
      </c>
      <c r="B715" s="5" t="s">
        <v>53</v>
      </c>
      <c r="C715" s="5" t="s">
        <v>93</v>
      </c>
      <c r="D715" s="5" t="s">
        <v>55</v>
      </c>
      <c r="E715" s="5">
        <v>2</v>
      </c>
      <c r="F715" s="5">
        <v>756.16</v>
      </c>
      <c r="G715" s="5">
        <v>662.04</v>
      </c>
    </row>
    <row r="716" spans="1:7" ht="15" customHeight="1" x14ac:dyDescent="0.3">
      <c r="A716" s="5" t="s">
        <v>336</v>
      </c>
      <c r="B716" s="5" t="s">
        <v>53</v>
      </c>
      <c r="C716" s="5" t="s">
        <v>94</v>
      </c>
      <c r="D716" s="5" t="s">
        <v>80</v>
      </c>
      <c r="E716" s="5">
        <v>9</v>
      </c>
      <c r="F716" s="5">
        <v>5996.03</v>
      </c>
      <c r="G716" s="5">
        <v>5330.76</v>
      </c>
    </row>
    <row r="717" spans="1:7" ht="15" customHeight="1" x14ac:dyDescent="0.3">
      <c r="A717" s="5" t="s">
        <v>336</v>
      </c>
      <c r="B717" s="5" t="s">
        <v>42</v>
      </c>
      <c r="C717" s="5" t="s">
        <v>63</v>
      </c>
      <c r="D717" s="5" t="s">
        <v>69</v>
      </c>
      <c r="E717" s="5">
        <v>6</v>
      </c>
      <c r="F717" s="5">
        <v>1917.39</v>
      </c>
      <c r="G717" s="5">
        <v>2231.61</v>
      </c>
    </row>
    <row r="718" spans="1:7" ht="15" customHeight="1" x14ac:dyDescent="0.3">
      <c r="A718" s="5" t="s">
        <v>336</v>
      </c>
      <c r="B718" s="5" t="s">
        <v>42</v>
      </c>
      <c r="C718" s="5" t="s">
        <v>62</v>
      </c>
      <c r="D718" s="5" t="s">
        <v>20</v>
      </c>
      <c r="E718" s="5">
        <v>3</v>
      </c>
      <c r="F718" s="5">
        <v>1348.6</v>
      </c>
      <c r="G718" s="5">
        <v>1217.6300000000001</v>
      </c>
    </row>
    <row r="719" spans="1:7" ht="15" customHeight="1" x14ac:dyDescent="0.3">
      <c r="A719" s="5" t="s">
        <v>336</v>
      </c>
      <c r="B719" s="5" t="s">
        <v>8</v>
      </c>
      <c r="C719" s="5" t="s">
        <v>90</v>
      </c>
      <c r="D719" s="5" t="s">
        <v>65</v>
      </c>
      <c r="E719" s="5">
        <v>10</v>
      </c>
      <c r="F719" s="5">
        <v>15010.46</v>
      </c>
      <c r="G719" s="5">
        <v>16564.78</v>
      </c>
    </row>
    <row r="720" spans="1:7" ht="15" customHeight="1" x14ac:dyDescent="0.3">
      <c r="A720" s="5" t="s">
        <v>336</v>
      </c>
      <c r="B720" s="5" t="s">
        <v>11</v>
      </c>
      <c r="C720" s="5" t="s">
        <v>76</v>
      </c>
      <c r="D720" s="5" t="s">
        <v>36</v>
      </c>
      <c r="E720" s="5">
        <v>9</v>
      </c>
      <c r="F720" s="5">
        <v>6802.24</v>
      </c>
      <c r="G720" s="5">
        <v>6751.44</v>
      </c>
    </row>
    <row r="721" spans="1:7" ht="15" customHeight="1" x14ac:dyDescent="0.3">
      <c r="A721" s="5" t="s">
        <v>337</v>
      </c>
      <c r="B721" s="5" t="s">
        <v>53</v>
      </c>
      <c r="C721" s="5" t="s">
        <v>94</v>
      </c>
      <c r="D721" s="5" t="s">
        <v>65</v>
      </c>
      <c r="E721" s="5">
        <v>5</v>
      </c>
      <c r="F721" s="5">
        <v>7055.45</v>
      </c>
      <c r="G721" s="5">
        <v>7352.41</v>
      </c>
    </row>
    <row r="722" spans="1:7" ht="15" customHeight="1" x14ac:dyDescent="0.3">
      <c r="A722" s="5" t="s">
        <v>337</v>
      </c>
      <c r="B722" s="5" t="s">
        <v>8</v>
      </c>
      <c r="C722" s="5" t="s">
        <v>41</v>
      </c>
      <c r="D722" s="5" t="s">
        <v>103</v>
      </c>
      <c r="E722" s="5">
        <v>10</v>
      </c>
      <c r="F722" s="5">
        <v>7567.35</v>
      </c>
      <c r="G722" s="5">
        <v>6885.3</v>
      </c>
    </row>
    <row r="723" spans="1:7" ht="15" customHeight="1" x14ac:dyDescent="0.3">
      <c r="A723" s="5" t="s">
        <v>337</v>
      </c>
      <c r="B723" s="5" t="s">
        <v>53</v>
      </c>
      <c r="C723" s="5" t="s">
        <v>58</v>
      </c>
      <c r="D723" s="5" t="s">
        <v>72</v>
      </c>
      <c r="E723" s="5">
        <v>8</v>
      </c>
      <c r="F723" s="5">
        <v>3172.93</v>
      </c>
      <c r="G723" s="5">
        <v>2927.84</v>
      </c>
    </row>
    <row r="724" spans="1:7" ht="15" customHeight="1" x14ac:dyDescent="0.3">
      <c r="A724" s="5" t="s">
        <v>338</v>
      </c>
      <c r="B724" s="5" t="s">
        <v>11</v>
      </c>
      <c r="C724" s="5" t="s">
        <v>12</v>
      </c>
      <c r="D724" s="5" t="s">
        <v>91</v>
      </c>
      <c r="E724" s="5">
        <v>7</v>
      </c>
      <c r="F724" s="5">
        <v>2045.12</v>
      </c>
      <c r="G724" s="5">
        <v>2397.19</v>
      </c>
    </row>
    <row r="725" spans="1:7" ht="15" customHeight="1" x14ac:dyDescent="0.3">
      <c r="A725" s="5" t="s">
        <v>338</v>
      </c>
      <c r="B725" s="5" t="s">
        <v>11</v>
      </c>
      <c r="C725" s="5" t="s">
        <v>76</v>
      </c>
      <c r="D725" s="5" t="s">
        <v>30</v>
      </c>
      <c r="E725" s="5">
        <v>10</v>
      </c>
      <c r="F725" s="5">
        <v>5151.58</v>
      </c>
      <c r="G725" s="5">
        <v>4616.49</v>
      </c>
    </row>
    <row r="726" spans="1:7" ht="15" customHeight="1" x14ac:dyDescent="0.3">
      <c r="A726" s="5" t="s">
        <v>338</v>
      </c>
      <c r="B726" s="5" t="s">
        <v>8</v>
      </c>
      <c r="C726" s="5" t="s">
        <v>32</v>
      </c>
      <c r="D726" s="5" t="s">
        <v>39</v>
      </c>
      <c r="E726" s="5">
        <v>2</v>
      </c>
      <c r="F726" s="5">
        <v>359.01</v>
      </c>
      <c r="G726" s="5">
        <v>422.68</v>
      </c>
    </row>
    <row r="727" spans="1:7" ht="15" customHeight="1" x14ac:dyDescent="0.3">
      <c r="A727" s="5" t="s">
        <v>338</v>
      </c>
      <c r="B727" s="5" t="s">
        <v>34</v>
      </c>
      <c r="C727" s="5" t="s">
        <v>35</v>
      </c>
      <c r="D727" s="5" t="s">
        <v>16</v>
      </c>
      <c r="E727" s="5">
        <v>1</v>
      </c>
      <c r="F727" s="5">
        <v>428.79</v>
      </c>
      <c r="G727" s="5">
        <v>423.13</v>
      </c>
    </row>
    <row r="728" spans="1:7" ht="15" customHeight="1" x14ac:dyDescent="0.3">
      <c r="A728" s="5" t="s">
        <v>339</v>
      </c>
      <c r="B728" s="5" t="s">
        <v>34</v>
      </c>
      <c r="C728" s="5" t="s">
        <v>79</v>
      </c>
      <c r="D728" s="5" t="s">
        <v>48</v>
      </c>
      <c r="E728" s="5">
        <v>12</v>
      </c>
      <c r="F728" s="5">
        <v>2678.36</v>
      </c>
      <c r="G728" s="5">
        <v>2819.43</v>
      </c>
    </row>
    <row r="729" spans="1:7" ht="15" customHeight="1" x14ac:dyDescent="0.3">
      <c r="A729" s="5" t="s">
        <v>340</v>
      </c>
      <c r="B729" s="5" t="s">
        <v>11</v>
      </c>
      <c r="C729" s="5" t="s">
        <v>76</v>
      </c>
      <c r="D729" s="5" t="s">
        <v>20</v>
      </c>
      <c r="E729" s="5">
        <v>1</v>
      </c>
      <c r="F729" s="5">
        <v>419.4</v>
      </c>
      <c r="G729" s="5">
        <v>376.89</v>
      </c>
    </row>
    <row r="730" spans="1:7" ht="15" customHeight="1" x14ac:dyDescent="0.3">
      <c r="A730" s="5" t="s">
        <v>340</v>
      </c>
      <c r="B730" s="5" t="s">
        <v>42</v>
      </c>
      <c r="C730" s="5" t="s">
        <v>63</v>
      </c>
      <c r="D730" s="5" t="s">
        <v>33</v>
      </c>
      <c r="E730" s="5">
        <v>10</v>
      </c>
      <c r="F730" s="5">
        <v>15396.01</v>
      </c>
      <c r="G730" s="5">
        <v>18739.45</v>
      </c>
    </row>
    <row r="731" spans="1:7" ht="15" customHeight="1" x14ac:dyDescent="0.3">
      <c r="A731" s="5" t="s">
        <v>340</v>
      </c>
      <c r="B731" s="5" t="s">
        <v>17</v>
      </c>
      <c r="C731" s="5" t="s">
        <v>18</v>
      </c>
      <c r="D731" s="5" t="s">
        <v>20</v>
      </c>
      <c r="E731" s="5">
        <v>12</v>
      </c>
      <c r="F731" s="5">
        <v>5002.3599999999997</v>
      </c>
      <c r="G731" s="5">
        <v>5201.88</v>
      </c>
    </row>
    <row r="732" spans="1:7" ht="15" customHeight="1" x14ac:dyDescent="0.3">
      <c r="A732" s="5" t="s">
        <v>340</v>
      </c>
      <c r="B732" s="5" t="s">
        <v>53</v>
      </c>
      <c r="C732" s="5" t="s">
        <v>71</v>
      </c>
      <c r="D732" s="5" t="s">
        <v>55</v>
      </c>
      <c r="E732" s="5">
        <v>4</v>
      </c>
      <c r="F732" s="5">
        <v>1344.36</v>
      </c>
      <c r="G732" s="5">
        <v>1525.49</v>
      </c>
    </row>
    <row r="733" spans="1:7" ht="15" customHeight="1" x14ac:dyDescent="0.3">
      <c r="A733" s="5" t="s">
        <v>340</v>
      </c>
      <c r="B733" s="5" t="s">
        <v>17</v>
      </c>
      <c r="C733" s="5" t="s">
        <v>19</v>
      </c>
      <c r="D733" s="5" t="s">
        <v>65</v>
      </c>
      <c r="E733" s="5">
        <v>6</v>
      </c>
      <c r="F733" s="5">
        <v>8128.06</v>
      </c>
      <c r="G733" s="5">
        <v>8499.5499999999993</v>
      </c>
    </row>
    <row r="734" spans="1:7" ht="15" customHeight="1" x14ac:dyDescent="0.3">
      <c r="A734" s="5" t="s">
        <v>341</v>
      </c>
      <c r="B734" s="5" t="s">
        <v>17</v>
      </c>
      <c r="C734" s="5" t="s">
        <v>68</v>
      </c>
      <c r="D734" s="5" t="s">
        <v>55</v>
      </c>
      <c r="E734" s="5">
        <v>11</v>
      </c>
      <c r="F734" s="5">
        <v>3647.16</v>
      </c>
      <c r="G734" s="5">
        <v>3370.78</v>
      </c>
    </row>
    <row r="735" spans="1:7" ht="15" customHeight="1" x14ac:dyDescent="0.3">
      <c r="A735" s="5" t="s">
        <v>342</v>
      </c>
      <c r="B735" s="5" t="s">
        <v>11</v>
      </c>
      <c r="C735" s="5" t="s">
        <v>60</v>
      </c>
      <c r="D735" s="5" t="s">
        <v>103</v>
      </c>
      <c r="E735" s="5">
        <v>4</v>
      </c>
      <c r="F735" s="5">
        <v>3305.94</v>
      </c>
      <c r="G735" s="5">
        <v>3398.34</v>
      </c>
    </row>
    <row r="736" spans="1:7" ht="15" customHeight="1" x14ac:dyDescent="0.3">
      <c r="A736" s="5" t="s">
        <v>343</v>
      </c>
      <c r="B736" s="5" t="s">
        <v>11</v>
      </c>
      <c r="C736" s="5" t="s">
        <v>12</v>
      </c>
      <c r="D736" s="5" t="s">
        <v>80</v>
      </c>
      <c r="E736" s="5">
        <v>1</v>
      </c>
      <c r="F736" s="5">
        <v>645.5</v>
      </c>
      <c r="G736" s="5">
        <v>564.12</v>
      </c>
    </row>
    <row r="737" spans="1:7" ht="15" customHeight="1" x14ac:dyDescent="0.3">
      <c r="A737" s="5" t="s">
        <v>343</v>
      </c>
      <c r="B737" s="5" t="s">
        <v>42</v>
      </c>
      <c r="C737" s="5" t="s">
        <v>111</v>
      </c>
      <c r="D737" s="5" t="s">
        <v>13</v>
      </c>
      <c r="E737" s="5">
        <v>4</v>
      </c>
      <c r="F737" s="5">
        <v>2438.14</v>
      </c>
      <c r="G737" s="5">
        <v>2563.59</v>
      </c>
    </row>
    <row r="738" spans="1:7" ht="15" customHeight="1" x14ac:dyDescent="0.3">
      <c r="A738" s="5" t="s">
        <v>343</v>
      </c>
      <c r="B738" s="5" t="s">
        <v>22</v>
      </c>
      <c r="C738" s="5" t="s">
        <v>38</v>
      </c>
      <c r="D738" s="5" t="s">
        <v>69</v>
      </c>
      <c r="E738" s="5">
        <v>6</v>
      </c>
      <c r="F738" s="5">
        <v>2326.92</v>
      </c>
      <c r="G738" s="5">
        <v>1955.22</v>
      </c>
    </row>
    <row r="739" spans="1:7" ht="15" customHeight="1" x14ac:dyDescent="0.3">
      <c r="A739" s="5" t="s">
        <v>343</v>
      </c>
      <c r="B739" s="5" t="s">
        <v>53</v>
      </c>
      <c r="C739" s="5" t="s">
        <v>58</v>
      </c>
      <c r="D739" s="5" t="s">
        <v>96</v>
      </c>
      <c r="E739" s="5">
        <v>3</v>
      </c>
      <c r="F739" s="5">
        <v>4143.2</v>
      </c>
      <c r="G739" s="5">
        <v>3865.49</v>
      </c>
    </row>
    <row r="740" spans="1:7" ht="15" customHeight="1" x14ac:dyDescent="0.3">
      <c r="A740" s="5" t="s">
        <v>343</v>
      </c>
      <c r="B740" s="5" t="s">
        <v>17</v>
      </c>
      <c r="C740" s="5" t="s">
        <v>68</v>
      </c>
      <c r="D740" s="5" t="s">
        <v>99</v>
      </c>
      <c r="E740" s="5">
        <v>1</v>
      </c>
      <c r="F740" s="5">
        <v>74.75</v>
      </c>
      <c r="G740" s="5">
        <v>79.430000000000007</v>
      </c>
    </row>
    <row r="741" spans="1:7" ht="15" customHeight="1" x14ac:dyDescent="0.3">
      <c r="A741" s="5" t="s">
        <v>344</v>
      </c>
      <c r="B741" s="5" t="s">
        <v>11</v>
      </c>
      <c r="C741" s="5" t="s">
        <v>12</v>
      </c>
      <c r="D741" s="5" t="s">
        <v>56</v>
      </c>
      <c r="E741" s="5">
        <v>2</v>
      </c>
      <c r="F741" s="5">
        <v>1326.55</v>
      </c>
      <c r="G741" s="5">
        <v>1164.8</v>
      </c>
    </row>
    <row r="742" spans="1:7" ht="15" customHeight="1" x14ac:dyDescent="0.3">
      <c r="A742" s="5" t="s">
        <v>344</v>
      </c>
      <c r="B742" s="5" t="s">
        <v>28</v>
      </c>
      <c r="C742" s="5" t="s">
        <v>66</v>
      </c>
      <c r="D742" s="5" t="s">
        <v>16</v>
      </c>
      <c r="E742" s="5">
        <v>4</v>
      </c>
      <c r="F742" s="5">
        <v>2082.37</v>
      </c>
      <c r="G742" s="5">
        <v>1764.65</v>
      </c>
    </row>
    <row r="743" spans="1:7" ht="15" customHeight="1" x14ac:dyDescent="0.3">
      <c r="A743" s="5" t="s">
        <v>345</v>
      </c>
      <c r="B743" s="5" t="s">
        <v>28</v>
      </c>
      <c r="C743" s="5" t="s">
        <v>66</v>
      </c>
      <c r="D743" s="5" t="s">
        <v>99</v>
      </c>
      <c r="E743" s="5">
        <v>10</v>
      </c>
      <c r="F743" s="5">
        <v>1045.9000000000001</v>
      </c>
      <c r="G743" s="5">
        <v>699.16</v>
      </c>
    </row>
    <row r="744" spans="1:7" ht="15" customHeight="1" x14ac:dyDescent="0.3">
      <c r="A744" s="5" t="s">
        <v>345</v>
      </c>
      <c r="B744" s="5" t="s">
        <v>28</v>
      </c>
      <c r="C744" s="5" t="s">
        <v>29</v>
      </c>
      <c r="D744" s="5" t="s">
        <v>51</v>
      </c>
      <c r="E744" s="5">
        <v>1</v>
      </c>
      <c r="F744" s="5">
        <v>1032.3800000000001</v>
      </c>
      <c r="G744" s="5">
        <v>716.44</v>
      </c>
    </row>
    <row r="745" spans="1:7" ht="15" customHeight="1" x14ac:dyDescent="0.3">
      <c r="A745" s="5" t="s">
        <v>346</v>
      </c>
      <c r="B745" s="5" t="s">
        <v>28</v>
      </c>
      <c r="C745" s="5" t="s">
        <v>29</v>
      </c>
      <c r="D745" s="5" t="s">
        <v>39</v>
      </c>
      <c r="E745" s="5">
        <v>1</v>
      </c>
      <c r="F745" s="5">
        <v>255.19</v>
      </c>
      <c r="G745" s="5">
        <v>189.88</v>
      </c>
    </row>
    <row r="746" spans="1:7" ht="15" customHeight="1" x14ac:dyDescent="0.3">
      <c r="A746" s="5" t="s">
        <v>346</v>
      </c>
      <c r="B746" s="5" t="s">
        <v>17</v>
      </c>
      <c r="C746" s="5" t="s">
        <v>19</v>
      </c>
      <c r="D746" s="5" t="s">
        <v>13</v>
      </c>
      <c r="E746" s="5">
        <v>6</v>
      </c>
      <c r="F746" s="5">
        <v>4900.32</v>
      </c>
      <c r="G746" s="5">
        <v>3701.75</v>
      </c>
    </row>
    <row r="747" spans="1:7" ht="15" customHeight="1" x14ac:dyDescent="0.3">
      <c r="A747" s="5" t="s">
        <v>346</v>
      </c>
      <c r="B747" s="5" t="s">
        <v>42</v>
      </c>
      <c r="C747" s="5" t="s">
        <v>111</v>
      </c>
      <c r="D747" s="5" t="s">
        <v>65</v>
      </c>
      <c r="E747" s="5">
        <v>11</v>
      </c>
      <c r="F747" s="5">
        <v>20020.79</v>
      </c>
      <c r="G747" s="5">
        <v>14930.31</v>
      </c>
    </row>
    <row r="748" spans="1:7" ht="15" customHeight="1" x14ac:dyDescent="0.3">
      <c r="A748" s="5" t="s">
        <v>346</v>
      </c>
      <c r="B748" s="5" t="s">
        <v>22</v>
      </c>
      <c r="C748" s="5" t="s">
        <v>123</v>
      </c>
      <c r="D748" s="5" t="s">
        <v>48</v>
      </c>
      <c r="E748" s="5">
        <v>4</v>
      </c>
      <c r="F748" s="5">
        <v>1270.75</v>
      </c>
      <c r="G748" s="5">
        <v>801.32</v>
      </c>
    </row>
    <row r="749" spans="1:7" ht="15" customHeight="1" x14ac:dyDescent="0.3">
      <c r="A749" s="5" t="s">
        <v>347</v>
      </c>
      <c r="B749" s="5" t="s">
        <v>11</v>
      </c>
      <c r="C749" s="5" t="s">
        <v>12</v>
      </c>
      <c r="D749" s="5" t="s">
        <v>10</v>
      </c>
      <c r="E749" s="5">
        <v>8</v>
      </c>
      <c r="F749" s="5">
        <v>11717.16</v>
      </c>
      <c r="G749" s="5">
        <v>7408.62</v>
      </c>
    </row>
    <row r="750" spans="1:7" ht="15" customHeight="1" x14ac:dyDescent="0.3">
      <c r="A750" s="5" t="s">
        <v>347</v>
      </c>
      <c r="B750" s="5" t="s">
        <v>11</v>
      </c>
      <c r="C750" s="5" t="s">
        <v>76</v>
      </c>
      <c r="D750" s="5" t="s">
        <v>55</v>
      </c>
      <c r="E750" s="5">
        <v>1</v>
      </c>
      <c r="F750" s="5">
        <v>473.78</v>
      </c>
      <c r="G750" s="5">
        <v>336.56</v>
      </c>
    </row>
    <row r="751" spans="1:7" ht="15" customHeight="1" x14ac:dyDescent="0.3">
      <c r="A751" s="5" t="s">
        <v>348</v>
      </c>
      <c r="B751" s="5" t="s">
        <v>34</v>
      </c>
      <c r="C751" s="5" t="s">
        <v>75</v>
      </c>
      <c r="D751" s="5" t="s">
        <v>55</v>
      </c>
      <c r="E751" s="5">
        <v>8</v>
      </c>
      <c r="F751" s="5">
        <v>3764.54</v>
      </c>
      <c r="G751" s="5">
        <v>3052.59</v>
      </c>
    </row>
    <row r="752" spans="1:7" ht="15" customHeight="1" x14ac:dyDescent="0.3">
      <c r="A752" s="5" t="s">
        <v>348</v>
      </c>
      <c r="B752" s="5" t="s">
        <v>8</v>
      </c>
      <c r="C752" s="5" t="s">
        <v>126</v>
      </c>
      <c r="D752" s="5" t="s">
        <v>49</v>
      </c>
      <c r="E752" s="5">
        <v>9</v>
      </c>
      <c r="F752" s="5">
        <v>4839.1400000000003</v>
      </c>
      <c r="G752" s="5">
        <v>3572.05</v>
      </c>
    </row>
    <row r="753" spans="1:7" ht="15" customHeight="1" x14ac:dyDescent="0.3">
      <c r="A753" s="5" t="s">
        <v>348</v>
      </c>
      <c r="B753" s="5" t="s">
        <v>53</v>
      </c>
      <c r="C753" s="5" t="s">
        <v>71</v>
      </c>
      <c r="D753" s="5" t="s">
        <v>96</v>
      </c>
      <c r="E753" s="5">
        <v>11</v>
      </c>
      <c r="F753" s="5">
        <v>22133.7</v>
      </c>
      <c r="G753" s="5">
        <v>17966.939999999999</v>
      </c>
    </row>
    <row r="754" spans="1:7" ht="15" customHeight="1" x14ac:dyDescent="0.3">
      <c r="A754" s="5" t="s">
        <v>348</v>
      </c>
      <c r="B754" s="5" t="s">
        <v>42</v>
      </c>
      <c r="C754" s="5" t="s">
        <v>43</v>
      </c>
      <c r="D754" s="5" t="s">
        <v>39</v>
      </c>
      <c r="E754" s="5">
        <v>11</v>
      </c>
      <c r="F754" s="5">
        <v>2752.06</v>
      </c>
      <c r="G754" s="5">
        <v>2322.73</v>
      </c>
    </row>
    <row r="755" spans="1:7" ht="15" customHeight="1" x14ac:dyDescent="0.3">
      <c r="A755" s="5" t="s">
        <v>349</v>
      </c>
      <c r="B755" s="5" t="s">
        <v>17</v>
      </c>
      <c r="C755" s="5" t="s">
        <v>68</v>
      </c>
      <c r="D755" s="5" t="s">
        <v>56</v>
      </c>
      <c r="E755" s="5">
        <v>4</v>
      </c>
      <c r="F755" s="5">
        <v>2652.76</v>
      </c>
      <c r="G755" s="5">
        <v>2334.48</v>
      </c>
    </row>
    <row r="756" spans="1:7" ht="15" customHeight="1" x14ac:dyDescent="0.3">
      <c r="A756" s="5" t="s">
        <v>350</v>
      </c>
      <c r="B756" s="5" t="s">
        <v>42</v>
      </c>
      <c r="C756" s="5" t="s">
        <v>43</v>
      </c>
      <c r="D756" s="5" t="s">
        <v>49</v>
      </c>
      <c r="E756" s="5">
        <v>4</v>
      </c>
      <c r="F756" s="5">
        <v>2124.12</v>
      </c>
      <c r="G756" s="5">
        <v>1690.65</v>
      </c>
    </row>
    <row r="757" spans="1:7" ht="15" customHeight="1" x14ac:dyDescent="0.3">
      <c r="A757" s="5" t="s">
        <v>350</v>
      </c>
      <c r="B757" s="5" t="s">
        <v>28</v>
      </c>
      <c r="C757" s="5" t="s">
        <v>29</v>
      </c>
      <c r="D757" s="5" t="s">
        <v>80</v>
      </c>
      <c r="E757" s="5">
        <v>7</v>
      </c>
      <c r="F757" s="5">
        <v>6277.25</v>
      </c>
      <c r="G757" s="5">
        <v>4543.68</v>
      </c>
    </row>
    <row r="758" spans="1:7" ht="15" customHeight="1" x14ac:dyDescent="0.3">
      <c r="A758" s="5" t="s">
        <v>351</v>
      </c>
      <c r="B758" s="5" t="s">
        <v>34</v>
      </c>
      <c r="C758" s="5" t="s">
        <v>79</v>
      </c>
      <c r="D758" s="5" t="s">
        <v>97</v>
      </c>
      <c r="E758" s="5">
        <v>9</v>
      </c>
      <c r="F758" s="5">
        <v>10365.129999999999</v>
      </c>
      <c r="G758" s="5">
        <v>7828.8</v>
      </c>
    </row>
    <row r="759" spans="1:7" ht="15" customHeight="1" x14ac:dyDescent="0.3">
      <c r="A759" s="5" t="s">
        <v>351</v>
      </c>
      <c r="B759" s="5" t="s">
        <v>17</v>
      </c>
      <c r="C759" s="5" t="s">
        <v>19</v>
      </c>
      <c r="D759" s="5" t="s">
        <v>20</v>
      </c>
      <c r="E759" s="5">
        <v>10</v>
      </c>
      <c r="F759" s="5">
        <v>6017.39</v>
      </c>
      <c r="G759" s="5">
        <v>3743.5</v>
      </c>
    </row>
    <row r="760" spans="1:7" ht="15" customHeight="1" x14ac:dyDescent="0.3">
      <c r="A760" s="5" t="s">
        <v>351</v>
      </c>
      <c r="B760" s="5" t="s">
        <v>11</v>
      </c>
      <c r="C760" s="5" t="s">
        <v>12</v>
      </c>
      <c r="D760" s="5" t="s">
        <v>20</v>
      </c>
      <c r="E760" s="5">
        <v>4</v>
      </c>
      <c r="F760" s="5">
        <v>2067.1799999999998</v>
      </c>
      <c r="G760" s="5">
        <v>1618.49</v>
      </c>
    </row>
    <row r="761" spans="1:7" ht="15" customHeight="1" x14ac:dyDescent="0.3">
      <c r="A761" s="5" t="s">
        <v>351</v>
      </c>
      <c r="B761" s="5" t="s">
        <v>8</v>
      </c>
      <c r="C761" s="5" t="s">
        <v>37</v>
      </c>
      <c r="D761" s="5" t="s">
        <v>56</v>
      </c>
      <c r="E761" s="5">
        <v>3</v>
      </c>
      <c r="F761" s="5">
        <v>2220.52</v>
      </c>
      <c r="G761" s="5">
        <v>1338.53</v>
      </c>
    </row>
    <row r="762" spans="1:7" ht="15" customHeight="1" x14ac:dyDescent="0.3">
      <c r="A762" s="5" t="s">
        <v>352</v>
      </c>
      <c r="B762" s="5" t="s">
        <v>34</v>
      </c>
      <c r="C762" s="5" t="s">
        <v>79</v>
      </c>
      <c r="D762" s="5" t="s">
        <v>72</v>
      </c>
      <c r="E762" s="5">
        <v>12</v>
      </c>
      <c r="F762" s="5">
        <v>5659.24</v>
      </c>
      <c r="G762" s="5">
        <v>5334.79</v>
      </c>
    </row>
    <row r="763" spans="1:7" ht="15" customHeight="1" x14ac:dyDescent="0.3">
      <c r="A763" s="5" t="s">
        <v>352</v>
      </c>
      <c r="B763" s="5" t="s">
        <v>34</v>
      </c>
      <c r="C763" s="5" t="s">
        <v>75</v>
      </c>
      <c r="D763" s="5" t="s">
        <v>56</v>
      </c>
      <c r="E763" s="5">
        <v>6</v>
      </c>
      <c r="F763" s="5">
        <v>3786.18</v>
      </c>
      <c r="G763" s="5">
        <v>2957.32</v>
      </c>
    </row>
    <row r="764" spans="1:7" ht="15" customHeight="1" x14ac:dyDescent="0.3">
      <c r="A764" s="5" t="s">
        <v>353</v>
      </c>
      <c r="B764" s="5" t="s">
        <v>53</v>
      </c>
      <c r="C764" s="5" t="s">
        <v>58</v>
      </c>
      <c r="D764" s="5" t="s">
        <v>10</v>
      </c>
      <c r="E764" s="5">
        <v>12</v>
      </c>
      <c r="F764" s="5">
        <v>14969.99</v>
      </c>
      <c r="G764" s="5">
        <v>14390.55</v>
      </c>
    </row>
    <row r="765" spans="1:7" ht="15" customHeight="1" x14ac:dyDescent="0.3">
      <c r="A765" s="5" t="s">
        <v>354</v>
      </c>
      <c r="B765" s="5" t="s">
        <v>8</v>
      </c>
      <c r="C765" s="5" t="s">
        <v>90</v>
      </c>
      <c r="D765" s="5" t="s">
        <v>91</v>
      </c>
      <c r="E765" s="5">
        <v>7</v>
      </c>
      <c r="F765" s="5">
        <v>2680.88</v>
      </c>
      <c r="G765" s="5">
        <v>2429.33</v>
      </c>
    </row>
    <row r="766" spans="1:7" ht="15" customHeight="1" x14ac:dyDescent="0.3">
      <c r="A766" s="5" t="s">
        <v>354</v>
      </c>
      <c r="B766" s="5" t="s">
        <v>11</v>
      </c>
      <c r="C766" s="5" t="s">
        <v>76</v>
      </c>
      <c r="D766" s="5" t="s">
        <v>72</v>
      </c>
      <c r="E766" s="5">
        <v>8</v>
      </c>
      <c r="F766" s="5">
        <v>4139.1899999999996</v>
      </c>
      <c r="G766" s="5">
        <v>2967.69</v>
      </c>
    </row>
    <row r="767" spans="1:7" ht="15" customHeight="1" x14ac:dyDescent="0.3">
      <c r="A767" s="5" t="s">
        <v>354</v>
      </c>
      <c r="B767" s="5" t="s">
        <v>17</v>
      </c>
      <c r="C767" s="5" t="s">
        <v>19</v>
      </c>
      <c r="D767" s="5" t="s">
        <v>33</v>
      </c>
      <c r="E767" s="5">
        <v>7</v>
      </c>
      <c r="F767" s="5">
        <v>14099.91</v>
      </c>
      <c r="G767" s="5">
        <v>13179.91</v>
      </c>
    </row>
    <row r="768" spans="1:7" ht="15" customHeight="1" x14ac:dyDescent="0.3">
      <c r="A768" s="5" t="s">
        <v>354</v>
      </c>
      <c r="B768" s="5" t="s">
        <v>34</v>
      </c>
      <c r="C768" s="5" t="s">
        <v>79</v>
      </c>
      <c r="D768" s="5" t="s">
        <v>51</v>
      </c>
      <c r="E768" s="5">
        <v>6</v>
      </c>
      <c r="F768" s="5">
        <v>6281.32</v>
      </c>
      <c r="G768" s="5">
        <v>4250.32</v>
      </c>
    </row>
    <row r="769" spans="1:7" ht="15" customHeight="1" x14ac:dyDescent="0.3">
      <c r="A769" s="5" t="s">
        <v>354</v>
      </c>
      <c r="B769" s="5" t="s">
        <v>17</v>
      </c>
      <c r="C769" s="5" t="s">
        <v>19</v>
      </c>
      <c r="D769" s="5" t="s">
        <v>13</v>
      </c>
      <c r="E769" s="5">
        <v>6</v>
      </c>
      <c r="F769" s="5">
        <v>4385.49</v>
      </c>
      <c r="G769" s="5">
        <v>3728.91</v>
      </c>
    </row>
    <row r="770" spans="1:7" ht="15" customHeight="1" x14ac:dyDescent="0.3">
      <c r="A770" s="5" t="s">
        <v>354</v>
      </c>
      <c r="B770" s="5" t="s">
        <v>42</v>
      </c>
      <c r="C770" s="5" t="s">
        <v>47</v>
      </c>
      <c r="D770" s="5" t="s">
        <v>44</v>
      </c>
      <c r="E770" s="5">
        <v>10</v>
      </c>
      <c r="F770" s="5">
        <v>3493.53</v>
      </c>
      <c r="G770" s="5">
        <v>2527.39</v>
      </c>
    </row>
    <row r="771" spans="1:7" ht="15" customHeight="1" x14ac:dyDescent="0.3">
      <c r="A771" s="5" t="s">
        <v>354</v>
      </c>
      <c r="B771" s="5" t="s">
        <v>42</v>
      </c>
      <c r="C771" s="5" t="s">
        <v>63</v>
      </c>
      <c r="D771" s="5" t="s">
        <v>72</v>
      </c>
      <c r="E771" s="5">
        <v>9</v>
      </c>
      <c r="F771" s="5">
        <v>5082.8500000000004</v>
      </c>
      <c r="G771" s="5">
        <v>3342.57</v>
      </c>
    </row>
    <row r="772" spans="1:7" ht="15" customHeight="1" x14ac:dyDescent="0.3">
      <c r="A772" s="5" t="s">
        <v>354</v>
      </c>
      <c r="B772" s="5" t="s">
        <v>8</v>
      </c>
      <c r="C772" s="5" t="s">
        <v>9</v>
      </c>
      <c r="D772" s="5" t="s">
        <v>26</v>
      </c>
      <c r="E772" s="5">
        <v>7</v>
      </c>
      <c r="F772" s="5">
        <v>2212.13</v>
      </c>
      <c r="G772" s="5">
        <v>1712.8</v>
      </c>
    </row>
    <row r="773" spans="1:7" ht="15" customHeight="1" x14ac:dyDescent="0.3">
      <c r="A773" s="5" t="s">
        <v>354</v>
      </c>
      <c r="B773" s="5" t="s">
        <v>53</v>
      </c>
      <c r="C773" s="5" t="s">
        <v>58</v>
      </c>
      <c r="D773" s="5" t="s">
        <v>97</v>
      </c>
      <c r="E773" s="5">
        <v>10</v>
      </c>
      <c r="F773" s="5">
        <v>10876.72</v>
      </c>
      <c r="G773" s="5">
        <v>8587.94</v>
      </c>
    </row>
    <row r="774" spans="1:7" ht="15" customHeight="1" x14ac:dyDescent="0.3">
      <c r="A774" s="5" t="s">
        <v>355</v>
      </c>
      <c r="B774" s="5" t="s">
        <v>28</v>
      </c>
      <c r="C774" s="5" t="s">
        <v>29</v>
      </c>
      <c r="D774" s="5" t="s">
        <v>39</v>
      </c>
      <c r="E774" s="5">
        <v>5</v>
      </c>
      <c r="F774" s="5">
        <v>1333.26</v>
      </c>
      <c r="G774" s="5">
        <v>996.91</v>
      </c>
    </row>
    <row r="775" spans="1:7" ht="15" customHeight="1" x14ac:dyDescent="0.3">
      <c r="A775" s="5" t="s">
        <v>355</v>
      </c>
      <c r="B775" s="5" t="s">
        <v>22</v>
      </c>
      <c r="C775" s="5" t="s">
        <v>100</v>
      </c>
      <c r="D775" s="5" t="s">
        <v>44</v>
      </c>
      <c r="E775" s="5">
        <v>7</v>
      </c>
      <c r="F775" s="5">
        <v>2640.66</v>
      </c>
      <c r="G775" s="5">
        <v>1840.3</v>
      </c>
    </row>
    <row r="776" spans="1:7" ht="15" customHeight="1" x14ac:dyDescent="0.3">
      <c r="A776" s="5" t="s">
        <v>355</v>
      </c>
      <c r="B776" s="5" t="s">
        <v>8</v>
      </c>
      <c r="C776" s="5" t="s">
        <v>90</v>
      </c>
      <c r="D776" s="5" t="s">
        <v>51</v>
      </c>
      <c r="E776" s="5">
        <v>9</v>
      </c>
      <c r="F776" s="5">
        <v>10141.280000000001</v>
      </c>
      <c r="G776" s="5">
        <v>7342.37</v>
      </c>
    </row>
    <row r="777" spans="1:7" ht="15" customHeight="1" x14ac:dyDescent="0.3">
      <c r="A777" s="5" t="s">
        <v>355</v>
      </c>
      <c r="B777" s="5" t="s">
        <v>17</v>
      </c>
      <c r="C777" s="5" t="s">
        <v>19</v>
      </c>
      <c r="D777" s="5" t="s">
        <v>65</v>
      </c>
      <c r="E777" s="5">
        <v>7</v>
      </c>
      <c r="F777" s="5">
        <v>14843.94</v>
      </c>
      <c r="G777" s="5">
        <v>10471.780000000001</v>
      </c>
    </row>
    <row r="778" spans="1:7" ht="15" customHeight="1" x14ac:dyDescent="0.3">
      <c r="A778" s="5" t="s">
        <v>356</v>
      </c>
      <c r="B778" s="5" t="s">
        <v>17</v>
      </c>
      <c r="C778" s="5" t="s">
        <v>18</v>
      </c>
      <c r="D778" s="5" t="s">
        <v>96</v>
      </c>
      <c r="E778" s="5">
        <v>1</v>
      </c>
      <c r="F778" s="5">
        <v>1994.87</v>
      </c>
      <c r="G778" s="5">
        <v>1455.45</v>
      </c>
    </row>
    <row r="779" spans="1:7" ht="15" customHeight="1" x14ac:dyDescent="0.3">
      <c r="A779" s="5" t="s">
        <v>356</v>
      </c>
      <c r="B779" s="5" t="s">
        <v>42</v>
      </c>
      <c r="C779" s="5" t="s">
        <v>43</v>
      </c>
      <c r="D779" s="5" t="s">
        <v>86</v>
      </c>
      <c r="E779" s="5">
        <v>2</v>
      </c>
      <c r="F779" s="5">
        <v>784.06</v>
      </c>
      <c r="G779" s="5">
        <v>545.01</v>
      </c>
    </row>
    <row r="780" spans="1:7" ht="15" customHeight="1" x14ac:dyDescent="0.3">
      <c r="A780" s="5" t="s">
        <v>356</v>
      </c>
      <c r="B780" s="5" t="s">
        <v>28</v>
      </c>
      <c r="C780" s="5" t="s">
        <v>29</v>
      </c>
      <c r="D780" s="5" t="s">
        <v>24</v>
      </c>
      <c r="E780" s="5">
        <v>10</v>
      </c>
      <c r="F780" s="5">
        <v>6551.28</v>
      </c>
      <c r="G780" s="5">
        <v>5057.5600000000004</v>
      </c>
    </row>
    <row r="781" spans="1:7" ht="15" customHeight="1" x14ac:dyDescent="0.3">
      <c r="A781" s="5" t="s">
        <v>356</v>
      </c>
      <c r="B781" s="5" t="s">
        <v>42</v>
      </c>
      <c r="C781" s="5" t="s">
        <v>85</v>
      </c>
      <c r="D781" s="5" t="s">
        <v>72</v>
      </c>
      <c r="E781" s="5">
        <v>12</v>
      </c>
      <c r="F781" s="5">
        <v>6113.07</v>
      </c>
      <c r="G781" s="5">
        <v>4355.63</v>
      </c>
    </row>
    <row r="782" spans="1:7" ht="15" customHeight="1" x14ac:dyDescent="0.3">
      <c r="A782" s="5" t="s">
        <v>356</v>
      </c>
      <c r="B782" s="5" t="s">
        <v>22</v>
      </c>
      <c r="C782" s="5" t="s">
        <v>100</v>
      </c>
      <c r="D782" s="5" t="s">
        <v>69</v>
      </c>
      <c r="E782" s="5">
        <v>12</v>
      </c>
      <c r="F782" s="5">
        <v>5999.01</v>
      </c>
      <c r="G782" s="5">
        <v>3717.51</v>
      </c>
    </row>
    <row r="783" spans="1:7" ht="15" customHeight="1" x14ac:dyDescent="0.3">
      <c r="A783" s="5" t="s">
        <v>357</v>
      </c>
      <c r="B783" s="5" t="s">
        <v>28</v>
      </c>
      <c r="C783" s="5" t="s">
        <v>66</v>
      </c>
      <c r="D783" s="5" t="s">
        <v>96</v>
      </c>
      <c r="E783" s="5">
        <v>10</v>
      </c>
      <c r="F783" s="5">
        <v>20031.57</v>
      </c>
      <c r="G783" s="5">
        <v>15456.16</v>
      </c>
    </row>
    <row r="784" spans="1:7" ht="15" customHeight="1" x14ac:dyDescent="0.3">
      <c r="A784" s="5" t="s">
        <v>357</v>
      </c>
      <c r="B784" s="5" t="s">
        <v>17</v>
      </c>
      <c r="C784" s="5" t="s">
        <v>18</v>
      </c>
      <c r="D784" s="5" t="s">
        <v>72</v>
      </c>
      <c r="E784" s="5">
        <v>7</v>
      </c>
      <c r="F784" s="5">
        <v>3938.82</v>
      </c>
      <c r="G784" s="5">
        <v>3085.58</v>
      </c>
    </row>
    <row r="785" spans="1:7" ht="15" customHeight="1" x14ac:dyDescent="0.3">
      <c r="A785" s="5" t="s">
        <v>357</v>
      </c>
      <c r="B785" s="5" t="s">
        <v>34</v>
      </c>
      <c r="C785" s="5" t="s">
        <v>35</v>
      </c>
      <c r="D785" s="5" t="s">
        <v>96</v>
      </c>
      <c r="E785" s="5">
        <v>9</v>
      </c>
      <c r="F785" s="5">
        <v>17564.09</v>
      </c>
      <c r="G785" s="5">
        <v>13846.14</v>
      </c>
    </row>
    <row r="786" spans="1:7" ht="15" customHeight="1" x14ac:dyDescent="0.3">
      <c r="A786" s="5" t="s">
        <v>357</v>
      </c>
      <c r="B786" s="5" t="s">
        <v>17</v>
      </c>
      <c r="C786" s="5" t="s">
        <v>68</v>
      </c>
      <c r="D786" s="5" t="s">
        <v>86</v>
      </c>
      <c r="E786" s="5">
        <v>11</v>
      </c>
      <c r="F786" s="5">
        <v>4537.17</v>
      </c>
      <c r="G786" s="5">
        <v>2990.03</v>
      </c>
    </row>
    <row r="787" spans="1:7" ht="15" customHeight="1" x14ac:dyDescent="0.3">
      <c r="A787" s="5" t="s">
        <v>357</v>
      </c>
      <c r="B787" s="5" t="s">
        <v>17</v>
      </c>
      <c r="C787" s="5" t="s">
        <v>19</v>
      </c>
      <c r="D787" s="5" t="s">
        <v>65</v>
      </c>
      <c r="E787" s="5">
        <v>11</v>
      </c>
      <c r="F787" s="5">
        <v>19791.689999999999</v>
      </c>
      <c r="G787" s="5">
        <v>16389.53</v>
      </c>
    </row>
    <row r="788" spans="1:7" ht="15" customHeight="1" x14ac:dyDescent="0.3">
      <c r="A788" s="5" t="s">
        <v>357</v>
      </c>
      <c r="B788" s="5" t="s">
        <v>17</v>
      </c>
      <c r="C788" s="5" t="s">
        <v>68</v>
      </c>
      <c r="D788" s="5" t="s">
        <v>96</v>
      </c>
      <c r="E788" s="5">
        <v>6</v>
      </c>
      <c r="F788" s="5">
        <v>11597.78</v>
      </c>
      <c r="G788" s="5">
        <v>7754.02</v>
      </c>
    </row>
    <row r="789" spans="1:7" ht="15" customHeight="1" x14ac:dyDescent="0.3">
      <c r="A789" s="5" t="s">
        <v>358</v>
      </c>
      <c r="B789" s="5" t="s">
        <v>34</v>
      </c>
      <c r="C789" s="5" t="s">
        <v>75</v>
      </c>
      <c r="D789" s="5" t="s">
        <v>20</v>
      </c>
      <c r="E789" s="5">
        <v>5</v>
      </c>
      <c r="F789" s="5">
        <v>2689.55</v>
      </c>
      <c r="G789" s="5">
        <v>1991.92</v>
      </c>
    </row>
    <row r="790" spans="1:7" ht="15" customHeight="1" x14ac:dyDescent="0.3">
      <c r="A790" s="5" t="s">
        <v>359</v>
      </c>
      <c r="B790" s="5" t="s">
        <v>53</v>
      </c>
      <c r="C790" s="5" t="s">
        <v>94</v>
      </c>
      <c r="D790" s="5" t="s">
        <v>113</v>
      </c>
      <c r="E790" s="5">
        <v>7</v>
      </c>
      <c r="F790" s="5">
        <v>3105.16</v>
      </c>
      <c r="G790" s="5">
        <v>2428.15</v>
      </c>
    </row>
    <row r="791" spans="1:7" ht="15" customHeight="1" x14ac:dyDescent="0.3">
      <c r="A791" s="5" t="s">
        <v>359</v>
      </c>
      <c r="B791" s="5" t="s">
        <v>22</v>
      </c>
      <c r="C791" s="5" t="s">
        <v>23</v>
      </c>
      <c r="D791" s="5" t="s">
        <v>72</v>
      </c>
      <c r="E791" s="5">
        <v>8</v>
      </c>
      <c r="F791" s="5">
        <v>3960.22</v>
      </c>
      <c r="G791" s="5">
        <v>3436.33</v>
      </c>
    </row>
    <row r="792" spans="1:7" ht="15" customHeight="1" x14ac:dyDescent="0.3">
      <c r="A792" s="5" t="s">
        <v>359</v>
      </c>
      <c r="B792" s="5" t="s">
        <v>34</v>
      </c>
      <c r="C792" s="5" t="s">
        <v>35</v>
      </c>
      <c r="D792" s="5" t="s">
        <v>55</v>
      </c>
      <c r="E792" s="5">
        <v>12</v>
      </c>
      <c r="F792" s="5">
        <v>5110.82</v>
      </c>
      <c r="G792" s="5">
        <v>4756.53</v>
      </c>
    </row>
    <row r="793" spans="1:7" ht="15" customHeight="1" x14ac:dyDescent="0.3">
      <c r="A793" s="5" t="s">
        <v>359</v>
      </c>
      <c r="B793" s="5" t="s">
        <v>17</v>
      </c>
      <c r="C793" s="5" t="s">
        <v>68</v>
      </c>
      <c r="D793" s="5" t="s">
        <v>20</v>
      </c>
      <c r="E793" s="5">
        <v>8</v>
      </c>
      <c r="F793" s="5">
        <v>4173.38</v>
      </c>
      <c r="G793" s="5">
        <v>3619.71</v>
      </c>
    </row>
    <row r="794" spans="1:7" ht="15" customHeight="1" x14ac:dyDescent="0.3">
      <c r="A794" s="5" t="s">
        <v>360</v>
      </c>
      <c r="B794" s="5" t="s">
        <v>22</v>
      </c>
      <c r="C794" s="5" t="s">
        <v>25</v>
      </c>
      <c r="D794" s="5" t="s">
        <v>39</v>
      </c>
      <c r="E794" s="5">
        <v>1</v>
      </c>
      <c r="F794" s="5">
        <v>254.88</v>
      </c>
      <c r="G794" s="5">
        <v>194.37</v>
      </c>
    </row>
    <row r="795" spans="1:7" ht="15" customHeight="1" x14ac:dyDescent="0.3">
      <c r="A795" s="5" t="s">
        <v>360</v>
      </c>
      <c r="B795" s="5" t="s">
        <v>17</v>
      </c>
      <c r="C795" s="5" t="s">
        <v>18</v>
      </c>
      <c r="D795" s="5" t="s">
        <v>97</v>
      </c>
      <c r="E795" s="5">
        <v>11</v>
      </c>
      <c r="F795" s="5">
        <v>12675.33</v>
      </c>
      <c r="G795" s="5">
        <v>9436.08</v>
      </c>
    </row>
    <row r="796" spans="1:7" ht="15" customHeight="1" x14ac:dyDescent="0.3">
      <c r="A796" s="5" t="s">
        <v>360</v>
      </c>
      <c r="B796" s="5" t="s">
        <v>53</v>
      </c>
      <c r="C796" s="5" t="s">
        <v>94</v>
      </c>
      <c r="D796" s="5" t="s">
        <v>129</v>
      </c>
      <c r="E796" s="5">
        <v>10</v>
      </c>
      <c r="F796" s="5">
        <v>5835.81</v>
      </c>
      <c r="G796" s="5">
        <v>4799.34</v>
      </c>
    </row>
    <row r="797" spans="1:7" ht="15" customHeight="1" x14ac:dyDescent="0.3">
      <c r="A797" s="5" t="s">
        <v>361</v>
      </c>
      <c r="B797" s="5" t="s">
        <v>34</v>
      </c>
      <c r="C797" s="5" t="s">
        <v>75</v>
      </c>
      <c r="D797" s="5" t="s">
        <v>99</v>
      </c>
      <c r="E797" s="5">
        <v>9</v>
      </c>
      <c r="F797" s="5">
        <v>952.46</v>
      </c>
      <c r="G797" s="5">
        <v>614.07000000000005</v>
      </c>
    </row>
    <row r="798" spans="1:7" ht="15" customHeight="1" x14ac:dyDescent="0.3">
      <c r="A798" s="5" t="s">
        <v>362</v>
      </c>
      <c r="B798" s="5" t="s">
        <v>34</v>
      </c>
      <c r="C798" s="5" t="s">
        <v>75</v>
      </c>
      <c r="D798" s="5" t="s">
        <v>48</v>
      </c>
      <c r="E798" s="5">
        <v>4</v>
      </c>
      <c r="F798" s="5">
        <v>1153.53</v>
      </c>
      <c r="G798" s="5">
        <v>872.89</v>
      </c>
    </row>
    <row r="799" spans="1:7" ht="15" customHeight="1" x14ac:dyDescent="0.3">
      <c r="A799" s="5" t="s">
        <v>362</v>
      </c>
      <c r="B799" s="5" t="s">
        <v>17</v>
      </c>
      <c r="C799" s="5" t="s">
        <v>19</v>
      </c>
      <c r="D799" s="5" t="s">
        <v>82</v>
      </c>
      <c r="E799" s="5">
        <v>6</v>
      </c>
      <c r="F799" s="5">
        <v>6081.45</v>
      </c>
      <c r="G799" s="5">
        <v>4540.07</v>
      </c>
    </row>
    <row r="800" spans="1:7" ht="15" customHeight="1" x14ac:dyDescent="0.3">
      <c r="A800" s="5" t="s">
        <v>362</v>
      </c>
      <c r="B800" s="5" t="s">
        <v>42</v>
      </c>
      <c r="C800" s="5" t="s">
        <v>47</v>
      </c>
      <c r="D800" s="5" t="s">
        <v>24</v>
      </c>
      <c r="E800" s="5">
        <v>1</v>
      </c>
      <c r="F800" s="5">
        <v>612.79999999999995</v>
      </c>
      <c r="G800" s="5">
        <v>422.63</v>
      </c>
    </row>
    <row r="801" spans="1:7" ht="15" customHeight="1" x14ac:dyDescent="0.3">
      <c r="A801" s="5" t="s">
        <v>362</v>
      </c>
      <c r="B801" s="5" t="s">
        <v>53</v>
      </c>
      <c r="C801" s="5" t="s">
        <v>94</v>
      </c>
      <c r="D801" s="5" t="s">
        <v>55</v>
      </c>
      <c r="E801" s="5">
        <v>7</v>
      </c>
      <c r="F801" s="5">
        <v>3203.58</v>
      </c>
      <c r="G801" s="5">
        <v>2455.3000000000002</v>
      </c>
    </row>
    <row r="802" spans="1:7" ht="15" customHeight="1" x14ac:dyDescent="0.3">
      <c r="A802" s="5" t="s">
        <v>362</v>
      </c>
      <c r="B802" s="5" t="s">
        <v>53</v>
      </c>
      <c r="C802" s="5" t="s">
        <v>94</v>
      </c>
      <c r="D802" s="5" t="s">
        <v>30</v>
      </c>
      <c r="E802" s="5">
        <v>9</v>
      </c>
      <c r="F802" s="5">
        <v>5150.8900000000003</v>
      </c>
      <c r="G802" s="5">
        <v>4289.3</v>
      </c>
    </row>
    <row r="803" spans="1:7" ht="15" customHeight="1" x14ac:dyDescent="0.3">
      <c r="A803" s="5" t="s">
        <v>362</v>
      </c>
      <c r="B803" s="5" t="s">
        <v>11</v>
      </c>
      <c r="C803" s="5" t="s">
        <v>60</v>
      </c>
      <c r="D803" s="5" t="s">
        <v>80</v>
      </c>
      <c r="E803" s="5">
        <v>2</v>
      </c>
      <c r="F803" s="5">
        <v>1785.91</v>
      </c>
      <c r="G803" s="5">
        <v>1163.42</v>
      </c>
    </row>
    <row r="804" spans="1:7" ht="15" customHeight="1" x14ac:dyDescent="0.3">
      <c r="A804" s="5" t="s">
        <v>363</v>
      </c>
      <c r="B804" s="5" t="s">
        <v>22</v>
      </c>
      <c r="C804" s="5" t="s">
        <v>114</v>
      </c>
      <c r="D804" s="5" t="s">
        <v>33</v>
      </c>
      <c r="E804" s="5">
        <v>7</v>
      </c>
      <c r="F804" s="5">
        <v>13955.04</v>
      </c>
      <c r="G804" s="5">
        <v>11353.48</v>
      </c>
    </row>
    <row r="805" spans="1:7" ht="15" customHeight="1" x14ac:dyDescent="0.3">
      <c r="A805" s="5" t="s">
        <v>364</v>
      </c>
      <c r="B805" s="5" t="s">
        <v>42</v>
      </c>
      <c r="C805" s="5" t="s">
        <v>63</v>
      </c>
      <c r="D805" s="5" t="s">
        <v>91</v>
      </c>
      <c r="E805" s="5">
        <v>4</v>
      </c>
      <c r="F805" s="5">
        <v>1505.26</v>
      </c>
      <c r="G805" s="5">
        <v>1048.47</v>
      </c>
    </row>
    <row r="806" spans="1:7" ht="15" customHeight="1" x14ac:dyDescent="0.3">
      <c r="A806" s="5" t="s">
        <v>364</v>
      </c>
      <c r="B806" s="5" t="s">
        <v>42</v>
      </c>
      <c r="C806" s="5" t="s">
        <v>62</v>
      </c>
      <c r="D806" s="5" t="s">
        <v>96</v>
      </c>
      <c r="E806" s="5">
        <v>7</v>
      </c>
      <c r="F806" s="5">
        <v>13890.53</v>
      </c>
      <c r="G806" s="5">
        <v>8949.1299999999992</v>
      </c>
    </row>
    <row r="807" spans="1:7" ht="15" customHeight="1" x14ac:dyDescent="0.3">
      <c r="A807" s="5" t="s">
        <v>364</v>
      </c>
      <c r="B807" s="5" t="s">
        <v>22</v>
      </c>
      <c r="C807" s="5" t="s">
        <v>78</v>
      </c>
      <c r="D807" s="5" t="s">
        <v>36</v>
      </c>
      <c r="E807" s="5">
        <v>9</v>
      </c>
      <c r="F807" s="5">
        <v>7880.49</v>
      </c>
      <c r="G807" s="5">
        <v>5593.08</v>
      </c>
    </row>
    <row r="808" spans="1:7" ht="15" customHeight="1" x14ac:dyDescent="0.3">
      <c r="A808" s="5" t="s">
        <v>364</v>
      </c>
      <c r="B808" s="5" t="s">
        <v>42</v>
      </c>
      <c r="C808" s="5" t="s">
        <v>47</v>
      </c>
      <c r="D808" s="5" t="s">
        <v>51</v>
      </c>
      <c r="E808" s="5">
        <v>12</v>
      </c>
      <c r="F808" s="5">
        <v>13632.92</v>
      </c>
      <c r="G808" s="5">
        <v>8934.69</v>
      </c>
    </row>
    <row r="809" spans="1:7" ht="15" customHeight="1" x14ac:dyDescent="0.3">
      <c r="A809" s="5" t="s">
        <v>365</v>
      </c>
      <c r="B809" s="5" t="s">
        <v>8</v>
      </c>
      <c r="C809" s="5" t="s">
        <v>41</v>
      </c>
      <c r="D809" s="5" t="s">
        <v>39</v>
      </c>
      <c r="E809" s="5">
        <v>8</v>
      </c>
      <c r="F809" s="5">
        <v>1981.9</v>
      </c>
      <c r="G809" s="5">
        <v>1616.09</v>
      </c>
    </row>
    <row r="810" spans="1:7" ht="15" customHeight="1" x14ac:dyDescent="0.3">
      <c r="A810" s="5" t="s">
        <v>365</v>
      </c>
      <c r="B810" s="5" t="s">
        <v>17</v>
      </c>
      <c r="C810" s="5" t="s">
        <v>19</v>
      </c>
      <c r="D810" s="5" t="s">
        <v>20</v>
      </c>
      <c r="E810" s="5">
        <v>1</v>
      </c>
      <c r="F810" s="5"/>
      <c r="G810" s="5">
        <v>400.05</v>
      </c>
    </row>
    <row r="811" spans="1:7" ht="15" customHeight="1" x14ac:dyDescent="0.3">
      <c r="A811" s="5" t="s">
        <v>365</v>
      </c>
      <c r="B811" s="5" t="s">
        <v>42</v>
      </c>
      <c r="C811" s="5" t="s">
        <v>43</v>
      </c>
      <c r="D811" s="5" t="s">
        <v>30</v>
      </c>
      <c r="E811" s="5">
        <v>5</v>
      </c>
      <c r="F811" s="5">
        <v>3411.6</v>
      </c>
      <c r="G811" s="5">
        <v>2060</v>
      </c>
    </row>
    <row r="812" spans="1:7" ht="15" customHeight="1" x14ac:dyDescent="0.3">
      <c r="A812" s="5" t="s">
        <v>366</v>
      </c>
      <c r="B812" s="5" t="s">
        <v>11</v>
      </c>
      <c r="C812" s="5" t="s">
        <v>15</v>
      </c>
      <c r="D812" s="5" t="s">
        <v>65</v>
      </c>
      <c r="E812" s="5">
        <v>5</v>
      </c>
      <c r="F812" s="5">
        <v>10222.530000000001</v>
      </c>
      <c r="G812" s="5">
        <v>6632.33</v>
      </c>
    </row>
    <row r="813" spans="1:7" ht="15" customHeight="1" x14ac:dyDescent="0.3">
      <c r="A813" s="5" t="s">
        <v>366</v>
      </c>
      <c r="B813" s="5" t="s">
        <v>17</v>
      </c>
      <c r="C813" s="5" t="s">
        <v>18</v>
      </c>
      <c r="D813" s="5" t="s">
        <v>55</v>
      </c>
      <c r="E813" s="5">
        <v>8</v>
      </c>
      <c r="F813" s="5">
        <v>3756.92</v>
      </c>
      <c r="G813" s="5">
        <v>2785.32</v>
      </c>
    </row>
    <row r="814" spans="1:7" ht="15" customHeight="1" x14ac:dyDescent="0.3">
      <c r="A814" s="5" t="s">
        <v>366</v>
      </c>
      <c r="B814" s="5" t="s">
        <v>11</v>
      </c>
      <c r="C814" s="5" t="s">
        <v>76</v>
      </c>
      <c r="D814" s="5" t="s">
        <v>99</v>
      </c>
      <c r="E814" s="5">
        <v>11</v>
      </c>
      <c r="F814" s="5">
        <v>1188.46</v>
      </c>
      <c r="G814" s="5">
        <v>833.17</v>
      </c>
    </row>
    <row r="815" spans="1:7" ht="15" customHeight="1" x14ac:dyDescent="0.3">
      <c r="A815" s="5" t="s">
        <v>367</v>
      </c>
      <c r="B815" s="5" t="s">
        <v>11</v>
      </c>
      <c r="C815" s="5" t="s">
        <v>76</v>
      </c>
      <c r="D815" s="5" t="s">
        <v>99</v>
      </c>
      <c r="E815" s="5">
        <v>8</v>
      </c>
      <c r="F815" s="5">
        <v>739.97</v>
      </c>
      <c r="G815" s="5">
        <v>625.01</v>
      </c>
    </row>
    <row r="816" spans="1:7" ht="15" customHeight="1" x14ac:dyDescent="0.3">
      <c r="A816" s="5" t="s">
        <v>367</v>
      </c>
      <c r="B816" s="5" t="s">
        <v>22</v>
      </c>
      <c r="C816" s="5" t="s">
        <v>38</v>
      </c>
      <c r="D816" s="5" t="s">
        <v>80</v>
      </c>
      <c r="E816" s="5">
        <v>12</v>
      </c>
      <c r="F816" s="5">
        <v>10695.59</v>
      </c>
      <c r="G816" s="5">
        <v>7719.7</v>
      </c>
    </row>
    <row r="817" spans="1:7" ht="15" customHeight="1" x14ac:dyDescent="0.3">
      <c r="A817" s="5" t="s">
        <v>368</v>
      </c>
      <c r="B817" s="5" t="s">
        <v>34</v>
      </c>
      <c r="C817" s="5" t="s">
        <v>35</v>
      </c>
      <c r="D817" s="5" t="s">
        <v>82</v>
      </c>
      <c r="E817" s="5">
        <v>9</v>
      </c>
      <c r="F817" s="5">
        <v>9734.23</v>
      </c>
      <c r="G817" s="5">
        <v>7578.84</v>
      </c>
    </row>
    <row r="818" spans="1:7" ht="15" customHeight="1" x14ac:dyDescent="0.3">
      <c r="A818" s="5" t="s">
        <v>368</v>
      </c>
      <c r="B818" s="5" t="s">
        <v>53</v>
      </c>
      <c r="C818" s="5" t="s">
        <v>54</v>
      </c>
      <c r="D818" s="5" t="s">
        <v>51</v>
      </c>
      <c r="E818" s="5">
        <v>7</v>
      </c>
      <c r="F818" s="5">
        <v>7196.11</v>
      </c>
      <c r="G818" s="5">
        <v>6072.18</v>
      </c>
    </row>
    <row r="819" spans="1:7" ht="15" customHeight="1" x14ac:dyDescent="0.3">
      <c r="A819" s="5" t="s">
        <v>368</v>
      </c>
      <c r="B819" s="5" t="s">
        <v>8</v>
      </c>
      <c r="C819" s="5" t="s">
        <v>90</v>
      </c>
      <c r="D819" s="5" t="s">
        <v>55</v>
      </c>
      <c r="E819" s="5">
        <v>2</v>
      </c>
      <c r="F819" s="5">
        <v>837.91</v>
      </c>
      <c r="G819" s="5">
        <v>621.05999999999995</v>
      </c>
    </row>
    <row r="820" spans="1:7" ht="15" customHeight="1" x14ac:dyDescent="0.3">
      <c r="A820" s="5" t="s">
        <v>368</v>
      </c>
      <c r="B820" s="5" t="s">
        <v>34</v>
      </c>
      <c r="C820" s="5" t="s">
        <v>79</v>
      </c>
      <c r="D820" s="5" t="s">
        <v>91</v>
      </c>
      <c r="E820" s="5">
        <v>5</v>
      </c>
      <c r="F820" s="5">
        <v>2071.46</v>
      </c>
      <c r="G820" s="5">
        <v>1619.19</v>
      </c>
    </row>
    <row r="821" spans="1:7" ht="15" customHeight="1" x14ac:dyDescent="0.3">
      <c r="A821" s="5" t="s">
        <v>369</v>
      </c>
      <c r="B821" s="5" t="s">
        <v>11</v>
      </c>
      <c r="C821" s="5" t="s">
        <v>15</v>
      </c>
      <c r="D821" s="5" t="s">
        <v>96</v>
      </c>
      <c r="E821" s="5">
        <v>10</v>
      </c>
      <c r="F821" s="5">
        <v>18445.82</v>
      </c>
      <c r="G821" s="5">
        <v>14093.26</v>
      </c>
    </row>
    <row r="822" spans="1:7" ht="15" customHeight="1" x14ac:dyDescent="0.3">
      <c r="A822" s="5" t="s">
        <v>369</v>
      </c>
      <c r="B822" s="5" t="s">
        <v>34</v>
      </c>
      <c r="C822" s="5" t="s">
        <v>75</v>
      </c>
      <c r="D822" s="5" t="s">
        <v>10</v>
      </c>
      <c r="E822" s="5">
        <v>2</v>
      </c>
      <c r="F822" s="5">
        <v>3008.78</v>
      </c>
      <c r="G822" s="5">
        <v>2207.3000000000002</v>
      </c>
    </row>
    <row r="823" spans="1:7" ht="15" customHeight="1" x14ac:dyDescent="0.3">
      <c r="A823" s="5" t="s">
        <v>369</v>
      </c>
      <c r="B823" s="5" t="s">
        <v>28</v>
      </c>
      <c r="C823" s="5" t="s">
        <v>29</v>
      </c>
      <c r="D823" s="5" t="s">
        <v>61</v>
      </c>
      <c r="E823" s="5">
        <v>11</v>
      </c>
      <c r="F823" s="5">
        <v>9948.02</v>
      </c>
      <c r="G823" s="5">
        <v>7307.69</v>
      </c>
    </row>
    <row r="824" spans="1:7" ht="15" customHeight="1" x14ac:dyDescent="0.3">
      <c r="A824" s="5" t="s">
        <v>369</v>
      </c>
      <c r="B824" s="5" t="s">
        <v>22</v>
      </c>
      <c r="C824" s="5" t="s">
        <v>23</v>
      </c>
      <c r="D824" s="5" t="s">
        <v>72</v>
      </c>
      <c r="E824" s="5">
        <v>4</v>
      </c>
      <c r="F824" s="5">
        <v>2131.2199999999998</v>
      </c>
      <c r="G824" s="5">
        <v>1679.21</v>
      </c>
    </row>
    <row r="825" spans="1:7" ht="15" customHeight="1" x14ac:dyDescent="0.3">
      <c r="A825" s="5" t="s">
        <v>370</v>
      </c>
      <c r="B825" s="5" t="s">
        <v>17</v>
      </c>
      <c r="C825" s="5" t="s">
        <v>68</v>
      </c>
      <c r="D825" s="5" t="s">
        <v>44</v>
      </c>
      <c r="E825" s="5">
        <v>4</v>
      </c>
      <c r="F825" s="5">
        <v>1514.63</v>
      </c>
      <c r="G825" s="5">
        <v>1045.6400000000001</v>
      </c>
    </row>
    <row r="826" spans="1:7" ht="15" customHeight="1" x14ac:dyDescent="0.3">
      <c r="A826" s="5" t="s">
        <v>370</v>
      </c>
      <c r="B826" s="5" t="s">
        <v>53</v>
      </c>
      <c r="C826" s="5" t="s">
        <v>54</v>
      </c>
      <c r="D826" s="5" t="s">
        <v>26</v>
      </c>
      <c r="E826" s="5">
        <v>3</v>
      </c>
      <c r="F826" s="5">
        <v>844.76</v>
      </c>
      <c r="G826" s="5">
        <v>577.4</v>
      </c>
    </row>
    <row r="827" spans="1:7" ht="15" customHeight="1" x14ac:dyDescent="0.3">
      <c r="A827" s="5" t="s">
        <v>370</v>
      </c>
      <c r="B827" s="5" t="s">
        <v>22</v>
      </c>
      <c r="C827" s="5" t="s">
        <v>23</v>
      </c>
      <c r="D827" s="5" t="s">
        <v>30</v>
      </c>
      <c r="E827" s="5">
        <v>3</v>
      </c>
      <c r="F827" s="5">
        <v>2018.23</v>
      </c>
      <c r="G827" s="5">
        <v>1308.82</v>
      </c>
    </row>
    <row r="828" spans="1:7" ht="15" customHeight="1" x14ac:dyDescent="0.3">
      <c r="A828" s="5" t="s">
        <v>371</v>
      </c>
      <c r="B828" s="5" t="s">
        <v>22</v>
      </c>
      <c r="C828" s="5" t="s">
        <v>38</v>
      </c>
      <c r="D828" s="5" t="s">
        <v>24</v>
      </c>
      <c r="E828" s="5">
        <v>8</v>
      </c>
      <c r="F828" s="5">
        <v>5277.78</v>
      </c>
      <c r="G828" s="5">
        <v>4500.93</v>
      </c>
    </row>
    <row r="829" spans="1:7" ht="15" customHeight="1" x14ac:dyDescent="0.3">
      <c r="A829" s="5" t="s">
        <v>371</v>
      </c>
      <c r="B829" s="5" t="s">
        <v>22</v>
      </c>
      <c r="C829" s="5" t="s">
        <v>123</v>
      </c>
      <c r="D829" s="5" t="s">
        <v>26</v>
      </c>
      <c r="E829" s="5">
        <v>3</v>
      </c>
      <c r="F829" s="5">
        <v>949.06</v>
      </c>
      <c r="G829" s="5">
        <v>716.88</v>
      </c>
    </row>
    <row r="830" spans="1:7" ht="15" customHeight="1" x14ac:dyDescent="0.3">
      <c r="A830" s="5" t="s">
        <v>372</v>
      </c>
      <c r="B830" s="5" t="s">
        <v>42</v>
      </c>
      <c r="C830" s="5" t="s">
        <v>111</v>
      </c>
      <c r="D830" s="5" t="s">
        <v>80</v>
      </c>
      <c r="E830" s="5">
        <v>4</v>
      </c>
      <c r="F830" s="5">
        <v>3227.14</v>
      </c>
      <c r="G830" s="5">
        <v>2447.2800000000002</v>
      </c>
    </row>
    <row r="831" spans="1:7" ht="15" customHeight="1" x14ac:dyDescent="0.3">
      <c r="A831" s="5" t="s">
        <v>372</v>
      </c>
      <c r="B831" s="5" t="s">
        <v>34</v>
      </c>
      <c r="C831" s="5" t="s">
        <v>35</v>
      </c>
      <c r="D831" s="5" t="s">
        <v>65</v>
      </c>
      <c r="E831" s="5">
        <v>10</v>
      </c>
      <c r="F831" s="5">
        <v>18799.23</v>
      </c>
      <c r="G831" s="5">
        <v>13732.7</v>
      </c>
    </row>
    <row r="832" spans="1:7" ht="15" customHeight="1" x14ac:dyDescent="0.3">
      <c r="A832" s="5" t="s">
        <v>372</v>
      </c>
      <c r="B832" s="5" t="s">
        <v>34</v>
      </c>
      <c r="C832" s="5" t="s">
        <v>79</v>
      </c>
      <c r="D832" s="5" t="s">
        <v>72</v>
      </c>
      <c r="E832" s="5">
        <v>2</v>
      </c>
      <c r="F832" s="5">
        <v>1021.88</v>
      </c>
      <c r="G832" s="5">
        <v>724.28</v>
      </c>
    </row>
    <row r="833" spans="1:7" ht="15" customHeight="1" x14ac:dyDescent="0.3">
      <c r="A833" s="5" t="s">
        <v>373</v>
      </c>
      <c r="B833" s="5" t="s">
        <v>8</v>
      </c>
      <c r="C833" s="5" t="s">
        <v>90</v>
      </c>
      <c r="D833" s="5" t="s">
        <v>49</v>
      </c>
      <c r="E833" s="5">
        <v>6</v>
      </c>
      <c r="F833" s="5">
        <v>2926.97</v>
      </c>
      <c r="G833" s="5">
        <v>2397.2399999999998</v>
      </c>
    </row>
    <row r="834" spans="1:7" ht="15" customHeight="1" x14ac:dyDescent="0.3">
      <c r="A834" s="5" t="s">
        <v>373</v>
      </c>
      <c r="B834" s="5" t="s">
        <v>34</v>
      </c>
      <c r="C834" s="5" t="s">
        <v>75</v>
      </c>
      <c r="D834" s="5" t="s">
        <v>99</v>
      </c>
      <c r="E834" s="5">
        <v>8</v>
      </c>
      <c r="F834" s="5">
        <v>758.65</v>
      </c>
      <c r="G834" s="5">
        <v>684.14</v>
      </c>
    </row>
    <row r="835" spans="1:7" ht="15" customHeight="1" x14ac:dyDescent="0.3">
      <c r="A835" s="5" t="s">
        <v>373</v>
      </c>
      <c r="B835" s="5" t="s">
        <v>22</v>
      </c>
      <c r="C835" s="5" t="s">
        <v>123</v>
      </c>
      <c r="D835" s="5" t="s">
        <v>33</v>
      </c>
      <c r="E835" s="5">
        <v>6</v>
      </c>
      <c r="F835" s="5">
        <v>13252.98</v>
      </c>
      <c r="G835" s="5">
        <v>9758.66</v>
      </c>
    </row>
    <row r="836" spans="1:7" ht="15" customHeight="1" x14ac:dyDescent="0.3">
      <c r="A836" s="5" t="s">
        <v>373</v>
      </c>
      <c r="B836" s="5" t="s">
        <v>17</v>
      </c>
      <c r="C836" s="5" t="s">
        <v>68</v>
      </c>
      <c r="D836" s="5" t="s">
        <v>113</v>
      </c>
      <c r="E836" s="5">
        <v>3</v>
      </c>
      <c r="F836" s="5">
        <v>1292.01</v>
      </c>
      <c r="G836" s="5">
        <v>1123.26</v>
      </c>
    </row>
    <row r="837" spans="1:7" ht="15" customHeight="1" x14ac:dyDescent="0.3">
      <c r="A837" s="5" t="s">
        <v>373</v>
      </c>
      <c r="B837" s="5" t="s">
        <v>34</v>
      </c>
      <c r="C837" s="5" t="s">
        <v>35</v>
      </c>
      <c r="D837" s="5" t="s">
        <v>97</v>
      </c>
      <c r="E837" s="5">
        <v>1</v>
      </c>
      <c r="F837" s="5">
        <v>973.69</v>
      </c>
      <c r="G837" s="5">
        <v>707.42</v>
      </c>
    </row>
    <row r="838" spans="1:7" ht="15" customHeight="1" x14ac:dyDescent="0.3">
      <c r="A838" s="5" t="s">
        <v>374</v>
      </c>
      <c r="B838" s="5" t="s">
        <v>22</v>
      </c>
      <c r="C838" s="5" t="s">
        <v>123</v>
      </c>
      <c r="D838" s="5" t="s">
        <v>96</v>
      </c>
      <c r="E838" s="5">
        <v>6</v>
      </c>
      <c r="F838" s="5">
        <v>10584.94</v>
      </c>
      <c r="G838" s="5">
        <v>9083.77</v>
      </c>
    </row>
    <row r="839" spans="1:7" ht="15" customHeight="1" x14ac:dyDescent="0.3">
      <c r="A839" s="5" t="s">
        <v>375</v>
      </c>
      <c r="B839" s="5" t="s">
        <v>28</v>
      </c>
      <c r="C839" s="5" t="s">
        <v>29</v>
      </c>
      <c r="D839" s="5" t="s">
        <v>65</v>
      </c>
      <c r="E839" s="5">
        <v>12</v>
      </c>
      <c r="F839" s="5">
        <v>24654.38</v>
      </c>
      <c r="G839" s="5">
        <v>16115.07</v>
      </c>
    </row>
    <row r="840" spans="1:7" ht="15" customHeight="1" x14ac:dyDescent="0.3">
      <c r="A840" s="5" t="s">
        <v>375</v>
      </c>
      <c r="B840" s="5" t="s">
        <v>53</v>
      </c>
      <c r="C840" s="5" t="s">
        <v>94</v>
      </c>
      <c r="D840" s="5" t="s">
        <v>48</v>
      </c>
      <c r="E840" s="5">
        <v>8</v>
      </c>
      <c r="F840" s="5">
        <v>2257.48</v>
      </c>
      <c r="G840" s="5">
        <v>1864.74</v>
      </c>
    </row>
    <row r="841" spans="1:7" ht="15" customHeight="1" x14ac:dyDescent="0.3">
      <c r="A841" s="5" t="s">
        <v>375</v>
      </c>
      <c r="B841" s="5" t="s">
        <v>8</v>
      </c>
      <c r="C841" s="5" t="s">
        <v>107</v>
      </c>
      <c r="D841" s="5" t="s">
        <v>16</v>
      </c>
      <c r="E841" s="5">
        <v>7</v>
      </c>
      <c r="F841" s="5">
        <v>3564.79</v>
      </c>
      <c r="G841" s="5">
        <v>2483.98</v>
      </c>
    </row>
    <row r="842" spans="1:7" ht="15" customHeight="1" x14ac:dyDescent="0.3">
      <c r="A842" s="5" t="s">
        <v>376</v>
      </c>
      <c r="B842" s="5" t="s">
        <v>28</v>
      </c>
      <c r="C842" s="5" t="s">
        <v>29</v>
      </c>
      <c r="D842" s="5" t="s">
        <v>13</v>
      </c>
      <c r="E842" s="5">
        <v>8</v>
      </c>
      <c r="F842" s="5">
        <v>5832.1</v>
      </c>
      <c r="G842" s="5">
        <v>4253.47</v>
      </c>
    </row>
    <row r="843" spans="1:7" ht="15" customHeight="1" x14ac:dyDescent="0.3">
      <c r="A843" s="5" t="s">
        <v>376</v>
      </c>
      <c r="B843" s="5" t="s">
        <v>22</v>
      </c>
      <c r="C843" s="5" t="s">
        <v>114</v>
      </c>
      <c r="D843" s="5" t="s">
        <v>113</v>
      </c>
      <c r="E843" s="5">
        <v>11</v>
      </c>
      <c r="F843" s="5">
        <v>4644.57</v>
      </c>
      <c r="G843" s="5">
        <v>3835.33</v>
      </c>
    </row>
    <row r="844" spans="1:7" ht="15" customHeight="1" x14ac:dyDescent="0.3">
      <c r="A844" s="5" t="s">
        <v>376</v>
      </c>
      <c r="B844" s="5" t="s">
        <v>22</v>
      </c>
      <c r="C844" s="5" t="s">
        <v>78</v>
      </c>
      <c r="D844" s="5" t="s">
        <v>103</v>
      </c>
      <c r="E844" s="5">
        <v>1</v>
      </c>
      <c r="F844" s="5">
        <v>1131.18</v>
      </c>
      <c r="G844" s="5">
        <v>718.19</v>
      </c>
    </row>
    <row r="845" spans="1:7" ht="15" customHeight="1" x14ac:dyDescent="0.3">
      <c r="A845" s="5" t="s">
        <v>376</v>
      </c>
      <c r="B845" s="5" t="s">
        <v>22</v>
      </c>
      <c r="C845" s="5" t="s">
        <v>38</v>
      </c>
      <c r="D845" s="5" t="s">
        <v>91</v>
      </c>
      <c r="E845" s="5">
        <v>8</v>
      </c>
      <c r="F845" s="5">
        <v>3153.85</v>
      </c>
      <c r="G845" s="5">
        <v>2216.4899999999998</v>
      </c>
    </row>
    <row r="846" spans="1:7" ht="15" customHeight="1" x14ac:dyDescent="0.3">
      <c r="A846" s="5" t="s">
        <v>376</v>
      </c>
      <c r="B846" s="5" t="s">
        <v>17</v>
      </c>
      <c r="C846" s="5" t="s">
        <v>18</v>
      </c>
      <c r="D846" s="5" t="s">
        <v>65</v>
      </c>
      <c r="E846" s="5">
        <v>9</v>
      </c>
      <c r="F846" s="5">
        <v>18633.82</v>
      </c>
      <c r="G846" s="5">
        <v>11535.73</v>
      </c>
    </row>
    <row r="847" spans="1:7" ht="15" customHeight="1" x14ac:dyDescent="0.3">
      <c r="A847" s="5" t="s">
        <v>376</v>
      </c>
      <c r="B847" s="5" t="s">
        <v>11</v>
      </c>
      <c r="C847" s="5" t="s">
        <v>76</v>
      </c>
      <c r="D847" s="5" t="s">
        <v>13</v>
      </c>
      <c r="E847" s="5">
        <v>11</v>
      </c>
      <c r="F847" s="5">
        <v>9629.6299999999992</v>
      </c>
      <c r="G847" s="5">
        <v>7592.97</v>
      </c>
    </row>
    <row r="848" spans="1:7" ht="15" customHeight="1" x14ac:dyDescent="0.3">
      <c r="A848" s="5" t="s">
        <v>377</v>
      </c>
      <c r="B848" s="5" t="s">
        <v>28</v>
      </c>
      <c r="C848" s="5" t="s">
        <v>29</v>
      </c>
      <c r="D848" s="5" t="s">
        <v>10</v>
      </c>
      <c r="E848" s="5">
        <v>1</v>
      </c>
      <c r="F848" s="5">
        <v>1263.02</v>
      </c>
      <c r="G848" s="5">
        <v>1069.96</v>
      </c>
    </row>
    <row r="849" spans="1:7" ht="15" customHeight="1" x14ac:dyDescent="0.3">
      <c r="A849" s="5" t="s">
        <v>377</v>
      </c>
      <c r="B849" s="5" t="s">
        <v>22</v>
      </c>
      <c r="C849" s="5" t="s">
        <v>114</v>
      </c>
      <c r="D849" s="5" t="s">
        <v>91</v>
      </c>
      <c r="E849" s="5">
        <v>3</v>
      </c>
      <c r="F849" s="5">
        <v>1142.3399999999999</v>
      </c>
      <c r="G849" s="5">
        <v>906.27</v>
      </c>
    </row>
    <row r="850" spans="1:7" ht="15" customHeight="1" x14ac:dyDescent="0.3">
      <c r="A850" s="5" t="s">
        <v>378</v>
      </c>
      <c r="B850" s="5" t="s">
        <v>8</v>
      </c>
      <c r="C850" s="5" t="s">
        <v>83</v>
      </c>
      <c r="D850" s="5" t="s">
        <v>39</v>
      </c>
      <c r="E850" s="5">
        <v>8</v>
      </c>
      <c r="F850" s="5">
        <v>2095.2800000000002</v>
      </c>
      <c r="G850" s="5">
        <v>1494.91</v>
      </c>
    </row>
    <row r="851" spans="1:7" ht="15" customHeight="1" x14ac:dyDescent="0.3">
      <c r="A851" s="5" t="s">
        <v>379</v>
      </c>
      <c r="B851" s="5" t="s">
        <v>42</v>
      </c>
      <c r="C851" s="5" t="s">
        <v>62</v>
      </c>
      <c r="D851" s="5" t="s">
        <v>13</v>
      </c>
      <c r="E851" s="5">
        <v>5</v>
      </c>
      <c r="F851" s="5">
        <v>4138.05</v>
      </c>
      <c r="G851" s="5">
        <v>2827.73</v>
      </c>
    </row>
    <row r="852" spans="1:7" ht="15" customHeight="1" x14ac:dyDescent="0.3">
      <c r="A852" s="5" t="s">
        <v>379</v>
      </c>
      <c r="B852" s="5" t="s">
        <v>17</v>
      </c>
      <c r="C852" s="5" t="s">
        <v>68</v>
      </c>
      <c r="D852" s="5" t="s">
        <v>10</v>
      </c>
      <c r="E852" s="5">
        <v>7</v>
      </c>
      <c r="F852" s="5">
        <v>10357.74</v>
      </c>
      <c r="G852" s="5">
        <v>7917.77</v>
      </c>
    </row>
    <row r="853" spans="1:7" ht="15" customHeight="1" x14ac:dyDescent="0.3">
      <c r="A853" s="5" t="s">
        <v>380</v>
      </c>
      <c r="B853" s="5" t="s">
        <v>11</v>
      </c>
      <c r="C853" s="5" t="s">
        <v>15</v>
      </c>
      <c r="D853" s="5" t="s">
        <v>80</v>
      </c>
      <c r="E853" s="5">
        <v>8</v>
      </c>
      <c r="F853" s="5">
        <v>7112.22</v>
      </c>
      <c r="G853" s="5">
        <v>5868.78</v>
      </c>
    </row>
    <row r="854" spans="1:7" ht="15" customHeight="1" x14ac:dyDescent="0.3">
      <c r="A854" s="5" t="s">
        <v>380</v>
      </c>
      <c r="B854" s="5" t="s">
        <v>28</v>
      </c>
      <c r="C854" s="5" t="s">
        <v>29</v>
      </c>
      <c r="D854" s="5" t="s">
        <v>48</v>
      </c>
      <c r="E854" s="5">
        <v>11</v>
      </c>
      <c r="F854" s="5">
        <v>3020.81</v>
      </c>
      <c r="G854" s="5">
        <v>2255.21</v>
      </c>
    </row>
    <row r="855" spans="1:7" ht="15" customHeight="1" x14ac:dyDescent="0.3">
      <c r="A855" s="5" t="s">
        <v>381</v>
      </c>
      <c r="B855" s="5" t="s">
        <v>53</v>
      </c>
      <c r="C855" s="5" t="s">
        <v>93</v>
      </c>
      <c r="D855" s="5" t="s">
        <v>36</v>
      </c>
      <c r="E855" s="5">
        <v>4</v>
      </c>
      <c r="F855" s="5">
        <v>3516.44</v>
      </c>
      <c r="G855" s="5">
        <v>2956.49</v>
      </c>
    </row>
    <row r="856" spans="1:7" ht="15" customHeight="1" x14ac:dyDescent="0.3">
      <c r="A856" s="5" t="s">
        <v>381</v>
      </c>
      <c r="B856" s="5" t="s">
        <v>8</v>
      </c>
      <c r="C856" s="5" t="s">
        <v>83</v>
      </c>
      <c r="D856" s="5" t="s">
        <v>51</v>
      </c>
      <c r="E856" s="5">
        <v>3</v>
      </c>
      <c r="F856" s="5">
        <v>3023.02</v>
      </c>
      <c r="G856" s="5">
        <v>2594.7800000000002</v>
      </c>
    </row>
    <row r="857" spans="1:7" ht="15" customHeight="1" x14ac:dyDescent="0.3">
      <c r="A857" s="5" t="s">
        <v>382</v>
      </c>
      <c r="B857" s="5" t="s">
        <v>28</v>
      </c>
      <c r="C857" s="5" t="s">
        <v>29</v>
      </c>
      <c r="D857" s="5" t="s">
        <v>103</v>
      </c>
      <c r="E857" s="5">
        <v>2</v>
      </c>
      <c r="F857" s="5">
        <v>1899.4</v>
      </c>
      <c r="G857" s="5">
        <v>1457.51</v>
      </c>
    </row>
    <row r="858" spans="1:7" ht="15" customHeight="1" x14ac:dyDescent="0.3">
      <c r="A858" s="5" t="s">
        <v>382</v>
      </c>
      <c r="B858" s="5" t="s">
        <v>42</v>
      </c>
      <c r="C858" s="5" t="s">
        <v>63</v>
      </c>
      <c r="D858" s="5" t="s">
        <v>16</v>
      </c>
      <c r="E858" s="5">
        <v>7</v>
      </c>
      <c r="F858" s="5">
        <v>3646.15</v>
      </c>
      <c r="G858" s="5">
        <v>3167.02</v>
      </c>
    </row>
    <row r="859" spans="1:7" ht="15" customHeight="1" x14ac:dyDescent="0.3">
      <c r="A859" s="5" t="s">
        <v>382</v>
      </c>
      <c r="B859" s="5" t="s">
        <v>42</v>
      </c>
      <c r="C859" s="5" t="s">
        <v>62</v>
      </c>
      <c r="D859" s="5" t="s">
        <v>86</v>
      </c>
      <c r="E859" s="5">
        <v>3</v>
      </c>
      <c r="F859" s="5">
        <v>1340.4</v>
      </c>
      <c r="G859" s="5">
        <v>949.6</v>
      </c>
    </row>
    <row r="860" spans="1:7" ht="15" customHeight="1" x14ac:dyDescent="0.3">
      <c r="A860" s="5" t="s">
        <v>382</v>
      </c>
      <c r="B860" s="5" t="s">
        <v>28</v>
      </c>
      <c r="C860" s="5" t="s">
        <v>29</v>
      </c>
      <c r="D860" s="5" t="s">
        <v>103</v>
      </c>
      <c r="E860" s="5">
        <v>7</v>
      </c>
      <c r="F860" s="5">
        <v>7637.18</v>
      </c>
      <c r="G860" s="5">
        <v>5506.18</v>
      </c>
    </row>
    <row r="861" spans="1:7" ht="15" customHeight="1" x14ac:dyDescent="0.3">
      <c r="A861" s="5" t="s">
        <v>382</v>
      </c>
      <c r="B861" s="5" t="s">
        <v>42</v>
      </c>
      <c r="C861" s="5" t="s">
        <v>63</v>
      </c>
      <c r="D861" s="5" t="s">
        <v>36</v>
      </c>
      <c r="E861" s="5">
        <v>6</v>
      </c>
      <c r="F861" s="5">
        <v>5274.03</v>
      </c>
      <c r="G861" s="5">
        <v>4898.51</v>
      </c>
    </row>
    <row r="862" spans="1:7" ht="15" customHeight="1" x14ac:dyDescent="0.3">
      <c r="A862" s="5" t="s">
        <v>383</v>
      </c>
      <c r="B862" s="5" t="s">
        <v>53</v>
      </c>
      <c r="C862" s="5" t="s">
        <v>94</v>
      </c>
      <c r="D862" s="5" t="s">
        <v>36</v>
      </c>
      <c r="E862" s="5">
        <v>10</v>
      </c>
      <c r="F862" s="5">
        <v>9209.51</v>
      </c>
      <c r="G862" s="5">
        <v>8175.62</v>
      </c>
    </row>
    <row r="863" spans="1:7" ht="15" customHeight="1" x14ac:dyDescent="0.3">
      <c r="A863" s="5" t="s">
        <v>383</v>
      </c>
      <c r="B863" s="5" t="s">
        <v>28</v>
      </c>
      <c r="C863" s="5" t="s">
        <v>29</v>
      </c>
      <c r="D863" s="5" t="s">
        <v>49</v>
      </c>
      <c r="E863" s="5">
        <v>1</v>
      </c>
      <c r="F863" s="5">
        <v>539.53</v>
      </c>
      <c r="G863" s="5">
        <v>382</v>
      </c>
    </row>
    <row r="864" spans="1:7" ht="15" customHeight="1" x14ac:dyDescent="0.3">
      <c r="A864" s="5" t="s">
        <v>383</v>
      </c>
      <c r="B864" s="5" t="s">
        <v>34</v>
      </c>
      <c r="C864" s="5" t="s">
        <v>79</v>
      </c>
      <c r="D864" s="5" t="s">
        <v>13</v>
      </c>
      <c r="E864" s="5">
        <v>11</v>
      </c>
      <c r="F864" s="5">
        <v>8398.08</v>
      </c>
      <c r="G864" s="5">
        <v>6157.22</v>
      </c>
    </row>
    <row r="865" spans="1:7" ht="15" customHeight="1" x14ac:dyDescent="0.3">
      <c r="A865" s="5" t="s">
        <v>383</v>
      </c>
      <c r="B865" s="5" t="s">
        <v>22</v>
      </c>
      <c r="C865" s="5" t="s">
        <v>78</v>
      </c>
      <c r="D865" s="5" t="s">
        <v>82</v>
      </c>
      <c r="E865" s="5">
        <v>4</v>
      </c>
      <c r="F865" s="5">
        <v>4214.96</v>
      </c>
      <c r="G865" s="5">
        <v>3703.77</v>
      </c>
    </row>
    <row r="866" spans="1:7" ht="15" customHeight="1" x14ac:dyDescent="0.3">
      <c r="A866" s="5" t="s">
        <v>383</v>
      </c>
      <c r="B866" s="5" t="s">
        <v>53</v>
      </c>
      <c r="C866" s="5" t="s">
        <v>54</v>
      </c>
      <c r="D866" s="5" t="s">
        <v>16</v>
      </c>
      <c r="E866" s="5">
        <v>9</v>
      </c>
      <c r="F866" s="5">
        <v>4382.76</v>
      </c>
      <c r="G866" s="5">
        <v>3683.91</v>
      </c>
    </row>
    <row r="867" spans="1:7" ht="15" customHeight="1" x14ac:dyDescent="0.3">
      <c r="A867" s="5" t="s">
        <v>383</v>
      </c>
      <c r="B867" s="5" t="s">
        <v>42</v>
      </c>
      <c r="C867" s="5" t="s">
        <v>62</v>
      </c>
      <c r="D867" s="5" t="s">
        <v>80</v>
      </c>
      <c r="E867" s="5">
        <v>2</v>
      </c>
      <c r="F867" s="5">
        <v>1738.14</v>
      </c>
      <c r="G867" s="5">
        <v>1220.75</v>
      </c>
    </row>
    <row r="868" spans="1:7" ht="15" customHeight="1" x14ac:dyDescent="0.3">
      <c r="A868" s="5" t="s">
        <v>383</v>
      </c>
      <c r="B868" s="5" t="s">
        <v>28</v>
      </c>
      <c r="C868" s="5" t="s">
        <v>66</v>
      </c>
      <c r="D868" s="5" t="s">
        <v>55</v>
      </c>
      <c r="E868" s="5">
        <v>4</v>
      </c>
      <c r="F868" s="5">
        <v>1957.32</v>
      </c>
      <c r="G868" s="5">
        <v>1503.01</v>
      </c>
    </row>
    <row r="869" spans="1:7" ht="15" customHeight="1" x14ac:dyDescent="0.3">
      <c r="A869" s="5" t="s">
        <v>384</v>
      </c>
      <c r="B869" s="5" t="s">
        <v>8</v>
      </c>
      <c r="C869" s="5" t="s">
        <v>74</v>
      </c>
      <c r="D869" s="5" t="s">
        <v>13</v>
      </c>
      <c r="E869" s="5">
        <v>12</v>
      </c>
      <c r="F869" s="5">
        <v>9886.2900000000009</v>
      </c>
      <c r="G869" s="5">
        <v>6741.84</v>
      </c>
    </row>
    <row r="870" spans="1:7" ht="15" customHeight="1" x14ac:dyDescent="0.3">
      <c r="A870" s="5" t="s">
        <v>384</v>
      </c>
      <c r="B870" s="5" t="s">
        <v>53</v>
      </c>
      <c r="C870" s="5" t="s">
        <v>58</v>
      </c>
      <c r="D870" s="5" t="s">
        <v>55</v>
      </c>
      <c r="E870" s="5">
        <v>6</v>
      </c>
      <c r="F870" s="5">
        <v>2814.16</v>
      </c>
      <c r="G870" s="5">
        <v>2010.55</v>
      </c>
    </row>
    <row r="871" spans="1:7" ht="15" customHeight="1" x14ac:dyDescent="0.3">
      <c r="A871" s="5" t="s">
        <v>384</v>
      </c>
      <c r="B871" s="5" t="s">
        <v>53</v>
      </c>
      <c r="C871" s="5" t="s">
        <v>94</v>
      </c>
      <c r="D871" s="5" t="s">
        <v>10</v>
      </c>
      <c r="E871" s="5">
        <v>9</v>
      </c>
      <c r="F871" s="5">
        <v>11821.86</v>
      </c>
      <c r="G871" s="5">
        <v>10097.68</v>
      </c>
    </row>
    <row r="872" spans="1:7" ht="15" customHeight="1" x14ac:dyDescent="0.3">
      <c r="A872" s="5" t="s">
        <v>384</v>
      </c>
      <c r="B872" s="5" t="s">
        <v>53</v>
      </c>
      <c r="C872" s="5" t="s">
        <v>94</v>
      </c>
      <c r="D872" s="5" t="s">
        <v>80</v>
      </c>
      <c r="E872" s="5">
        <v>1</v>
      </c>
      <c r="F872" s="5">
        <v>888.88</v>
      </c>
      <c r="G872" s="5">
        <v>700.46</v>
      </c>
    </row>
    <row r="873" spans="1:7" ht="15" customHeight="1" x14ac:dyDescent="0.3">
      <c r="A873" s="5" t="s">
        <v>384</v>
      </c>
      <c r="B873" s="5" t="s">
        <v>8</v>
      </c>
      <c r="C873" s="5" t="s">
        <v>74</v>
      </c>
      <c r="D873" s="5" t="s">
        <v>86</v>
      </c>
      <c r="E873" s="5">
        <v>10</v>
      </c>
      <c r="F873" s="5">
        <v>3925.15</v>
      </c>
      <c r="G873" s="5">
        <v>3499.76</v>
      </c>
    </row>
    <row r="874" spans="1:7" ht="15" customHeight="1" x14ac:dyDescent="0.3">
      <c r="A874" s="5" t="s">
        <v>384</v>
      </c>
      <c r="B874" s="5" t="s">
        <v>8</v>
      </c>
      <c r="C874" s="5" t="s">
        <v>37</v>
      </c>
      <c r="D874" s="5" t="s">
        <v>113</v>
      </c>
      <c r="E874" s="5">
        <v>7</v>
      </c>
      <c r="F874" s="5">
        <v>3060.11</v>
      </c>
      <c r="G874" s="5">
        <v>2115.34</v>
      </c>
    </row>
    <row r="875" spans="1:7" ht="15" customHeight="1" x14ac:dyDescent="0.3">
      <c r="A875" s="5" t="s">
        <v>384</v>
      </c>
      <c r="B875" s="5" t="s">
        <v>22</v>
      </c>
      <c r="C875" s="5" t="s">
        <v>78</v>
      </c>
      <c r="D875" s="5" t="s">
        <v>113</v>
      </c>
      <c r="E875" s="5">
        <v>3</v>
      </c>
      <c r="F875" s="5">
        <v>1218.27</v>
      </c>
      <c r="G875" s="5">
        <v>915.56</v>
      </c>
    </row>
    <row r="876" spans="1:7" ht="15" customHeight="1" x14ac:dyDescent="0.3">
      <c r="A876" s="5" t="s">
        <v>385</v>
      </c>
      <c r="B876" s="5" t="s">
        <v>11</v>
      </c>
      <c r="C876" s="5" t="s">
        <v>76</v>
      </c>
      <c r="D876" s="5" t="s">
        <v>91</v>
      </c>
      <c r="E876" s="5">
        <v>6</v>
      </c>
      <c r="F876" s="5">
        <v>2502.04</v>
      </c>
      <c r="G876" s="5">
        <v>1725.01</v>
      </c>
    </row>
    <row r="877" spans="1:7" ht="15" customHeight="1" x14ac:dyDescent="0.3">
      <c r="A877" s="5" t="s">
        <v>385</v>
      </c>
      <c r="B877" s="5" t="s">
        <v>17</v>
      </c>
      <c r="C877" s="5" t="s">
        <v>19</v>
      </c>
      <c r="D877" s="5" t="s">
        <v>61</v>
      </c>
      <c r="E877" s="5">
        <v>4</v>
      </c>
      <c r="F877" s="5">
        <v>3814.15</v>
      </c>
      <c r="G877" s="5">
        <v>2946.46</v>
      </c>
    </row>
    <row r="878" spans="1:7" ht="15" customHeight="1" x14ac:dyDescent="0.3">
      <c r="A878" s="5" t="s">
        <v>386</v>
      </c>
      <c r="B878" s="5" t="s">
        <v>8</v>
      </c>
      <c r="C878" s="5" t="s">
        <v>107</v>
      </c>
      <c r="D878" s="5" t="s">
        <v>61</v>
      </c>
      <c r="E878" s="5">
        <v>11</v>
      </c>
      <c r="F878" s="5">
        <v>10621.97</v>
      </c>
      <c r="G878" s="5">
        <v>7170.94</v>
      </c>
    </row>
    <row r="879" spans="1:7" ht="15" customHeight="1" x14ac:dyDescent="0.3">
      <c r="A879" s="5" t="s">
        <v>386</v>
      </c>
      <c r="B879" s="5" t="s">
        <v>53</v>
      </c>
      <c r="C879" s="5" t="s">
        <v>58</v>
      </c>
      <c r="D879" s="5" t="s">
        <v>49</v>
      </c>
      <c r="E879" s="5">
        <v>12</v>
      </c>
      <c r="F879" s="5">
        <v>6187.18</v>
      </c>
      <c r="G879" s="5">
        <v>5465.04</v>
      </c>
    </row>
    <row r="880" spans="1:7" ht="15" customHeight="1" x14ac:dyDescent="0.3">
      <c r="A880" s="5" t="s">
        <v>387</v>
      </c>
      <c r="B880" s="5" t="s">
        <v>22</v>
      </c>
      <c r="C880" s="5" t="s">
        <v>100</v>
      </c>
      <c r="D880" s="5" t="s">
        <v>56</v>
      </c>
      <c r="E880" s="5">
        <v>3</v>
      </c>
      <c r="F880" s="5">
        <v>1916.81</v>
      </c>
      <c r="G880" s="5">
        <v>1778.93</v>
      </c>
    </row>
    <row r="881" spans="1:7" ht="15" customHeight="1" x14ac:dyDescent="0.3">
      <c r="A881" s="5" t="s">
        <v>387</v>
      </c>
      <c r="B881" s="5" t="s">
        <v>28</v>
      </c>
      <c r="C881" s="5" t="s">
        <v>66</v>
      </c>
      <c r="D881" s="5" t="s">
        <v>10</v>
      </c>
      <c r="E881" s="5">
        <v>6</v>
      </c>
      <c r="F881" s="5">
        <v>8752.18</v>
      </c>
      <c r="G881" s="5">
        <v>7104.36</v>
      </c>
    </row>
    <row r="882" spans="1:7" ht="15" customHeight="1" x14ac:dyDescent="0.3">
      <c r="A882" s="5" t="s">
        <v>388</v>
      </c>
      <c r="B882" s="5" t="s">
        <v>8</v>
      </c>
      <c r="C882" s="5" t="s">
        <v>37</v>
      </c>
      <c r="D882" s="5" t="s">
        <v>103</v>
      </c>
      <c r="E882" s="5">
        <v>5</v>
      </c>
      <c r="F882" s="5">
        <v>4913.42</v>
      </c>
      <c r="G882" s="5">
        <v>3895.93</v>
      </c>
    </row>
    <row r="883" spans="1:7" ht="15" customHeight="1" x14ac:dyDescent="0.3">
      <c r="A883" s="5" t="s">
        <v>388</v>
      </c>
      <c r="B883" s="5" t="s">
        <v>22</v>
      </c>
      <c r="C883" s="5" t="s">
        <v>100</v>
      </c>
      <c r="D883" s="5" t="s">
        <v>51</v>
      </c>
      <c r="E883" s="5">
        <v>9</v>
      </c>
      <c r="F883" s="5">
        <v>9091.48</v>
      </c>
      <c r="G883" s="5">
        <v>8070.93</v>
      </c>
    </row>
    <row r="884" spans="1:7" ht="15" customHeight="1" x14ac:dyDescent="0.3">
      <c r="A884" s="5" t="s">
        <v>388</v>
      </c>
      <c r="B884" s="5" t="s">
        <v>42</v>
      </c>
      <c r="C884" s="5" t="s">
        <v>43</v>
      </c>
      <c r="D884" s="5" t="s">
        <v>51</v>
      </c>
      <c r="E884" s="5">
        <v>9</v>
      </c>
      <c r="F884" s="5">
        <v>9004.1299999999992</v>
      </c>
      <c r="G884" s="5">
        <v>7923.37</v>
      </c>
    </row>
    <row r="885" spans="1:7" ht="15" customHeight="1" x14ac:dyDescent="0.3">
      <c r="A885" s="5" t="s">
        <v>389</v>
      </c>
      <c r="B885" s="5" t="s">
        <v>22</v>
      </c>
      <c r="C885" s="5" t="s">
        <v>38</v>
      </c>
      <c r="D885" s="5" t="s">
        <v>55</v>
      </c>
      <c r="E885" s="5">
        <v>1</v>
      </c>
      <c r="F885" s="5">
        <v>436.06</v>
      </c>
      <c r="G885" s="5">
        <v>362.34</v>
      </c>
    </row>
    <row r="886" spans="1:7" ht="15" customHeight="1" x14ac:dyDescent="0.3">
      <c r="A886" s="5" t="s">
        <v>389</v>
      </c>
      <c r="B886" s="5" t="s">
        <v>22</v>
      </c>
      <c r="C886" s="5" t="s">
        <v>23</v>
      </c>
      <c r="D886" s="5" t="s">
        <v>48</v>
      </c>
      <c r="E886" s="5">
        <v>10</v>
      </c>
      <c r="F886" s="5">
        <v>3107.97</v>
      </c>
      <c r="G886" s="5">
        <v>2500.5</v>
      </c>
    </row>
    <row r="887" spans="1:7" ht="15" customHeight="1" x14ac:dyDescent="0.3">
      <c r="A887" s="5" t="s">
        <v>389</v>
      </c>
      <c r="B887" s="5" t="s">
        <v>8</v>
      </c>
      <c r="C887" s="5" t="s">
        <v>74</v>
      </c>
      <c r="D887" s="5" t="s">
        <v>30</v>
      </c>
      <c r="E887" s="5">
        <v>3</v>
      </c>
      <c r="F887" s="5">
        <v>1777.8</v>
      </c>
      <c r="G887" s="5">
        <v>1398.02</v>
      </c>
    </row>
    <row r="888" spans="1:7" ht="15" customHeight="1" x14ac:dyDescent="0.3">
      <c r="A888" s="5" t="s">
        <v>390</v>
      </c>
      <c r="B888" s="5" t="s">
        <v>22</v>
      </c>
      <c r="C888" s="5" t="s">
        <v>100</v>
      </c>
      <c r="D888" s="5" t="s">
        <v>26</v>
      </c>
      <c r="E888" s="5">
        <v>5</v>
      </c>
      <c r="F888" s="5">
        <v>1581.72</v>
      </c>
      <c r="G888" s="5">
        <v>1283.02</v>
      </c>
    </row>
    <row r="889" spans="1:7" ht="15" customHeight="1" x14ac:dyDescent="0.3">
      <c r="A889" s="5" t="s">
        <v>390</v>
      </c>
      <c r="B889" s="5" t="s">
        <v>53</v>
      </c>
      <c r="C889" s="5" t="s">
        <v>71</v>
      </c>
      <c r="D889" s="5" t="s">
        <v>16</v>
      </c>
      <c r="E889" s="5">
        <v>2</v>
      </c>
      <c r="F889" s="5">
        <v>1059.81</v>
      </c>
      <c r="G889" s="5">
        <v>894.58</v>
      </c>
    </row>
    <row r="890" spans="1:7" ht="15" customHeight="1" x14ac:dyDescent="0.3">
      <c r="A890" s="5" t="s">
        <v>391</v>
      </c>
      <c r="B890" s="5" t="s">
        <v>28</v>
      </c>
      <c r="C890" s="5" t="s">
        <v>66</v>
      </c>
      <c r="D890" s="5" t="s">
        <v>86</v>
      </c>
      <c r="E890" s="5">
        <v>6</v>
      </c>
      <c r="F890" s="5">
        <v>2599.9299999999998</v>
      </c>
      <c r="G890" s="5">
        <v>1603.32</v>
      </c>
    </row>
    <row r="891" spans="1:7" ht="15" customHeight="1" x14ac:dyDescent="0.3">
      <c r="A891" s="5" t="s">
        <v>391</v>
      </c>
      <c r="B891" s="5" t="s">
        <v>11</v>
      </c>
      <c r="C891" s="5" t="s">
        <v>12</v>
      </c>
      <c r="D891" s="5" t="s">
        <v>99</v>
      </c>
      <c r="E891" s="5">
        <v>12</v>
      </c>
      <c r="F891" s="5">
        <v>1245.3499999999999</v>
      </c>
      <c r="G891" s="5">
        <v>909.97</v>
      </c>
    </row>
    <row r="892" spans="1:7" ht="15" customHeight="1" x14ac:dyDescent="0.3">
      <c r="A892" s="5" t="s">
        <v>392</v>
      </c>
      <c r="B892" s="5" t="s">
        <v>22</v>
      </c>
      <c r="C892" s="5" t="s">
        <v>25</v>
      </c>
      <c r="D892" s="5" t="s">
        <v>33</v>
      </c>
      <c r="E892" s="5">
        <v>12</v>
      </c>
      <c r="F892" s="5">
        <v>25101.18</v>
      </c>
      <c r="G892" s="5">
        <v>21150.26</v>
      </c>
    </row>
    <row r="893" spans="1:7" ht="15" customHeight="1" x14ac:dyDescent="0.3">
      <c r="A893" s="5" t="s">
        <v>392</v>
      </c>
      <c r="B893" s="5" t="s">
        <v>28</v>
      </c>
      <c r="C893" s="5" t="s">
        <v>66</v>
      </c>
      <c r="D893" s="5" t="s">
        <v>65</v>
      </c>
      <c r="E893" s="5">
        <v>11</v>
      </c>
      <c r="F893" s="5">
        <v>23313.69</v>
      </c>
      <c r="G893" s="5">
        <v>15723.68</v>
      </c>
    </row>
    <row r="894" spans="1:7" ht="15" customHeight="1" x14ac:dyDescent="0.3">
      <c r="A894" s="5" t="s">
        <v>392</v>
      </c>
      <c r="B894" s="5" t="s">
        <v>42</v>
      </c>
      <c r="C894" s="5" t="s">
        <v>111</v>
      </c>
      <c r="D894" s="5" t="s">
        <v>103</v>
      </c>
      <c r="E894" s="5">
        <v>8</v>
      </c>
      <c r="F894" s="5">
        <v>8476.68</v>
      </c>
      <c r="G894" s="5">
        <v>6237.71</v>
      </c>
    </row>
    <row r="895" spans="1:7" ht="15" customHeight="1" x14ac:dyDescent="0.3">
      <c r="A895" s="5" t="s">
        <v>393</v>
      </c>
      <c r="B895" s="5" t="s">
        <v>8</v>
      </c>
      <c r="C895" s="5" t="s">
        <v>74</v>
      </c>
      <c r="D895" s="5" t="s">
        <v>113</v>
      </c>
      <c r="E895" s="5">
        <v>6</v>
      </c>
      <c r="F895" s="5">
        <v>2603.67</v>
      </c>
      <c r="G895" s="5">
        <v>2240.34</v>
      </c>
    </row>
    <row r="896" spans="1:7" ht="15" customHeight="1" x14ac:dyDescent="0.3">
      <c r="A896" s="5" t="s">
        <v>394</v>
      </c>
      <c r="B896" s="5" t="s">
        <v>53</v>
      </c>
      <c r="C896" s="5" t="s">
        <v>93</v>
      </c>
      <c r="D896" s="5" t="s">
        <v>96</v>
      </c>
      <c r="E896" s="5">
        <v>11</v>
      </c>
      <c r="F896" s="5">
        <v>20514.650000000001</v>
      </c>
      <c r="G896" s="5">
        <v>17050.919999999998</v>
      </c>
    </row>
    <row r="897" spans="1:7" ht="15" customHeight="1" x14ac:dyDescent="0.3">
      <c r="A897" s="5" t="s">
        <v>394</v>
      </c>
      <c r="B897" s="5" t="s">
        <v>34</v>
      </c>
      <c r="C897" s="5" t="s">
        <v>35</v>
      </c>
      <c r="D897" s="5" t="s">
        <v>69</v>
      </c>
      <c r="E897" s="5">
        <v>9</v>
      </c>
      <c r="F897" s="5">
        <v>3767.07</v>
      </c>
      <c r="G897" s="5">
        <v>2770.93</v>
      </c>
    </row>
    <row r="898" spans="1:7" ht="15" customHeight="1" x14ac:dyDescent="0.3">
      <c r="A898" s="5" t="s">
        <v>395</v>
      </c>
      <c r="B898" s="5" t="s">
        <v>11</v>
      </c>
      <c r="C898" s="5" t="s">
        <v>15</v>
      </c>
      <c r="D898" s="5" t="s">
        <v>44</v>
      </c>
      <c r="E898" s="5">
        <v>4</v>
      </c>
      <c r="F898" s="5">
        <v>1347.35</v>
      </c>
      <c r="G898" s="5">
        <v>1069.1199999999999</v>
      </c>
    </row>
    <row r="899" spans="1:7" ht="15" customHeight="1" x14ac:dyDescent="0.3">
      <c r="A899" s="5" t="s">
        <v>395</v>
      </c>
      <c r="B899" s="5" t="s">
        <v>42</v>
      </c>
      <c r="C899" s="5" t="s">
        <v>47</v>
      </c>
      <c r="D899" s="5" t="s">
        <v>10</v>
      </c>
      <c r="E899" s="5">
        <v>4</v>
      </c>
      <c r="F899" s="5">
        <v>5176.6499999999996</v>
      </c>
      <c r="G899" s="5">
        <v>4727.8999999999996</v>
      </c>
    </row>
    <row r="900" spans="1:7" ht="15" customHeight="1" x14ac:dyDescent="0.3">
      <c r="A900" s="5" t="s">
        <v>395</v>
      </c>
      <c r="B900" s="5" t="s">
        <v>42</v>
      </c>
      <c r="C900" s="5" t="s">
        <v>63</v>
      </c>
      <c r="D900" s="5" t="s">
        <v>91</v>
      </c>
      <c r="E900" s="5">
        <v>6</v>
      </c>
      <c r="F900" s="5">
        <v>2320.92</v>
      </c>
      <c r="G900" s="5">
        <v>1806.62</v>
      </c>
    </row>
    <row r="901" spans="1:7" ht="15" customHeight="1" x14ac:dyDescent="0.3">
      <c r="A901" s="5" t="s">
        <v>396</v>
      </c>
      <c r="B901" s="5" t="s">
        <v>28</v>
      </c>
      <c r="C901" s="5" t="s">
        <v>29</v>
      </c>
      <c r="D901" s="5" t="s">
        <v>24</v>
      </c>
      <c r="E901" s="5">
        <v>5</v>
      </c>
      <c r="F901" s="5">
        <v>3145.24</v>
      </c>
      <c r="G901" s="5">
        <v>2446.0300000000002</v>
      </c>
    </row>
    <row r="902" spans="1:7" ht="15" customHeight="1" x14ac:dyDescent="0.3">
      <c r="A902" s="5" t="s">
        <v>397</v>
      </c>
      <c r="B902" s="5" t="s">
        <v>17</v>
      </c>
      <c r="C902" s="5" t="s">
        <v>19</v>
      </c>
      <c r="D902" s="5" t="s">
        <v>96</v>
      </c>
      <c r="E902" s="5">
        <v>6</v>
      </c>
      <c r="F902" s="5">
        <v>12243.47</v>
      </c>
      <c r="G902" s="5">
        <v>7629.96</v>
      </c>
    </row>
    <row r="903" spans="1:7" ht="15" customHeight="1" x14ac:dyDescent="0.3">
      <c r="A903" s="5" t="s">
        <v>397</v>
      </c>
      <c r="B903" s="5" t="s">
        <v>34</v>
      </c>
      <c r="C903" s="5" t="s">
        <v>35</v>
      </c>
      <c r="D903" s="5" t="s">
        <v>55</v>
      </c>
      <c r="E903" s="5">
        <v>8</v>
      </c>
      <c r="F903" s="5">
        <v>3955.08</v>
      </c>
      <c r="G903" s="5">
        <v>2449.0500000000002</v>
      </c>
    </row>
    <row r="904" spans="1:7" ht="15" customHeight="1" x14ac:dyDescent="0.3">
      <c r="A904" s="5" t="s">
        <v>397</v>
      </c>
      <c r="B904" s="5" t="s">
        <v>11</v>
      </c>
      <c r="C904" s="5" t="s">
        <v>15</v>
      </c>
      <c r="D904" s="5" t="s">
        <v>36</v>
      </c>
      <c r="E904" s="5">
        <v>4</v>
      </c>
      <c r="F904" s="5">
        <v>4015.08</v>
      </c>
      <c r="G904" s="5">
        <v>3284.21</v>
      </c>
    </row>
    <row r="905" spans="1:7" ht="15" customHeight="1" x14ac:dyDescent="0.3">
      <c r="A905" s="5" t="s">
        <v>398</v>
      </c>
      <c r="B905" s="5" t="s">
        <v>34</v>
      </c>
      <c r="C905" s="5" t="s">
        <v>75</v>
      </c>
      <c r="D905" s="5" t="s">
        <v>24</v>
      </c>
      <c r="E905" s="5">
        <v>4</v>
      </c>
      <c r="F905" s="5">
        <v>2517.6999999999998</v>
      </c>
      <c r="G905" s="5">
        <v>1671.29</v>
      </c>
    </row>
    <row r="906" spans="1:7" ht="15" customHeight="1" x14ac:dyDescent="0.3">
      <c r="A906" s="5" t="s">
        <v>398</v>
      </c>
      <c r="B906" s="5" t="s">
        <v>28</v>
      </c>
      <c r="C906" s="5" t="s">
        <v>29</v>
      </c>
      <c r="D906" s="5" t="s">
        <v>20</v>
      </c>
      <c r="E906" s="5">
        <v>2</v>
      </c>
      <c r="F906" s="5">
        <v>1234.8800000000001</v>
      </c>
      <c r="G906" s="5">
        <v>755.96</v>
      </c>
    </row>
    <row r="907" spans="1:7" ht="15" customHeight="1" x14ac:dyDescent="0.3">
      <c r="A907" s="5" t="s">
        <v>398</v>
      </c>
      <c r="B907" s="5" t="s">
        <v>34</v>
      </c>
      <c r="C907" s="5" t="s">
        <v>75</v>
      </c>
      <c r="D907" s="5" t="s">
        <v>13</v>
      </c>
      <c r="E907" s="5">
        <v>7</v>
      </c>
      <c r="F907" s="5">
        <v>6129.13</v>
      </c>
      <c r="G907" s="5">
        <v>4917.3500000000004</v>
      </c>
    </row>
    <row r="908" spans="1:7" ht="15" customHeight="1" x14ac:dyDescent="0.3">
      <c r="A908" s="5" t="s">
        <v>398</v>
      </c>
      <c r="B908" s="5" t="s">
        <v>53</v>
      </c>
      <c r="C908" s="5" t="s">
        <v>94</v>
      </c>
      <c r="D908" s="5" t="s">
        <v>113</v>
      </c>
      <c r="E908" s="5">
        <v>1</v>
      </c>
      <c r="F908" s="5">
        <v>473.32</v>
      </c>
      <c r="G908" s="5">
        <v>289.25</v>
      </c>
    </row>
    <row r="909" spans="1:7" ht="15" customHeight="1" x14ac:dyDescent="0.3">
      <c r="A909" s="5" t="s">
        <v>398</v>
      </c>
      <c r="B909" s="5" t="s">
        <v>8</v>
      </c>
      <c r="C909" s="5" t="s">
        <v>37</v>
      </c>
      <c r="D909" s="5" t="s">
        <v>48</v>
      </c>
      <c r="E909" s="5">
        <v>3</v>
      </c>
      <c r="F909" s="5">
        <v>824.72</v>
      </c>
      <c r="G909" s="5">
        <v>649.73</v>
      </c>
    </row>
    <row r="910" spans="1:7" ht="15" customHeight="1" x14ac:dyDescent="0.3">
      <c r="A910" s="5" t="s">
        <v>398</v>
      </c>
      <c r="B910" s="5" t="s">
        <v>53</v>
      </c>
      <c r="C910" s="5" t="s">
        <v>54</v>
      </c>
      <c r="D910" s="5" t="s">
        <v>39</v>
      </c>
      <c r="E910" s="5">
        <v>4</v>
      </c>
      <c r="F910" s="5">
        <v>929.71</v>
      </c>
      <c r="G910" s="5">
        <v>868.44</v>
      </c>
    </row>
    <row r="911" spans="1:7" ht="15" customHeight="1" x14ac:dyDescent="0.3">
      <c r="A911" s="5" t="s">
        <v>399</v>
      </c>
      <c r="B911" s="5" t="s">
        <v>28</v>
      </c>
      <c r="C911" s="5" t="s">
        <v>66</v>
      </c>
      <c r="D911" s="5" t="s">
        <v>80</v>
      </c>
      <c r="E911" s="5">
        <v>9</v>
      </c>
      <c r="F911" s="5">
        <v>7803.21</v>
      </c>
      <c r="G911" s="5">
        <v>6220.53</v>
      </c>
    </row>
    <row r="912" spans="1:7" ht="15" customHeight="1" x14ac:dyDescent="0.3">
      <c r="A912" s="5" t="s">
        <v>399</v>
      </c>
      <c r="B912" s="5" t="s">
        <v>8</v>
      </c>
      <c r="C912" s="5" t="s">
        <v>83</v>
      </c>
      <c r="D912" s="5" t="s">
        <v>91</v>
      </c>
      <c r="E912" s="5">
        <v>10</v>
      </c>
      <c r="F912" s="5">
        <v>3846.67</v>
      </c>
      <c r="G912" s="5">
        <v>2998.44</v>
      </c>
    </row>
    <row r="913" spans="1:7" ht="15" customHeight="1" x14ac:dyDescent="0.3">
      <c r="A913" s="5" t="s">
        <v>399</v>
      </c>
      <c r="B913" s="5" t="s">
        <v>11</v>
      </c>
      <c r="C913" s="5" t="s">
        <v>12</v>
      </c>
      <c r="D913" s="5" t="s">
        <v>103</v>
      </c>
      <c r="E913" s="5">
        <v>7</v>
      </c>
      <c r="F913" s="5">
        <v>7978.83</v>
      </c>
      <c r="G913" s="5">
        <v>4752.04</v>
      </c>
    </row>
    <row r="914" spans="1:7" ht="15" customHeight="1" x14ac:dyDescent="0.3">
      <c r="A914" s="5" t="s">
        <v>399</v>
      </c>
      <c r="B914" s="5" t="s">
        <v>34</v>
      </c>
      <c r="C914" s="5" t="s">
        <v>79</v>
      </c>
      <c r="D914" s="5" t="s">
        <v>16</v>
      </c>
      <c r="E914" s="5">
        <v>2</v>
      </c>
      <c r="F914" s="5">
        <v>975.06</v>
      </c>
      <c r="G914" s="5">
        <v>737.82</v>
      </c>
    </row>
    <row r="915" spans="1:7" ht="15" customHeight="1" x14ac:dyDescent="0.3">
      <c r="A915" s="5" t="s">
        <v>400</v>
      </c>
      <c r="B915" s="5" t="s">
        <v>28</v>
      </c>
      <c r="C915" s="5" t="s">
        <v>29</v>
      </c>
      <c r="D915" s="5" t="s">
        <v>72</v>
      </c>
      <c r="E915" s="5">
        <v>8</v>
      </c>
      <c r="F915" s="5">
        <v>4359.74</v>
      </c>
      <c r="G915" s="5">
        <v>3189.94</v>
      </c>
    </row>
    <row r="916" spans="1:7" ht="15" customHeight="1" x14ac:dyDescent="0.3">
      <c r="A916" s="5" t="s">
        <v>401</v>
      </c>
      <c r="B916" s="5" t="s">
        <v>8</v>
      </c>
      <c r="C916" s="5" t="s">
        <v>102</v>
      </c>
      <c r="D916" s="5" t="s">
        <v>13</v>
      </c>
      <c r="E916" s="5">
        <v>2</v>
      </c>
      <c r="F916" s="5">
        <v>1447.4</v>
      </c>
      <c r="G916" s="5">
        <v>1104.2</v>
      </c>
    </row>
    <row r="917" spans="1:7" ht="15" customHeight="1" x14ac:dyDescent="0.3">
      <c r="A917" s="5" t="s">
        <v>401</v>
      </c>
      <c r="B917" s="5" t="s">
        <v>42</v>
      </c>
      <c r="C917" s="5" t="s">
        <v>43</v>
      </c>
      <c r="D917" s="5" t="s">
        <v>69</v>
      </c>
      <c r="E917" s="5">
        <v>5</v>
      </c>
      <c r="F917" s="5">
        <v>2292.8000000000002</v>
      </c>
      <c r="G917" s="5">
        <v>1735.76</v>
      </c>
    </row>
    <row r="918" spans="1:7" ht="15" customHeight="1" x14ac:dyDescent="0.3">
      <c r="A918" s="5" t="s">
        <v>401</v>
      </c>
      <c r="B918" s="5" t="s">
        <v>22</v>
      </c>
      <c r="C918" s="5" t="s">
        <v>23</v>
      </c>
      <c r="D918" s="5" t="s">
        <v>39</v>
      </c>
      <c r="E918" s="5">
        <v>1</v>
      </c>
      <c r="F918" s="5">
        <v>250.18</v>
      </c>
      <c r="G918" s="5">
        <v>212.37</v>
      </c>
    </row>
    <row r="919" spans="1:7" ht="15" customHeight="1" x14ac:dyDescent="0.3">
      <c r="A919" s="5" t="s">
        <v>402</v>
      </c>
      <c r="B919" s="5" t="s">
        <v>42</v>
      </c>
      <c r="C919" s="5" t="s">
        <v>62</v>
      </c>
      <c r="D919" s="5" t="s">
        <v>99</v>
      </c>
      <c r="E919" s="5">
        <v>6</v>
      </c>
      <c r="F919" s="5">
        <v>546.78</v>
      </c>
      <c r="G919" s="5">
        <v>493.03</v>
      </c>
    </row>
    <row r="920" spans="1:7" ht="15" customHeight="1" x14ac:dyDescent="0.3">
      <c r="A920" s="5" t="s">
        <v>402</v>
      </c>
      <c r="B920" s="5" t="s">
        <v>8</v>
      </c>
      <c r="C920" s="5" t="s">
        <v>32</v>
      </c>
      <c r="D920" s="5" t="s">
        <v>56</v>
      </c>
      <c r="E920" s="5">
        <v>5</v>
      </c>
      <c r="F920" s="5">
        <v>3616.85</v>
      </c>
      <c r="G920" s="5">
        <v>2633.09</v>
      </c>
    </row>
    <row r="921" spans="1:7" ht="15" customHeight="1" x14ac:dyDescent="0.3">
      <c r="A921" s="5" t="s">
        <v>403</v>
      </c>
      <c r="B921" s="5" t="s">
        <v>34</v>
      </c>
      <c r="C921" s="5" t="s">
        <v>75</v>
      </c>
      <c r="D921" s="5" t="s">
        <v>65</v>
      </c>
      <c r="E921" s="5">
        <v>2</v>
      </c>
      <c r="F921" s="5">
        <v>4024.21</v>
      </c>
      <c r="G921" s="5">
        <v>3130.08</v>
      </c>
    </row>
    <row r="922" spans="1:7" ht="15" customHeight="1" x14ac:dyDescent="0.3">
      <c r="A922" s="5" t="s">
        <v>403</v>
      </c>
      <c r="B922" s="5" t="s">
        <v>53</v>
      </c>
      <c r="C922" s="5" t="s">
        <v>93</v>
      </c>
      <c r="D922" s="5" t="s">
        <v>26</v>
      </c>
      <c r="E922" s="5">
        <v>10</v>
      </c>
      <c r="F922" s="5">
        <v>3039.2</v>
      </c>
      <c r="G922" s="5">
        <v>2446.92</v>
      </c>
    </row>
    <row r="923" spans="1:7" ht="15" customHeight="1" x14ac:dyDescent="0.3">
      <c r="A923" s="5" t="s">
        <v>403</v>
      </c>
      <c r="B923" s="5" t="s">
        <v>34</v>
      </c>
      <c r="C923" s="5" t="s">
        <v>75</v>
      </c>
      <c r="D923" s="5" t="s">
        <v>33</v>
      </c>
      <c r="E923" s="5">
        <v>10</v>
      </c>
      <c r="F923" s="5">
        <v>23633.41</v>
      </c>
      <c r="G923" s="5">
        <v>18683.12</v>
      </c>
    </row>
    <row r="924" spans="1:7" ht="15" customHeight="1" x14ac:dyDescent="0.3">
      <c r="A924" s="5" t="s">
        <v>404</v>
      </c>
      <c r="B924" s="5" t="s">
        <v>28</v>
      </c>
      <c r="C924" s="5" t="s">
        <v>66</v>
      </c>
      <c r="D924" s="5" t="s">
        <v>39</v>
      </c>
      <c r="E924" s="5">
        <v>6</v>
      </c>
      <c r="F924" s="5">
        <v>1085.49</v>
      </c>
      <c r="G924" s="5">
        <v>1037.1300000000001</v>
      </c>
    </row>
    <row r="925" spans="1:7" ht="15" customHeight="1" x14ac:dyDescent="0.3">
      <c r="A925" s="5" t="s">
        <v>404</v>
      </c>
      <c r="B925" s="5" t="s">
        <v>42</v>
      </c>
      <c r="C925" s="5" t="s">
        <v>111</v>
      </c>
      <c r="D925" s="5" t="s">
        <v>49</v>
      </c>
      <c r="E925" s="5">
        <v>11</v>
      </c>
      <c r="F925" s="5">
        <v>4046.9</v>
      </c>
      <c r="G925" s="5">
        <v>4131.75</v>
      </c>
    </row>
    <row r="926" spans="1:7" ht="15" customHeight="1" x14ac:dyDescent="0.3">
      <c r="A926" s="5" t="s">
        <v>404</v>
      </c>
      <c r="B926" s="5" t="s">
        <v>34</v>
      </c>
      <c r="C926" s="5" t="s">
        <v>75</v>
      </c>
      <c r="D926" s="5" t="s">
        <v>99</v>
      </c>
      <c r="E926" s="5">
        <v>7</v>
      </c>
      <c r="F926" s="5">
        <v>519.42999999999995</v>
      </c>
      <c r="G926" s="5">
        <v>480.22</v>
      </c>
    </row>
    <row r="927" spans="1:7" ht="15" customHeight="1" x14ac:dyDescent="0.3">
      <c r="A927" s="5" t="s">
        <v>405</v>
      </c>
      <c r="B927" s="5" t="s">
        <v>28</v>
      </c>
      <c r="C927" s="5" t="s">
        <v>66</v>
      </c>
      <c r="D927" s="5" t="s">
        <v>72</v>
      </c>
      <c r="E927" s="5">
        <v>4</v>
      </c>
      <c r="F927" s="5">
        <v>1491.57</v>
      </c>
      <c r="G927" s="5">
        <v>1575.17</v>
      </c>
    </row>
    <row r="928" spans="1:7" ht="15" customHeight="1" x14ac:dyDescent="0.3">
      <c r="A928" s="5" t="s">
        <v>405</v>
      </c>
      <c r="B928" s="5" t="s">
        <v>8</v>
      </c>
      <c r="C928" s="5" t="s">
        <v>107</v>
      </c>
      <c r="D928" s="5" t="s">
        <v>10</v>
      </c>
      <c r="E928" s="5">
        <v>10</v>
      </c>
      <c r="F928" s="5">
        <v>10142.209999999999</v>
      </c>
      <c r="G928" s="5">
        <v>10045.780000000001</v>
      </c>
    </row>
    <row r="929" spans="1:7" ht="15" customHeight="1" x14ac:dyDescent="0.3">
      <c r="A929" s="5" t="s">
        <v>406</v>
      </c>
      <c r="B929" s="5" t="s">
        <v>17</v>
      </c>
      <c r="C929" s="5" t="s">
        <v>18</v>
      </c>
      <c r="D929" s="5" t="s">
        <v>113</v>
      </c>
      <c r="E929" s="5">
        <v>8</v>
      </c>
      <c r="F929" s="5">
        <v>2565.48</v>
      </c>
      <c r="G929" s="5">
        <v>2566.59</v>
      </c>
    </row>
    <row r="930" spans="1:7" ht="15" customHeight="1" x14ac:dyDescent="0.3">
      <c r="A930" s="5" t="s">
        <v>406</v>
      </c>
      <c r="B930" s="5" t="s">
        <v>34</v>
      </c>
      <c r="C930" s="5" t="s">
        <v>75</v>
      </c>
      <c r="D930" s="5" t="s">
        <v>49</v>
      </c>
      <c r="E930" s="5">
        <v>5</v>
      </c>
      <c r="F930" s="5">
        <v>1867.38</v>
      </c>
      <c r="G930" s="5">
        <v>1729.96</v>
      </c>
    </row>
    <row r="931" spans="1:7" ht="15" customHeight="1" x14ac:dyDescent="0.3">
      <c r="A931" s="5" t="s">
        <v>406</v>
      </c>
      <c r="B931" s="5" t="s">
        <v>28</v>
      </c>
      <c r="C931" s="5" t="s">
        <v>66</v>
      </c>
      <c r="D931" s="5" t="s">
        <v>26</v>
      </c>
      <c r="E931" s="5">
        <v>4</v>
      </c>
      <c r="F931" s="5">
        <v>899.33</v>
      </c>
      <c r="G931" s="5">
        <v>939.41</v>
      </c>
    </row>
    <row r="932" spans="1:7" ht="15" customHeight="1" x14ac:dyDescent="0.3">
      <c r="A932" s="5" t="s">
        <v>406</v>
      </c>
      <c r="B932" s="5" t="s">
        <v>17</v>
      </c>
      <c r="C932" s="5" t="s">
        <v>19</v>
      </c>
      <c r="D932" s="5" t="s">
        <v>72</v>
      </c>
      <c r="E932" s="5">
        <v>1</v>
      </c>
      <c r="F932" s="5">
        <v>435.94</v>
      </c>
      <c r="G932" s="5">
        <v>418.34</v>
      </c>
    </row>
    <row r="933" spans="1:7" ht="15" customHeight="1" x14ac:dyDescent="0.3">
      <c r="A933" s="5" t="s">
        <v>406</v>
      </c>
      <c r="B933" s="5" t="s">
        <v>11</v>
      </c>
      <c r="C933" s="5" t="s">
        <v>15</v>
      </c>
      <c r="D933" s="5" t="s">
        <v>20</v>
      </c>
      <c r="E933" s="5">
        <v>2</v>
      </c>
      <c r="F933" s="5">
        <v>956.87</v>
      </c>
      <c r="G933" s="5">
        <v>930.24</v>
      </c>
    </row>
    <row r="934" spans="1:7" ht="15" customHeight="1" x14ac:dyDescent="0.3">
      <c r="A934" s="5" t="s">
        <v>406</v>
      </c>
      <c r="B934" s="5" t="s">
        <v>17</v>
      </c>
      <c r="C934" s="5" t="s">
        <v>18</v>
      </c>
      <c r="D934" s="5" t="s">
        <v>51</v>
      </c>
      <c r="E934" s="5">
        <v>11</v>
      </c>
      <c r="F934" s="5">
        <v>8441.4</v>
      </c>
      <c r="G934" s="5">
        <v>8995.2099999999991</v>
      </c>
    </row>
    <row r="935" spans="1:7" ht="15" customHeight="1" x14ac:dyDescent="0.3">
      <c r="A935" s="5" t="s">
        <v>406</v>
      </c>
      <c r="B935" s="5" t="s">
        <v>11</v>
      </c>
      <c r="C935" s="5" t="s">
        <v>76</v>
      </c>
      <c r="D935" s="5" t="s">
        <v>103</v>
      </c>
      <c r="E935" s="5">
        <v>12</v>
      </c>
      <c r="F935" s="5">
        <v>8755.85</v>
      </c>
      <c r="G935" s="5">
        <v>9785.2800000000007</v>
      </c>
    </row>
    <row r="936" spans="1:7" ht="15" customHeight="1" x14ac:dyDescent="0.3">
      <c r="A936" s="5" t="s">
        <v>407</v>
      </c>
      <c r="B936" s="5" t="s">
        <v>53</v>
      </c>
      <c r="C936" s="5" t="s">
        <v>58</v>
      </c>
      <c r="D936" s="5" t="s">
        <v>61</v>
      </c>
      <c r="E936" s="5">
        <v>11</v>
      </c>
      <c r="F936" s="5">
        <v>9010.2000000000007</v>
      </c>
      <c r="G936" s="5">
        <v>9452.18</v>
      </c>
    </row>
    <row r="937" spans="1:7" ht="15" customHeight="1" x14ac:dyDescent="0.3">
      <c r="A937" s="5" t="s">
        <v>407</v>
      </c>
      <c r="B937" s="5" t="s">
        <v>34</v>
      </c>
      <c r="C937" s="5" t="s">
        <v>75</v>
      </c>
      <c r="D937" s="5" t="s">
        <v>26</v>
      </c>
      <c r="E937" s="5">
        <v>10</v>
      </c>
      <c r="F937" s="5">
        <v>2216.15</v>
      </c>
      <c r="G937" s="5">
        <v>2223.19</v>
      </c>
    </row>
    <row r="938" spans="1:7" ht="15" customHeight="1" x14ac:dyDescent="0.3">
      <c r="A938" s="5" t="s">
        <v>408</v>
      </c>
      <c r="B938" s="5" t="s">
        <v>22</v>
      </c>
      <c r="C938" s="5" t="s">
        <v>78</v>
      </c>
      <c r="D938" s="5" t="s">
        <v>51</v>
      </c>
      <c r="E938" s="5">
        <v>8</v>
      </c>
      <c r="F938" s="5">
        <v>7124.49</v>
      </c>
      <c r="G938" s="5">
        <v>5978.91</v>
      </c>
    </row>
    <row r="939" spans="1:7" ht="15" customHeight="1" x14ac:dyDescent="0.3">
      <c r="A939" s="5" t="s">
        <v>409</v>
      </c>
      <c r="B939" s="5" t="s">
        <v>22</v>
      </c>
      <c r="C939" s="5" t="s">
        <v>114</v>
      </c>
      <c r="D939" s="5" t="s">
        <v>80</v>
      </c>
      <c r="E939" s="5">
        <v>8</v>
      </c>
      <c r="F939" s="5">
        <v>5371.76</v>
      </c>
      <c r="G939" s="5">
        <v>5502.63</v>
      </c>
    </row>
    <row r="940" spans="1:7" ht="15" customHeight="1" x14ac:dyDescent="0.3">
      <c r="A940" s="5" t="s">
        <v>409</v>
      </c>
      <c r="B940" s="5" t="s">
        <v>17</v>
      </c>
      <c r="C940" s="5" t="s">
        <v>68</v>
      </c>
      <c r="D940" s="5" t="s">
        <v>33</v>
      </c>
      <c r="E940" s="5">
        <v>4</v>
      </c>
      <c r="F940" s="5">
        <v>6822.14</v>
      </c>
      <c r="G940" s="5">
        <v>6974.64</v>
      </c>
    </row>
    <row r="941" spans="1:7" ht="15" customHeight="1" x14ac:dyDescent="0.3">
      <c r="A941" s="5" t="s">
        <v>410</v>
      </c>
      <c r="B941" s="5" t="s">
        <v>22</v>
      </c>
      <c r="C941" s="5" t="s">
        <v>114</v>
      </c>
      <c r="D941" s="5" t="s">
        <v>97</v>
      </c>
      <c r="E941" s="5">
        <v>7</v>
      </c>
      <c r="F941" s="5">
        <v>5760.64</v>
      </c>
      <c r="G941" s="5">
        <v>5543.73</v>
      </c>
    </row>
    <row r="942" spans="1:7" ht="15" customHeight="1" x14ac:dyDescent="0.3">
      <c r="A942" s="5" t="s">
        <v>410</v>
      </c>
      <c r="B942" s="5" t="s">
        <v>17</v>
      </c>
      <c r="C942" s="5" t="s">
        <v>18</v>
      </c>
      <c r="D942" s="5" t="s">
        <v>113</v>
      </c>
      <c r="E942" s="5">
        <v>10</v>
      </c>
      <c r="F942" s="5">
        <v>3522.11</v>
      </c>
      <c r="G942" s="5">
        <v>3586.74</v>
      </c>
    </row>
    <row r="943" spans="1:7" ht="15" customHeight="1" x14ac:dyDescent="0.3">
      <c r="A943" s="5" t="s">
        <v>410</v>
      </c>
      <c r="B943" s="5" t="s">
        <v>34</v>
      </c>
      <c r="C943" s="5" t="s">
        <v>79</v>
      </c>
      <c r="D943" s="5" t="s">
        <v>72</v>
      </c>
      <c r="E943" s="5">
        <v>11</v>
      </c>
      <c r="F943" s="5">
        <v>4475.8500000000004</v>
      </c>
      <c r="G943" s="5">
        <v>4211.22</v>
      </c>
    </row>
    <row r="944" spans="1:7" ht="15" customHeight="1" x14ac:dyDescent="0.3">
      <c r="A944" s="5" t="s">
        <v>410</v>
      </c>
      <c r="B944" s="5" t="s">
        <v>28</v>
      </c>
      <c r="C944" s="5" t="s">
        <v>29</v>
      </c>
      <c r="D944" s="5" t="s">
        <v>30</v>
      </c>
      <c r="E944" s="5">
        <v>3</v>
      </c>
      <c r="F944" s="5">
        <v>1365.96</v>
      </c>
      <c r="G944" s="5">
        <v>1553.47</v>
      </c>
    </row>
    <row r="945" spans="1:7" ht="15" customHeight="1" x14ac:dyDescent="0.3">
      <c r="A945" s="5" t="s">
        <v>411</v>
      </c>
      <c r="B945" s="5" t="s">
        <v>34</v>
      </c>
      <c r="C945" s="5" t="s">
        <v>75</v>
      </c>
      <c r="D945" s="5" t="s">
        <v>33</v>
      </c>
      <c r="E945" s="5">
        <v>7</v>
      </c>
      <c r="F945" s="5">
        <v>11903.81</v>
      </c>
      <c r="G945" s="5">
        <v>13437.39</v>
      </c>
    </row>
    <row r="946" spans="1:7" ht="15" customHeight="1" x14ac:dyDescent="0.3">
      <c r="A946" s="5" t="s">
        <v>411</v>
      </c>
      <c r="B946" s="5" t="s">
        <v>34</v>
      </c>
      <c r="C946" s="5" t="s">
        <v>75</v>
      </c>
      <c r="D946" s="5" t="s">
        <v>65</v>
      </c>
      <c r="E946" s="5">
        <v>9</v>
      </c>
      <c r="F946" s="5">
        <v>13956.23</v>
      </c>
      <c r="G946" s="5">
        <v>13021.96</v>
      </c>
    </row>
    <row r="947" spans="1:7" ht="15" customHeight="1" x14ac:dyDescent="0.3">
      <c r="A947" s="5" t="s">
        <v>411</v>
      </c>
      <c r="B947" s="5" t="s">
        <v>17</v>
      </c>
      <c r="C947" s="5" t="s">
        <v>18</v>
      </c>
      <c r="D947" s="5" t="s">
        <v>80</v>
      </c>
      <c r="E947" s="5">
        <v>9</v>
      </c>
      <c r="F947" s="5">
        <v>5516.04</v>
      </c>
      <c r="G947" s="5">
        <v>5927.82</v>
      </c>
    </row>
    <row r="948" spans="1:7" ht="15" customHeight="1" x14ac:dyDescent="0.3">
      <c r="A948" s="5" t="s">
        <v>411</v>
      </c>
      <c r="B948" s="5" t="s">
        <v>34</v>
      </c>
      <c r="C948" s="5" t="s">
        <v>35</v>
      </c>
      <c r="D948" s="5" t="s">
        <v>55</v>
      </c>
      <c r="E948" s="5">
        <v>11</v>
      </c>
      <c r="F948" s="5">
        <v>3583.54</v>
      </c>
      <c r="G948" s="5">
        <v>4055.32</v>
      </c>
    </row>
    <row r="949" spans="1:7" ht="15" customHeight="1" x14ac:dyDescent="0.3">
      <c r="A949" s="5" t="s">
        <v>411</v>
      </c>
      <c r="B949" s="5" t="s">
        <v>53</v>
      </c>
      <c r="C949" s="5" t="s">
        <v>93</v>
      </c>
      <c r="D949" s="5" t="s">
        <v>10</v>
      </c>
      <c r="E949" s="5">
        <v>5</v>
      </c>
      <c r="F949" s="5">
        <v>5789.53</v>
      </c>
      <c r="G949" s="5">
        <v>4547.3500000000004</v>
      </c>
    </row>
    <row r="950" spans="1:7" ht="15" customHeight="1" x14ac:dyDescent="0.3">
      <c r="A950" s="5" t="s">
        <v>411</v>
      </c>
      <c r="B950" s="5" t="s">
        <v>53</v>
      </c>
      <c r="C950" s="5" t="s">
        <v>54</v>
      </c>
      <c r="D950" s="5" t="s">
        <v>44</v>
      </c>
      <c r="E950" s="5">
        <v>9</v>
      </c>
      <c r="F950" s="5">
        <v>2458.3200000000002</v>
      </c>
      <c r="G950" s="5">
        <v>2333.2199999999998</v>
      </c>
    </row>
    <row r="951" spans="1:7" ht="15" customHeight="1" x14ac:dyDescent="0.3">
      <c r="A951" s="5" t="s">
        <v>411</v>
      </c>
      <c r="B951" s="5" t="s">
        <v>11</v>
      </c>
      <c r="C951" s="5" t="s">
        <v>15</v>
      </c>
      <c r="D951" s="5" t="s">
        <v>20</v>
      </c>
      <c r="E951" s="5">
        <v>4</v>
      </c>
      <c r="F951" s="5">
        <v>1856.44</v>
      </c>
      <c r="G951" s="5">
        <v>1758.26</v>
      </c>
    </row>
    <row r="952" spans="1:7" ht="15" customHeight="1" x14ac:dyDescent="0.3">
      <c r="A952" s="5" t="s">
        <v>412</v>
      </c>
      <c r="B952" s="5" t="s">
        <v>22</v>
      </c>
      <c r="C952" s="5" t="s">
        <v>25</v>
      </c>
      <c r="D952" s="5" t="s">
        <v>61</v>
      </c>
      <c r="E952" s="5">
        <v>5</v>
      </c>
      <c r="F952" s="5">
        <v>4048.98</v>
      </c>
      <c r="G952" s="5">
        <v>4163.97</v>
      </c>
    </row>
    <row r="953" spans="1:7" ht="15" customHeight="1" x14ac:dyDescent="0.3">
      <c r="A953" s="5" t="s">
        <v>412</v>
      </c>
      <c r="B953" s="5" t="s">
        <v>28</v>
      </c>
      <c r="C953" s="5" t="s">
        <v>29</v>
      </c>
      <c r="D953" s="5" t="s">
        <v>56</v>
      </c>
      <c r="E953" s="5">
        <v>8</v>
      </c>
      <c r="F953" s="5">
        <v>4332.92</v>
      </c>
      <c r="G953" s="5">
        <v>4233.33</v>
      </c>
    </row>
    <row r="954" spans="1:7" ht="15" customHeight="1" x14ac:dyDescent="0.3">
      <c r="A954" s="5" t="s">
        <v>412</v>
      </c>
      <c r="B954" s="5" t="s">
        <v>22</v>
      </c>
      <c r="C954" s="5" t="s">
        <v>38</v>
      </c>
      <c r="D954" s="5" t="s">
        <v>69</v>
      </c>
      <c r="E954" s="5">
        <v>12</v>
      </c>
      <c r="F954" s="5">
        <v>3916.18</v>
      </c>
      <c r="G954" s="5">
        <v>3949.55</v>
      </c>
    </row>
    <row r="955" spans="1:7" ht="15" customHeight="1" x14ac:dyDescent="0.3">
      <c r="A955" s="5" t="s">
        <v>412</v>
      </c>
      <c r="B955" s="5" t="s">
        <v>8</v>
      </c>
      <c r="C955" s="5" t="s">
        <v>41</v>
      </c>
      <c r="D955" s="5" t="s">
        <v>99</v>
      </c>
      <c r="E955" s="5">
        <v>4</v>
      </c>
      <c r="F955" s="5">
        <v>287.37</v>
      </c>
      <c r="G955" s="5">
        <v>303.39</v>
      </c>
    </row>
    <row r="956" spans="1:7" ht="15" customHeight="1" x14ac:dyDescent="0.3">
      <c r="A956" s="5" t="s">
        <v>413</v>
      </c>
      <c r="B956" s="5" t="s">
        <v>42</v>
      </c>
      <c r="C956" s="5" t="s">
        <v>62</v>
      </c>
      <c r="D956" s="5" t="s">
        <v>56</v>
      </c>
      <c r="E956" s="5">
        <v>4</v>
      </c>
      <c r="F956" s="5">
        <v>2025.02</v>
      </c>
      <c r="G956" s="5">
        <v>1942.49</v>
      </c>
    </row>
    <row r="957" spans="1:7" ht="15" customHeight="1" x14ac:dyDescent="0.3">
      <c r="A957" s="5" t="s">
        <v>413</v>
      </c>
      <c r="B957" s="5" t="s">
        <v>34</v>
      </c>
      <c r="C957" s="5" t="s">
        <v>75</v>
      </c>
      <c r="D957" s="5" t="s">
        <v>69</v>
      </c>
      <c r="E957" s="5">
        <v>2</v>
      </c>
      <c r="F957" s="5">
        <v>771.09</v>
      </c>
      <c r="G957" s="5">
        <v>646.22</v>
      </c>
    </row>
    <row r="958" spans="1:7" ht="15" customHeight="1" x14ac:dyDescent="0.3">
      <c r="A958" s="5" t="s">
        <v>414</v>
      </c>
      <c r="B958" s="5" t="s">
        <v>53</v>
      </c>
      <c r="C958" s="5" t="s">
        <v>54</v>
      </c>
      <c r="D958" s="5" t="s">
        <v>26</v>
      </c>
      <c r="E958" s="5">
        <v>9</v>
      </c>
      <c r="F958" s="5">
        <v>2149.0100000000002</v>
      </c>
      <c r="G958" s="5">
        <v>1765.75</v>
      </c>
    </row>
    <row r="959" spans="1:7" ht="15" customHeight="1" x14ac:dyDescent="0.3">
      <c r="A959" s="5" t="s">
        <v>415</v>
      </c>
      <c r="B959" s="5" t="s">
        <v>8</v>
      </c>
      <c r="C959" s="5" t="s">
        <v>107</v>
      </c>
      <c r="D959" s="5" t="s">
        <v>99</v>
      </c>
      <c r="E959" s="5">
        <v>10</v>
      </c>
      <c r="F959" s="5">
        <v>831.42</v>
      </c>
      <c r="G959" s="5">
        <v>726.88</v>
      </c>
    </row>
    <row r="960" spans="1:7" ht="15" customHeight="1" x14ac:dyDescent="0.3">
      <c r="A960" s="5" t="s">
        <v>415</v>
      </c>
      <c r="B960" s="5" t="s">
        <v>28</v>
      </c>
      <c r="C960" s="5" t="s">
        <v>29</v>
      </c>
      <c r="D960" s="5" t="s">
        <v>10</v>
      </c>
      <c r="E960" s="5">
        <v>4</v>
      </c>
      <c r="F960" s="5">
        <v>4609.71</v>
      </c>
      <c r="G960" s="5">
        <v>4134.6400000000003</v>
      </c>
    </row>
    <row r="961" spans="1:7" ht="15" customHeight="1" x14ac:dyDescent="0.3">
      <c r="A961" s="5" t="s">
        <v>415</v>
      </c>
      <c r="B961" s="5" t="s">
        <v>17</v>
      </c>
      <c r="C961" s="5" t="s">
        <v>68</v>
      </c>
      <c r="D961" s="5" t="s">
        <v>91</v>
      </c>
      <c r="E961" s="5">
        <v>7</v>
      </c>
      <c r="F961" s="5">
        <v>2034.41</v>
      </c>
      <c r="G961" s="5">
        <v>2295.27</v>
      </c>
    </row>
    <row r="962" spans="1:7" ht="15" customHeight="1" x14ac:dyDescent="0.3">
      <c r="A962" s="5" t="s">
        <v>415</v>
      </c>
      <c r="B962" s="5" t="s">
        <v>42</v>
      </c>
      <c r="C962" s="5" t="s">
        <v>43</v>
      </c>
      <c r="D962" s="5" t="s">
        <v>26</v>
      </c>
      <c r="E962" s="5">
        <v>7</v>
      </c>
      <c r="F962" s="5">
        <v>1491.24</v>
      </c>
      <c r="G962" s="5">
        <v>1734.71</v>
      </c>
    </row>
    <row r="963" spans="1:7" ht="15" customHeight="1" x14ac:dyDescent="0.3">
      <c r="A963" s="5" t="s">
        <v>416</v>
      </c>
      <c r="B963" s="5" t="s">
        <v>53</v>
      </c>
      <c r="C963" s="5" t="s">
        <v>93</v>
      </c>
      <c r="D963" s="5" t="s">
        <v>91</v>
      </c>
      <c r="E963" s="5">
        <v>1</v>
      </c>
      <c r="F963" s="5">
        <v>302.97000000000003</v>
      </c>
      <c r="G963" s="5">
        <v>308.12</v>
      </c>
    </row>
    <row r="964" spans="1:7" ht="15" customHeight="1" x14ac:dyDescent="0.3">
      <c r="A964" s="5" t="s">
        <v>416</v>
      </c>
      <c r="B964" s="5" t="s">
        <v>22</v>
      </c>
      <c r="C964" s="5" t="s">
        <v>100</v>
      </c>
      <c r="D964" s="5" t="s">
        <v>56</v>
      </c>
      <c r="E964" s="5">
        <v>2</v>
      </c>
      <c r="F964" s="5">
        <v>1069.46</v>
      </c>
      <c r="G964" s="5">
        <v>885.74</v>
      </c>
    </row>
    <row r="965" spans="1:7" ht="15" customHeight="1" x14ac:dyDescent="0.3">
      <c r="A965" s="5" t="s">
        <v>417</v>
      </c>
      <c r="B965" s="5" t="s">
        <v>22</v>
      </c>
      <c r="C965" s="5" t="s">
        <v>123</v>
      </c>
      <c r="D965" s="5" t="s">
        <v>44</v>
      </c>
      <c r="E965" s="5">
        <v>8</v>
      </c>
      <c r="F965" s="5">
        <v>2005.04</v>
      </c>
      <c r="G965" s="5">
        <v>2354.41</v>
      </c>
    </row>
    <row r="966" spans="1:7" ht="15" customHeight="1" x14ac:dyDescent="0.3">
      <c r="A966" s="5" t="s">
        <v>417</v>
      </c>
      <c r="B966" s="5" t="s">
        <v>17</v>
      </c>
      <c r="C966" s="5" t="s">
        <v>19</v>
      </c>
      <c r="D966" s="5" t="s">
        <v>69</v>
      </c>
      <c r="E966" s="5">
        <v>5</v>
      </c>
      <c r="F966" s="5">
        <v>1818.62</v>
      </c>
      <c r="G966" s="5">
        <v>1799.83</v>
      </c>
    </row>
    <row r="967" spans="1:7" ht="15" customHeight="1" x14ac:dyDescent="0.3">
      <c r="A967" s="5" t="s">
        <v>418</v>
      </c>
      <c r="B967" s="5" t="s">
        <v>22</v>
      </c>
      <c r="C967" s="5" t="s">
        <v>114</v>
      </c>
      <c r="D967" s="5" t="s">
        <v>55</v>
      </c>
      <c r="E967" s="5">
        <v>2</v>
      </c>
      <c r="F967" s="5">
        <v>770.52</v>
      </c>
      <c r="G967" s="5">
        <v>640.26</v>
      </c>
    </row>
    <row r="968" spans="1:7" ht="15" customHeight="1" x14ac:dyDescent="0.3">
      <c r="A968" s="5" t="s">
        <v>419</v>
      </c>
      <c r="B968" s="5" t="s">
        <v>17</v>
      </c>
      <c r="C968" s="5" t="s">
        <v>19</v>
      </c>
      <c r="D968" s="5" t="s">
        <v>86</v>
      </c>
      <c r="E968" s="5">
        <v>10</v>
      </c>
      <c r="F968" s="5">
        <v>2994.46</v>
      </c>
      <c r="G968" s="5">
        <v>3491.43</v>
      </c>
    </row>
    <row r="969" spans="1:7" ht="15" customHeight="1" x14ac:dyDescent="0.3">
      <c r="A969" s="5" t="s">
        <v>419</v>
      </c>
      <c r="B969" s="5" t="s">
        <v>34</v>
      </c>
      <c r="C969" s="5" t="s">
        <v>75</v>
      </c>
      <c r="D969" s="5" t="s">
        <v>44</v>
      </c>
      <c r="E969" s="5">
        <v>11</v>
      </c>
      <c r="F969" s="5">
        <v>2675.76</v>
      </c>
      <c r="G969" s="5">
        <v>2964.7</v>
      </c>
    </row>
    <row r="970" spans="1:7" ht="15" customHeight="1" x14ac:dyDescent="0.3">
      <c r="A970" s="5" t="s">
        <v>419</v>
      </c>
      <c r="B970" s="5" t="s">
        <v>34</v>
      </c>
      <c r="C970" s="5" t="s">
        <v>35</v>
      </c>
      <c r="D970" s="5" t="s">
        <v>82</v>
      </c>
      <c r="E970" s="5">
        <v>11</v>
      </c>
      <c r="F970" s="5">
        <v>8505.9</v>
      </c>
      <c r="G970" s="5">
        <v>9151.36</v>
      </c>
    </row>
    <row r="971" spans="1:7" ht="15" customHeight="1" x14ac:dyDescent="0.3">
      <c r="A971" s="5" t="s">
        <v>420</v>
      </c>
      <c r="B971" s="5" t="s">
        <v>11</v>
      </c>
      <c r="C971" s="5" t="s">
        <v>60</v>
      </c>
      <c r="D971" s="5" t="s">
        <v>16</v>
      </c>
      <c r="E971" s="5">
        <v>3</v>
      </c>
      <c r="F971" s="5">
        <v>1088.58</v>
      </c>
      <c r="G971" s="5">
        <v>1009.97</v>
      </c>
    </row>
    <row r="972" spans="1:7" ht="15" customHeight="1" x14ac:dyDescent="0.3">
      <c r="A972" s="5" t="s">
        <v>420</v>
      </c>
      <c r="B972" s="5" t="s">
        <v>42</v>
      </c>
      <c r="C972" s="5" t="s">
        <v>62</v>
      </c>
      <c r="D972" s="5" t="s">
        <v>55</v>
      </c>
      <c r="E972" s="5">
        <v>7</v>
      </c>
      <c r="F972" s="5">
        <v>2555.94</v>
      </c>
      <c r="G972" s="5">
        <v>2241</v>
      </c>
    </row>
    <row r="973" spans="1:7" ht="15" customHeight="1" x14ac:dyDescent="0.3">
      <c r="A973" s="5" t="s">
        <v>420</v>
      </c>
      <c r="B973" s="5" t="s">
        <v>17</v>
      </c>
      <c r="C973" s="5" t="s">
        <v>18</v>
      </c>
      <c r="D973" s="5" t="s">
        <v>82</v>
      </c>
      <c r="E973" s="5">
        <v>5</v>
      </c>
      <c r="F973" s="5">
        <v>4092.21</v>
      </c>
      <c r="G973" s="5">
        <v>3781.51</v>
      </c>
    </row>
    <row r="974" spans="1:7" ht="15" customHeight="1" x14ac:dyDescent="0.3">
      <c r="A974" s="5" t="s">
        <v>421</v>
      </c>
      <c r="B974" s="5" t="s">
        <v>53</v>
      </c>
      <c r="C974" s="5" t="s">
        <v>71</v>
      </c>
      <c r="D974" s="5" t="s">
        <v>51</v>
      </c>
      <c r="E974" s="5">
        <v>12</v>
      </c>
      <c r="F974" s="5">
        <v>9880.73</v>
      </c>
      <c r="G974" s="5">
        <v>8356.8799999999992</v>
      </c>
    </row>
    <row r="975" spans="1:7" ht="15" customHeight="1" x14ac:dyDescent="0.3">
      <c r="A975" s="5" t="s">
        <v>421</v>
      </c>
      <c r="B975" s="5" t="s">
        <v>11</v>
      </c>
      <c r="C975" s="5" t="s">
        <v>60</v>
      </c>
      <c r="D975" s="5" t="s">
        <v>26</v>
      </c>
      <c r="E975" s="5">
        <v>8</v>
      </c>
      <c r="F975" s="5"/>
      <c r="G975" s="5">
        <v>1992.26</v>
      </c>
    </row>
    <row r="976" spans="1:7" ht="15" customHeight="1" x14ac:dyDescent="0.3">
      <c r="A976" s="5" t="s">
        <v>421</v>
      </c>
      <c r="B976" s="5" t="s">
        <v>22</v>
      </c>
      <c r="C976" s="5" t="s">
        <v>123</v>
      </c>
      <c r="D976" s="5" t="s">
        <v>97</v>
      </c>
      <c r="E976" s="5">
        <v>3</v>
      </c>
      <c r="F976" s="5">
        <v>2589.2800000000002</v>
      </c>
      <c r="G976" s="5">
        <v>2735.83</v>
      </c>
    </row>
    <row r="977" spans="1:7" ht="15" customHeight="1" x14ac:dyDescent="0.3">
      <c r="A977" s="5" t="s">
        <v>421</v>
      </c>
      <c r="B977" s="5" t="s">
        <v>42</v>
      </c>
      <c r="C977" s="5" t="s">
        <v>62</v>
      </c>
      <c r="D977" s="5" t="s">
        <v>96</v>
      </c>
      <c r="E977" s="5">
        <v>2</v>
      </c>
      <c r="F977" s="5">
        <v>2964.43</v>
      </c>
      <c r="G977" s="5">
        <v>3329.68</v>
      </c>
    </row>
    <row r="978" spans="1:7" ht="15" customHeight="1" x14ac:dyDescent="0.3">
      <c r="A978" s="5" t="s">
        <v>422</v>
      </c>
      <c r="B978" s="5" t="s">
        <v>22</v>
      </c>
      <c r="C978" s="5" t="s">
        <v>78</v>
      </c>
      <c r="D978" s="5" t="s">
        <v>80</v>
      </c>
      <c r="E978" s="5">
        <v>9</v>
      </c>
      <c r="F978" s="5">
        <v>6193.99</v>
      </c>
      <c r="G978" s="5">
        <v>5329.52</v>
      </c>
    </row>
    <row r="979" spans="1:7" ht="15" customHeight="1" x14ac:dyDescent="0.3">
      <c r="A979" s="5" t="s">
        <v>422</v>
      </c>
      <c r="B979" s="5" t="s">
        <v>53</v>
      </c>
      <c r="C979" s="5" t="s">
        <v>94</v>
      </c>
      <c r="D979" s="5" t="s">
        <v>49</v>
      </c>
      <c r="E979" s="5">
        <v>1</v>
      </c>
      <c r="F979" s="5">
        <v>401.3</v>
      </c>
      <c r="G979" s="5">
        <v>386.08</v>
      </c>
    </row>
    <row r="980" spans="1:7" ht="15" customHeight="1" x14ac:dyDescent="0.3">
      <c r="A980" s="5" t="s">
        <v>423</v>
      </c>
      <c r="B980" s="5" t="s">
        <v>8</v>
      </c>
      <c r="C980" s="5" t="s">
        <v>83</v>
      </c>
      <c r="D980" s="5" t="s">
        <v>44</v>
      </c>
      <c r="E980" s="5">
        <v>6</v>
      </c>
      <c r="F980" s="5">
        <v>1716.79</v>
      </c>
      <c r="G980" s="5">
        <v>1359</v>
      </c>
    </row>
    <row r="981" spans="1:7" ht="15" customHeight="1" x14ac:dyDescent="0.3">
      <c r="A981" s="5" t="s">
        <v>424</v>
      </c>
      <c r="B981" s="5" t="s">
        <v>28</v>
      </c>
      <c r="C981" s="5" t="s">
        <v>29</v>
      </c>
      <c r="D981" s="5" t="s">
        <v>20</v>
      </c>
      <c r="E981" s="5">
        <v>3</v>
      </c>
      <c r="F981" s="5">
        <v>1231.5899999999999</v>
      </c>
      <c r="G981" s="5">
        <v>1366.57</v>
      </c>
    </row>
    <row r="982" spans="1:7" ht="15" customHeight="1" x14ac:dyDescent="0.3">
      <c r="A982" s="5" t="s">
        <v>424</v>
      </c>
      <c r="B982" s="5" t="s">
        <v>53</v>
      </c>
      <c r="C982" s="5" t="s">
        <v>94</v>
      </c>
      <c r="D982" s="5" t="s">
        <v>51</v>
      </c>
      <c r="E982" s="5">
        <v>9</v>
      </c>
      <c r="F982" s="5">
        <v>7017.34</v>
      </c>
      <c r="G982" s="5">
        <v>7869.12</v>
      </c>
    </row>
    <row r="983" spans="1:7" ht="15" customHeight="1" x14ac:dyDescent="0.3">
      <c r="A983" s="5" t="s">
        <v>424</v>
      </c>
      <c r="B983" s="5" t="s">
        <v>53</v>
      </c>
      <c r="C983" s="5" t="s">
        <v>58</v>
      </c>
      <c r="D983" s="5" t="s">
        <v>56</v>
      </c>
      <c r="E983" s="5">
        <v>12</v>
      </c>
      <c r="F983" s="5">
        <v>6667.3</v>
      </c>
      <c r="G983" s="5">
        <v>5688.46</v>
      </c>
    </row>
    <row r="984" spans="1:7" ht="15" customHeight="1" x14ac:dyDescent="0.3">
      <c r="A984" s="5" t="s">
        <v>425</v>
      </c>
      <c r="B984" s="5" t="s">
        <v>42</v>
      </c>
      <c r="C984" s="5" t="s">
        <v>63</v>
      </c>
      <c r="D984" s="5" t="s">
        <v>26</v>
      </c>
      <c r="E984" s="5">
        <v>5</v>
      </c>
      <c r="F984" s="5">
        <v>1183.79</v>
      </c>
      <c r="G984" s="5">
        <v>1096.01</v>
      </c>
    </row>
    <row r="985" spans="1:7" ht="15" customHeight="1" x14ac:dyDescent="0.3">
      <c r="A985" s="5" t="s">
        <v>425</v>
      </c>
      <c r="B985" s="5" t="s">
        <v>11</v>
      </c>
      <c r="C985" s="5" t="s">
        <v>15</v>
      </c>
      <c r="D985" s="5" t="s">
        <v>113</v>
      </c>
      <c r="E985" s="5">
        <v>3</v>
      </c>
      <c r="F985" s="5">
        <v>946.17</v>
      </c>
      <c r="G985" s="5">
        <v>1052.3599999999999</v>
      </c>
    </row>
    <row r="986" spans="1:7" ht="15" customHeight="1" x14ac:dyDescent="0.3">
      <c r="A986" s="5" t="s">
        <v>425</v>
      </c>
      <c r="B986" s="5" t="s">
        <v>34</v>
      </c>
      <c r="C986" s="5" t="s">
        <v>35</v>
      </c>
      <c r="D986" s="5" t="s">
        <v>33</v>
      </c>
      <c r="E986" s="5">
        <v>11</v>
      </c>
      <c r="F986" s="5">
        <v>18534.7</v>
      </c>
      <c r="G986" s="5">
        <v>19871.25</v>
      </c>
    </row>
    <row r="987" spans="1:7" ht="15" customHeight="1" x14ac:dyDescent="0.3">
      <c r="A987" s="5" t="s">
        <v>425</v>
      </c>
      <c r="B987" s="5" t="s">
        <v>17</v>
      </c>
      <c r="C987" s="5" t="s">
        <v>19</v>
      </c>
      <c r="D987" s="5" t="s">
        <v>103</v>
      </c>
      <c r="E987" s="5">
        <v>2</v>
      </c>
      <c r="F987" s="5">
        <v>1748.42</v>
      </c>
      <c r="G987" s="5">
        <v>1809.07</v>
      </c>
    </row>
    <row r="988" spans="1:7" ht="15" customHeight="1" x14ac:dyDescent="0.3">
      <c r="A988" s="5" t="s">
        <v>426</v>
      </c>
      <c r="B988" s="5" t="s">
        <v>28</v>
      </c>
      <c r="C988" s="5" t="s">
        <v>66</v>
      </c>
      <c r="D988" s="5" t="s">
        <v>65</v>
      </c>
      <c r="E988" s="5">
        <v>8</v>
      </c>
      <c r="F988" s="5">
        <v>11472.7</v>
      </c>
      <c r="G988" s="5">
        <v>10628.33</v>
      </c>
    </row>
    <row r="989" spans="1:7" ht="15" customHeight="1" x14ac:dyDescent="0.3">
      <c r="A989" s="5" t="s">
        <v>427</v>
      </c>
      <c r="B989" s="5" t="s">
        <v>34</v>
      </c>
      <c r="C989" s="5" t="s">
        <v>75</v>
      </c>
      <c r="D989" s="5" t="s">
        <v>39</v>
      </c>
      <c r="E989" s="5">
        <v>8</v>
      </c>
      <c r="F989" s="5">
        <v>1501.12</v>
      </c>
      <c r="G989" s="5">
        <v>1424.44</v>
      </c>
    </row>
    <row r="990" spans="1:7" ht="15" customHeight="1" x14ac:dyDescent="0.3">
      <c r="A990" s="5" t="s">
        <v>428</v>
      </c>
      <c r="B990" s="5" t="s">
        <v>8</v>
      </c>
      <c r="C990" s="5" t="s">
        <v>102</v>
      </c>
      <c r="D990" s="5" t="s">
        <v>55</v>
      </c>
      <c r="E990" s="5">
        <v>7</v>
      </c>
      <c r="F990" s="5">
        <v>2256.66</v>
      </c>
      <c r="G990" s="5">
        <v>2162.83</v>
      </c>
    </row>
    <row r="991" spans="1:7" ht="15" customHeight="1" x14ac:dyDescent="0.3">
      <c r="A991" s="5" t="s">
        <v>429</v>
      </c>
      <c r="B991" s="5" t="s">
        <v>42</v>
      </c>
      <c r="C991" s="5" t="s">
        <v>111</v>
      </c>
      <c r="D991" s="5" t="s">
        <v>51</v>
      </c>
      <c r="E991" s="5">
        <v>10</v>
      </c>
      <c r="F991" s="5">
        <v>7642.6</v>
      </c>
      <c r="G991" s="5">
        <v>8131.69</v>
      </c>
    </row>
    <row r="992" spans="1:7" ht="15" customHeight="1" x14ac:dyDescent="0.3">
      <c r="A992" s="5" t="s">
        <v>429</v>
      </c>
      <c r="B992" s="5" t="s">
        <v>11</v>
      </c>
      <c r="C992" s="5" t="s">
        <v>15</v>
      </c>
      <c r="D992" s="5" t="s">
        <v>82</v>
      </c>
      <c r="E992" s="5">
        <v>10</v>
      </c>
      <c r="F992" s="5">
        <v>9050.0400000000009</v>
      </c>
      <c r="G992" s="5">
        <v>9008.0300000000007</v>
      </c>
    </row>
    <row r="993" spans="1:7" ht="15" customHeight="1" x14ac:dyDescent="0.3">
      <c r="A993" s="5" t="s">
        <v>429</v>
      </c>
      <c r="B993" s="5" t="s">
        <v>34</v>
      </c>
      <c r="C993" s="5" t="s">
        <v>75</v>
      </c>
      <c r="D993" s="5" t="s">
        <v>13</v>
      </c>
      <c r="E993" s="5">
        <v>1</v>
      </c>
      <c r="F993" s="5">
        <v>572.34</v>
      </c>
      <c r="G993" s="5">
        <v>545.19000000000005</v>
      </c>
    </row>
    <row r="994" spans="1:7" ht="15" customHeight="1" x14ac:dyDescent="0.3">
      <c r="A994" s="5" t="s">
        <v>430</v>
      </c>
      <c r="B994" s="5" t="s">
        <v>17</v>
      </c>
      <c r="C994" s="5" t="s">
        <v>18</v>
      </c>
      <c r="D994" s="5" t="s">
        <v>113</v>
      </c>
      <c r="E994" s="5">
        <v>6</v>
      </c>
      <c r="F994" s="5">
        <v>2096.7199999999998</v>
      </c>
      <c r="G994" s="5">
        <v>1850.75</v>
      </c>
    </row>
    <row r="995" spans="1:7" ht="15" customHeight="1" x14ac:dyDescent="0.3">
      <c r="A995" s="5" t="s">
        <v>430</v>
      </c>
      <c r="B995" s="5" t="s">
        <v>53</v>
      </c>
      <c r="C995" s="5" t="s">
        <v>93</v>
      </c>
      <c r="D995" s="5" t="s">
        <v>36</v>
      </c>
      <c r="E995" s="5">
        <v>7</v>
      </c>
      <c r="F995" s="5">
        <v>5383.45</v>
      </c>
      <c r="G995" s="5">
        <v>5546.32</v>
      </c>
    </row>
    <row r="996" spans="1:7" ht="15" customHeight="1" x14ac:dyDescent="0.3">
      <c r="A996" s="5" t="s">
        <v>430</v>
      </c>
      <c r="B996" s="5" t="s">
        <v>34</v>
      </c>
      <c r="C996" s="5" t="s">
        <v>35</v>
      </c>
      <c r="D996" s="5" t="s">
        <v>20</v>
      </c>
      <c r="E996" s="5">
        <v>8</v>
      </c>
      <c r="F996" s="5">
        <v>3719.68</v>
      </c>
      <c r="G996" s="5">
        <v>3889.36</v>
      </c>
    </row>
    <row r="997" spans="1:7" ht="15" customHeight="1" x14ac:dyDescent="0.3">
      <c r="A997" s="5" t="s">
        <v>430</v>
      </c>
      <c r="B997" s="5" t="s">
        <v>53</v>
      </c>
      <c r="C997" s="5" t="s">
        <v>71</v>
      </c>
      <c r="D997" s="5" t="s">
        <v>113</v>
      </c>
      <c r="E997" s="5">
        <v>7</v>
      </c>
      <c r="F997" s="5">
        <v>2149.46</v>
      </c>
      <c r="G997" s="5">
        <v>2342.9</v>
      </c>
    </row>
    <row r="998" spans="1:7" ht="15" customHeight="1" x14ac:dyDescent="0.3">
      <c r="A998" s="5" t="s">
        <v>430</v>
      </c>
      <c r="B998" s="5" t="s">
        <v>28</v>
      </c>
      <c r="C998" s="5" t="s">
        <v>66</v>
      </c>
      <c r="D998" s="5" t="s">
        <v>10</v>
      </c>
      <c r="E998" s="5">
        <v>1</v>
      </c>
      <c r="F998" s="5">
        <v>1010.85</v>
      </c>
      <c r="G998" s="5">
        <v>996.34</v>
      </c>
    </row>
    <row r="999" spans="1:7" ht="15" customHeight="1" x14ac:dyDescent="0.3">
      <c r="A999" s="5" t="s">
        <v>431</v>
      </c>
      <c r="B999" s="5" t="s">
        <v>17</v>
      </c>
      <c r="C999" s="5" t="s">
        <v>18</v>
      </c>
      <c r="D999" s="5" t="s">
        <v>26</v>
      </c>
      <c r="E999" s="5">
        <v>7</v>
      </c>
      <c r="F999" s="5">
        <v>1656.15</v>
      </c>
      <c r="G999" s="5">
        <v>1445.11</v>
      </c>
    </row>
    <row r="1000" spans="1:7" ht="15" customHeight="1" x14ac:dyDescent="0.3">
      <c r="A1000" s="5" t="s">
        <v>432</v>
      </c>
      <c r="B1000" s="5" t="s">
        <v>11</v>
      </c>
      <c r="C1000" s="5" t="s">
        <v>15</v>
      </c>
      <c r="D1000" s="5" t="s">
        <v>48</v>
      </c>
      <c r="E1000" s="5">
        <v>9</v>
      </c>
      <c r="F1000" s="5">
        <v>2153.29</v>
      </c>
      <c r="G1000" s="5">
        <v>2043.42</v>
      </c>
    </row>
    <row r="1001" spans="1:7" ht="15" customHeight="1" x14ac:dyDescent="0.3">
      <c r="A1001" s="5" t="s">
        <v>432</v>
      </c>
      <c r="B1001" s="5" t="s">
        <v>17</v>
      </c>
      <c r="C1001" s="5" t="s">
        <v>19</v>
      </c>
      <c r="D1001" s="5" t="s">
        <v>61</v>
      </c>
      <c r="E1001" s="5">
        <v>2</v>
      </c>
      <c r="F1001" s="5">
        <v>1464.11</v>
      </c>
      <c r="G1001" s="5">
        <v>1326.38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4"/>
  <sheetViews>
    <sheetView zoomScaleNormal="100" workbookViewId="0"/>
  </sheetViews>
  <sheetFormatPr defaultColWidth="8.6640625" defaultRowHeight="14.4" x14ac:dyDescent="0.3"/>
  <cols>
    <col min="1" max="1" width="13" customWidth="1"/>
    <col min="2" max="2" width="23" customWidth="1"/>
    <col min="3" max="4" width="18" customWidth="1"/>
    <col min="5" max="5" width="10" customWidth="1"/>
  </cols>
  <sheetData>
    <row r="1" spans="1:5" ht="15" customHeight="1" x14ac:dyDescent="0.3">
      <c r="A1" s="4" t="s">
        <v>433</v>
      </c>
      <c r="B1" s="4" t="s">
        <v>434</v>
      </c>
      <c r="C1" s="4" t="s">
        <v>435</v>
      </c>
      <c r="D1" s="4" t="s">
        <v>436</v>
      </c>
      <c r="E1" s="4" t="s">
        <v>437</v>
      </c>
    </row>
    <row r="2" spans="1:5" ht="15" customHeight="1" x14ac:dyDescent="0.3">
      <c r="A2" s="5" t="s">
        <v>123</v>
      </c>
      <c r="B2" s="5" t="s">
        <v>438</v>
      </c>
      <c r="C2" s="5" t="s">
        <v>439</v>
      </c>
      <c r="D2" s="5" t="s">
        <v>440</v>
      </c>
      <c r="E2" s="5" t="s">
        <v>441</v>
      </c>
    </row>
    <row r="3" spans="1:5" ht="15" customHeight="1" x14ac:dyDescent="0.3">
      <c r="A3" s="5" t="s">
        <v>78</v>
      </c>
      <c r="B3" s="5" t="s">
        <v>442</v>
      </c>
      <c r="C3" s="5" t="s">
        <v>443</v>
      </c>
      <c r="D3" s="5" t="s">
        <v>440</v>
      </c>
      <c r="E3" s="5" t="s">
        <v>441</v>
      </c>
    </row>
    <row r="4" spans="1:5" ht="15" customHeight="1" x14ac:dyDescent="0.3">
      <c r="A4" s="5" t="s">
        <v>93</v>
      </c>
      <c r="B4" s="5" t="s">
        <v>444</v>
      </c>
      <c r="C4" s="5" t="s">
        <v>439</v>
      </c>
      <c r="D4" s="5" t="s">
        <v>445</v>
      </c>
      <c r="E4" s="5" t="s">
        <v>446</v>
      </c>
    </row>
    <row r="5" spans="1:5" ht="15" customHeight="1" x14ac:dyDescent="0.3">
      <c r="A5" s="5" t="s">
        <v>71</v>
      </c>
      <c r="B5" s="5" t="s">
        <v>447</v>
      </c>
      <c r="C5" s="5" t="s">
        <v>448</v>
      </c>
      <c r="D5" s="5" t="s">
        <v>445</v>
      </c>
      <c r="E5" s="5" t="s">
        <v>446</v>
      </c>
    </row>
    <row r="6" spans="1:5" ht="15" customHeight="1" x14ac:dyDescent="0.3">
      <c r="A6" s="5" t="s">
        <v>38</v>
      </c>
      <c r="B6" s="5" t="s">
        <v>449</v>
      </c>
      <c r="C6" s="5" t="s">
        <v>450</v>
      </c>
      <c r="D6" s="5" t="s">
        <v>440</v>
      </c>
      <c r="E6" s="5" t="s">
        <v>441</v>
      </c>
    </row>
    <row r="7" spans="1:5" ht="15" customHeight="1" x14ac:dyDescent="0.3">
      <c r="A7" s="5" t="s">
        <v>58</v>
      </c>
      <c r="B7" s="5" t="s">
        <v>451</v>
      </c>
      <c r="C7" s="5" t="s">
        <v>448</v>
      </c>
      <c r="D7" s="5" t="s">
        <v>445</v>
      </c>
      <c r="E7" s="5" t="s">
        <v>446</v>
      </c>
    </row>
    <row r="8" spans="1:5" ht="15" customHeight="1" x14ac:dyDescent="0.3">
      <c r="A8" s="5" t="s">
        <v>74</v>
      </c>
      <c r="B8" s="5" t="s">
        <v>452</v>
      </c>
      <c r="C8" s="5" t="s">
        <v>439</v>
      </c>
      <c r="D8" s="5" t="s">
        <v>453</v>
      </c>
      <c r="E8" s="5" t="s">
        <v>441</v>
      </c>
    </row>
    <row r="9" spans="1:5" ht="15" customHeight="1" x14ac:dyDescent="0.3">
      <c r="A9" s="5" t="s">
        <v>114</v>
      </c>
      <c r="B9" s="5" t="s">
        <v>454</v>
      </c>
      <c r="C9" s="5" t="s">
        <v>443</v>
      </c>
      <c r="D9" s="5" t="s">
        <v>440</v>
      </c>
      <c r="E9" s="5" t="s">
        <v>441</v>
      </c>
    </row>
    <row r="10" spans="1:5" ht="15" customHeight="1" x14ac:dyDescent="0.3">
      <c r="A10" s="5" t="s">
        <v>32</v>
      </c>
      <c r="B10" s="5" t="s">
        <v>455</v>
      </c>
      <c r="C10" s="5" t="s">
        <v>448</v>
      </c>
      <c r="D10" s="5" t="s">
        <v>453</v>
      </c>
      <c r="E10" s="5" t="s">
        <v>441</v>
      </c>
    </row>
    <row r="11" spans="1:5" ht="15" customHeight="1" x14ac:dyDescent="0.3">
      <c r="A11" s="5" t="s">
        <v>37</v>
      </c>
      <c r="B11" s="5" t="s">
        <v>456</v>
      </c>
      <c r="C11" s="5" t="s">
        <v>448</v>
      </c>
      <c r="D11" s="5" t="s">
        <v>453</v>
      </c>
      <c r="E11" s="5" t="s">
        <v>441</v>
      </c>
    </row>
    <row r="12" spans="1:5" ht="15" customHeight="1" x14ac:dyDescent="0.3">
      <c r="A12" s="5" t="s">
        <v>63</v>
      </c>
      <c r="B12" s="5" t="s">
        <v>457</v>
      </c>
      <c r="C12" s="5" t="s">
        <v>443</v>
      </c>
      <c r="D12" s="5" t="s">
        <v>458</v>
      </c>
      <c r="E12" s="5" t="s">
        <v>446</v>
      </c>
    </row>
    <row r="13" spans="1:5" ht="15" customHeight="1" x14ac:dyDescent="0.3">
      <c r="A13" s="5" t="s">
        <v>83</v>
      </c>
      <c r="B13" s="5" t="s">
        <v>459</v>
      </c>
      <c r="C13" s="5" t="s">
        <v>439</v>
      </c>
      <c r="D13" s="5" t="s">
        <v>453</v>
      </c>
      <c r="E13" s="5" t="s">
        <v>441</v>
      </c>
    </row>
    <row r="14" spans="1:5" ht="15" customHeight="1" x14ac:dyDescent="0.3">
      <c r="A14" s="5" t="s">
        <v>66</v>
      </c>
      <c r="B14" s="5" t="s">
        <v>460</v>
      </c>
      <c r="C14" s="5" t="s">
        <v>439</v>
      </c>
      <c r="D14" s="5" t="s">
        <v>461</v>
      </c>
      <c r="E14" s="5" t="s">
        <v>462</v>
      </c>
    </row>
    <row r="15" spans="1:5" ht="15" customHeight="1" x14ac:dyDescent="0.3">
      <c r="A15" s="5" t="s">
        <v>85</v>
      </c>
      <c r="B15" s="5" t="s">
        <v>463</v>
      </c>
      <c r="C15" s="5" t="s">
        <v>443</v>
      </c>
      <c r="D15" s="5" t="s">
        <v>458</v>
      </c>
      <c r="E15" s="5" t="s">
        <v>446</v>
      </c>
    </row>
    <row r="16" spans="1:5" ht="15" customHeight="1" x14ac:dyDescent="0.3">
      <c r="A16" s="5" t="s">
        <v>68</v>
      </c>
      <c r="B16" s="5" t="s">
        <v>464</v>
      </c>
      <c r="C16" s="5" t="s">
        <v>439</v>
      </c>
      <c r="D16" s="5" t="s">
        <v>465</v>
      </c>
      <c r="E16" s="5" t="s">
        <v>446</v>
      </c>
    </row>
    <row r="17" spans="1:5" ht="15" customHeight="1" x14ac:dyDescent="0.3">
      <c r="A17" s="5" t="s">
        <v>41</v>
      </c>
      <c r="B17" s="5" t="s">
        <v>466</v>
      </c>
      <c r="C17" s="5" t="s">
        <v>448</v>
      </c>
      <c r="D17" s="5" t="s">
        <v>453</v>
      </c>
      <c r="E17" s="5" t="s">
        <v>441</v>
      </c>
    </row>
    <row r="18" spans="1:5" ht="15" customHeight="1" x14ac:dyDescent="0.3">
      <c r="A18" s="5" t="s">
        <v>25</v>
      </c>
      <c r="B18" s="5" t="s">
        <v>467</v>
      </c>
      <c r="C18" s="5" t="s">
        <v>450</v>
      </c>
      <c r="D18" s="5" t="s">
        <v>440</v>
      </c>
      <c r="E18" s="5" t="s">
        <v>441</v>
      </c>
    </row>
    <row r="19" spans="1:5" ht="15" customHeight="1" x14ac:dyDescent="0.3">
      <c r="A19" s="5" t="s">
        <v>12</v>
      </c>
      <c r="B19" s="5" t="s">
        <v>468</v>
      </c>
      <c r="C19" s="5" t="s">
        <v>448</v>
      </c>
      <c r="D19" s="5" t="s">
        <v>469</v>
      </c>
      <c r="E19" s="5" t="s">
        <v>470</v>
      </c>
    </row>
    <row r="20" spans="1:5" ht="15" customHeight="1" x14ac:dyDescent="0.3">
      <c r="A20" s="5" t="s">
        <v>18</v>
      </c>
      <c r="B20" s="5" t="s">
        <v>471</v>
      </c>
      <c r="C20" s="5" t="s">
        <v>450</v>
      </c>
      <c r="D20" s="5" t="s">
        <v>465</v>
      </c>
      <c r="E20" s="5" t="s">
        <v>446</v>
      </c>
    </row>
    <row r="21" spans="1:5" ht="15" customHeight="1" x14ac:dyDescent="0.3">
      <c r="A21" s="5" t="s">
        <v>62</v>
      </c>
      <c r="B21" s="5" t="s">
        <v>472</v>
      </c>
      <c r="C21" s="5" t="s">
        <v>450</v>
      </c>
      <c r="D21" s="5" t="s">
        <v>458</v>
      </c>
      <c r="E21" s="5" t="s">
        <v>446</v>
      </c>
    </row>
    <row r="22" spans="1:5" ht="15" customHeight="1" x14ac:dyDescent="0.3">
      <c r="A22" s="5" t="s">
        <v>9</v>
      </c>
      <c r="B22" s="5" t="s">
        <v>473</v>
      </c>
      <c r="C22" s="5" t="s">
        <v>448</v>
      </c>
      <c r="D22" s="5" t="s">
        <v>453</v>
      </c>
      <c r="E22" s="5" t="s">
        <v>441</v>
      </c>
    </row>
    <row r="23" spans="1:5" ht="15" customHeight="1" x14ac:dyDescent="0.3">
      <c r="A23" s="5" t="s">
        <v>75</v>
      </c>
      <c r="B23" s="5" t="s">
        <v>474</v>
      </c>
      <c r="C23" s="5" t="s">
        <v>439</v>
      </c>
      <c r="D23" s="5" t="s">
        <v>475</v>
      </c>
      <c r="E23" s="5" t="s">
        <v>441</v>
      </c>
    </row>
    <row r="24" spans="1:5" ht="15" customHeight="1" x14ac:dyDescent="0.3">
      <c r="A24" s="5" t="s">
        <v>35</v>
      </c>
      <c r="B24" s="5" t="s">
        <v>476</v>
      </c>
      <c r="C24" s="5" t="s">
        <v>450</v>
      </c>
      <c r="D24" s="5" t="s">
        <v>475</v>
      </c>
      <c r="E24" s="5" t="s">
        <v>441</v>
      </c>
    </row>
    <row r="25" spans="1:5" ht="15" customHeight="1" x14ac:dyDescent="0.3">
      <c r="A25" s="5" t="s">
        <v>15</v>
      </c>
      <c r="B25" s="5" t="s">
        <v>477</v>
      </c>
      <c r="C25" s="5" t="s">
        <v>448</v>
      </c>
      <c r="D25" s="5" t="s">
        <v>469</v>
      </c>
      <c r="E25" s="5" t="s">
        <v>470</v>
      </c>
    </row>
    <row r="26" spans="1:5" ht="15" customHeight="1" x14ac:dyDescent="0.3">
      <c r="A26" s="5" t="s">
        <v>107</v>
      </c>
      <c r="B26" s="5" t="s">
        <v>478</v>
      </c>
      <c r="C26" s="5" t="s">
        <v>448</v>
      </c>
      <c r="D26" s="5" t="s">
        <v>453</v>
      </c>
      <c r="E26" s="5" t="s">
        <v>441</v>
      </c>
    </row>
    <row r="27" spans="1:5" ht="15" customHeight="1" x14ac:dyDescent="0.3">
      <c r="A27" s="5" t="s">
        <v>43</v>
      </c>
      <c r="B27" s="5" t="s">
        <v>479</v>
      </c>
      <c r="C27" s="5" t="s">
        <v>443</v>
      </c>
      <c r="D27" s="5" t="s">
        <v>458</v>
      </c>
      <c r="E27" s="5" t="s">
        <v>446</v>
      </c>
    </row>
    <row r="28" spans="1:5" ht="15" customHeight="1" x14ac:dyDescent="0.3">
      <c r="A28" s="5" t="s">
        <v>102</v>
      </c>
      <c r="B28" s="5" t="s">
        <v>480</v>
      </c>
      <c r="C28" s="5" t="s">
        <v>439</v>
      </c>
      <c r="D28" s="5" t="s">
        <v>453</v>
      </c>
      <c r="E28" s="5" t="s">
        <v>441</v>
      </c>
    </row>
    <row r="29" spans="1:5" ht="15" customHeight="1" x14ac:dyDescent="0.3">
      <c r="A29" s="5" t="s">
        <v>60</v>
      </c>
      <c r="B29" s="5" t="s">
        <v>481</v>
      </c>
      <c r="C29" s="5" t="s">
        <v>439</v>
      </c>
      <c r="D29" s="5" t="s">
        <v>469</v>
      </c>
      <c r="E29" s="5" t="s">
        <v>470</v>
      </c>
    </row>
    <row r="30" spans="1:5" ht="15" customHeight="1" x14ac:dyDescent="0.3">
      <c r="A30" s="5" t="s">
        <v>76</v>
      </c>
      <c r="B30" s="5" t="s">
        <v>482</v>
      </c>
      <c r="C30" s="5" t="s">
        <v>448</v>
      </c>
      <c r="D30" s="5" t="s">
        <v>469</v>
      </c>
      <c r="E30" s="5" t="s">
        <v>470</v>
      </c>
    </row>
    <row r="31" spans="1:5" ht="15" customHeight="1" x14ac:dyDescent="0.3">
      <c r="A31" s="5" t="s">
        <v>47</v>
      </c>
      <c r="B31" s="5" t="s">
        <v>483</v>
      </c>
      <c r="C31" s="5" t="s">
        <v>450</v>
      </c>
      <c r="D31" s="5" t="s">
        <v>458</v>
      </c>
      <c r="E31" s="5" t="s">
        <v>446</v>
      </c>
    </row>
    <row r="32" spans="1:5" ht="15" customHeight="1" x14ac:dyDescent="0.3">
      <c r="A32" s="5" t="s">
        <v>29</v>
      </c>
      <c r="B32" s="5" t="s">
        <v>484</v>
      </c>
      <c r="C32" s="5" t="s">
        <v>448</v>
      </c>
      <c r="D32" s="5" t="s">
        <v>461</v>
      </c>
      <c r="E32" s="5" t="s">
        <v>462</v>
      </c>
    </row>
    <row r="33" spans="1:5" ht="15" customHeight="1" x14ac:dyDescent="0.3">
      <c r="A33" s="5" t="s">
        <v>19</v>
      </c>
      <c r="B33" s="5" t="s">
        <v>485</v>
      </c>
      <c r="C33" s="5" t="s">
        <v>450</v>
      </c>
      <c r="D33" s="5" t="s">
        <v>465</v>
      </c>
      <c r="E33" s="5" t="s">
        <v>446</v>
      </c>
    </row>
    <row r="34" spans="1:5" ht="15" customHeight="1" x14ac:dyDescent="0.3">
      <c r="A34" s="5" t="s">
        <v>126</v>
      </c>
      <c r="B34" s="5" t="s">
        <v>486</v>
      </c>
      <c r="C34" s="5" t="s">
        <v>439</v>
      </c>
      <c r="D34" s="5" t="s">
        <v>453</v>
      </c>
      <c r="E34" s="5" t="s">
        <v>441</v>
      </c>
    </row>
    <row r="35" spans="1:5" ht="15" customHeight="1" x14ac:dyDescent="0.3">
      <c r="A35" s="5" t="s">
        <v>79</v>
      </c>
      <c r="B35" s="5" t="s">
        <v>487</v>
      </c>
      <c r="C35" s="5" t="s">
        <v>443</v>
      </c>
      <c r="D35" s="5" t="s">
        <v>475</v>
      </c>
      <c r="E35" s="5" t="s">
        <v>441</v>
      </c>
    </row>
    <row r="36" spans="1:5" ht="15" customHeight="1" x14ac:dyDescent="0.3">
      <c r="A36" s="5" t="s">
        <v>111</v>
      </c>
      <c r="B36" s="5" t="s">
        <v>488</v>
      </c>
      <c r="C36" s="5" t="s">
        <v>448</v>
      </c>
      <c r="D36" s="5" t="s">
        <v>458</v>
      </c>
      <c r="E36" s="5" t="s">
        <v>446</v>
      </c>
    </row>
    <row r="37" spans="1:5" ht="15" customHeight="1" x14ac:dyDescent="0.3">
      <c r="A37" s="5" t="s">
        <v>90</v>
      </c>
      <c r="B37" s="5" t="s">
        <v>489</v>
      </c>
      <c r="C37" s="5" t="s">
        <v>448</v>
      </c>
      <c r="D37" s="5" t="s">
        <v>453</v>
      </c>
      <c r="E37" s="5" t="s">
        <v>441</v>
      </c>
    </row>
    <row r="38" spans="1:5" ht="15" customHeight="1" x14ac:dyDescent="0.3">
      <c r="A38" s="5" t="s">
        <v>100</v>
      </c>
      <c r="B38" s="5" t="s">
        <v>490</v>
      </c>
      <c r="C38" s="5" t="s">
        <v>439</v>
      </c>
      <c r="D38" s="5" t="s">
        <v>440</v>
      </c>
      <c r="E38" s="5" t="s">
        <v>441</v>
      </c>
    </row>
    <row r="39" spans="1:5" ht="15" customHeight="1" x14ac:dyDescent="0.3">
      <c r="A39" s="5" t="s">
        <v>54</v>
      </c>
      <c r="B39" s="5" t="s">
        <v>491</v>
      </c>
      <c r="C39" s="5" t="s">
        <v>443</v>
      </c>
      <c r="D39" s="5" t="s">
        <v>445</v>
      </c>
      <c r="E39" s="5" t="s">
        <v>446</v>
      </c>
    </row>
    <row r="40" spans="1:5" ht="15" customHeight="1" x14ac:dyDescent="0.3">
      <c r="A40" s="5" t="s">
        <v>23</v>
      </c>
      <c r="B40" s="5" t="s">
        <v>492</v>
      </c>
      <c r="C40" s="5" t="s">
        <v>443</v>
      </c>
      <c r="D40" s="5" t="s">
        <v>440</v>
      </c>
      <c r="E40" s="5" t="s">
        <v>441</v>
      </c>
    </row>
    <row r="41" spans="1:5" ht="15" customHeight="1" x14ac:dyDescent="0.3">
      <c r="A41" s="5" t="s">
        <v>94</v>
      </c>
      <c r="B41" s="5" t="s">
        <v>493</v>
      </c>
      <c r="C41" s="5" t="s">
        <v>439</v>
      </c>
      <c r="D41" s="5" t="s">
        <v>445</v>
      </c>
      <c r="E41" s="5" t="s">
        <v>446</v>
      </c>
    </row>
    <row r="42" spans="1:5" ht="15" customHeight="1" x14ac:dyDescent="0.3">
      <c r="A42" s="5" t="s">
        <v>93</v>
      </c>
      <c r="B42" s="5" t="s">
        <v>494</v>
      </c>
      <c r="C42" s="5" t="s">
        <v>439</v>
      </c>
      <c r="D42" s="5" t="s">
        <v>445</v>
      </c>
      <c r="E42" s="5" t="s">
        <v>446</v>
      </c>
    </row>
    <row r="43" spans="1:5" ht="15" customHeight="1" x14ac:dyDescent="0.3">
      <c r="A43" s="5" t="s">
        <v>63</v>
      </c>
      <c r="B43" s="5" t="s">
        <v>495</v>
      </c>
      <c r="C43" s="5" t="s">
        <v>443</v>
      </c>
      <c r="D43" s="5" t="s">
        <v>458</v>
      </c>
      <c r="E43" s="5" t="s">
        <v>446</v>
      </c>
    </row>
    <row r="44" spans="1:5" ht="15" customHeight="1" x14ac:dyDescent="0.3">
      <c r="A44" s="5" t="s">
        <v>43</v>
      </c>
      <c r="B44" s="5" t="s">
        <v>496</v>
      </c>
      <c r="C44" s="5" t="s">
        <v>443</v>
      </c>
      <c r="D44" s="5" t="s">
        <v>458</v>
      </c>
      <c r="E44" s="5" t="s">
        <v>446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9"/>
  <sheetViews>
    <sheetView zoomScaleNormal="100" workbookViewId="0"/>
  </sheetViews>
  <sheetFormatPr defaultColWidth="8.6640625" defaultRowHeight="14.4" x14ac:dyDescent="0.3"/>
  <cols>
    <col min="1" max="1" width="18" customWidth="1"/>
    <col min="2" max="2" width="11" customWidth="1"/>
    <col min="3" max="3" width="13" customWidth="1"/>
  </cols>
  <sheetData>
    <row r="1" spans="1:3" ht="15" customHeight="1" x14ac:dyDescent="0.3">
      <c r="A1" s="4" t="s">
        <v>1</v>
      </c>
      <c r="B1" s="4" t="s">
        <v>497</v>
      </c>
      <c r="C1" s="4" t="s">
        <v>498</v>
      </c>
    </row>
    <row r="2" spans="1:3" ht="15" customHeight="1" x14ac:dyDescent="0.3">
      <c r="A2" s="5" t="s">
        <v>8</v>
      </c>
      <c r="B2" s="5" t="s">
        <v>499</v>
      </c>
      <c r="C2" s="5" t="s">
        <v>500</v>
      </c>
    </row>
    <row r="3" spans="1:3" ht="15" customHeight="1" x14ac:dyDescent="0.3">
      <c r="A3" s="5" t="s">
        <v>34</v>
      </c>
      <c r="B3" s="5" t="s">
        <v>501</v>
      </c>
      <c r="C3" s="5" t="s">
        <v>500</v>
      </c>
    </row>
    <row r="4" spans="1:3" ht="15" customHeight="1" x14ac:dyDescent="0.3">
      <c r="A4" s="5" t="s">
        <v>53</v>
      </c>
      <c r="B4" s="5" t="s">
        <v>502</v>
      </c>
      <c r="C4" s="5" t="s">
        <v>503</v>
      </c>
    </row>
    <row r="5" spans="1:3" ht="15" customHeight="1" x14ac:dyDescent="0.3">
      <c r="A5" s="5" t="s">
        <v>42</v>
      </c>
      <c r="B5" s="5" t="s">
        <v>504</v>
      </c>
      <c r="C5" s="5" t="s">
        <v>505</v>
      </c>
    </row>
    <row r="6" spans="1:3" ht="15" customHeight="1" x14ac:dyDescent="0.3">
      <c r="A6" s="5" t="s">
        <v>17</v>
      </c>
      <c r="B6" s="5" t="s">
        <v>506</v>
      </c>
      <c r="C6" s="5" t="s">
        <v>507</v>
      </c>
    </row>
    <row r="7" spans="1:3" ht="15" customHeight="1" x14ac:dyDescent="0.3">
      <c r="A7" s="5" t="s">
        <v>28</v>
      </c>
      <c r="B7" s="5" t="s">
        <v>508</v>
      </c>
      <c r="C7" s="5" t="s">
        <v>509</v>
      </c>
    </row>
    <row r="8" spans="1:3" ht="15" customHeight="1" x14ac:dyDescent="0.3">
      <c r="A8" s="5" t="s">
        <v>11</v>
      </c>
      <c r="B8" s="5" t="s">
        <v>510</v>
      </c>
      <c r="C8" s="5" t="s">
        <v>511</v>
      </c>
    </row>
    <row r="9" spans="1:3" ht="15" customHeight="1" x14ac:dyDescent="0.3">
      <c r="A9" s="5" t="s">
        <v>22</v>
      </c>
      <c r="B9" s="5" t="s">
        <v>512</v>
      </c>
      <c r="C9" s="5" t="s">
        <v>513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0"/>
  <sheetViews>
    <sheetView zoomScaleNormal="100" workbookViewId="0"/>
  </sheetViews>
  <sheetFormatPr defaultColWidth="8.6640625" defaultRowHeight="14.4" x14ac:dyDescent="0.3"/>
  <cols>
    <col min="1" max="1" width="28" customWidth="1"/>
    <col min="2" max="2" width="16" customWidth="1"/>
    <col min="3" max="3" width="11" customWidth="1"/>
  </cols>
  <sheetData>
    <row r="1" spans="1:3" ht="15" customHeight="1" x14ac:dyDescent="0.3">
      <c r="A1" s="4" t="s">
        <v>3</v>
      </c>
      <c r="B1" s="4" t="s">
        <v>514</v>
      </c>
      <c r="C1" s="4" t="s">
        <v>515</v>
      </c>
    </row>
    <row r="2" spans="1:3" ht="15" customHeight="1" x14ac:dyDescent="0.3">
      <c r="A2" s="5" t="s">
        <v>33</v>
      </c>
      <c r="B2" s="5" t="s">
        <v>516</v>
      </c>
      <c r="C2" s="5">
        <v>1676.76</v>
      </c>
    </row>
    <row r="3" spans="1:3" ht="15" customHeight="1" x14ac:dyDescent="0.3">
      <c r="A3" s="5" t="s">
        <v>49</v>
      </c>
      <c r="B3" s="5" t="s">
        <v>516</v>
      </c>
      <c r="C3" s="5">
        <v>403.33</v>
      </c>
    </row>
    <row r="4" spans="1:3" ht="15" customHeight="1" x14ac:dyDescent="0.3">
      <c r="A4" s="5" t="s">
        <v>55</v>
      </c>
      <c r="B4" s="5" t="s">
        <v>516</v>
      </c>
      <c r="C4" s="5">
        <v>351.01</v>
      </c>
    </row>
    <row r="5" spans="1:3" ht="15" customHeight="1" x14ac:dyDescent="0.3">
      <c r="A5" s="5" t="s">
        <v>99</v>
      </c>
      <c r="B5" s="5" t="s">
        <v>516</v>
      </c>
      <c r="C5" s="5">
        <v>76.91</v>
      </c>
    </row>
    <row r="6" spans="1:3" ht="15" customHeight="1" x14ac:dyDescent="0.3">
      <c r="A6" s="5" t="s">
        <v>24</v>
      </c>
      <c r="B6" s="5" t="s">
        <v>516</v>
      </c>
      <c r="C6" s="5">
        <v>489.9</v>
      </c>
    </row>
    <row r="7" spans="1:3" ht="15" customHeight="1" x14ac:dyDescent="0.3">
      <c r="A7" s="5" t="s">
        <v>16</v>
      </c>
      <c r="B7" s="5" t="s">
        <v>516</v>
      </c>
      <c r="C7" s="5">
        <v>393.96</v>
      </c>
    </row>
    <row r="8" spans="1:3" ht="15" customHeight="1" x14ac:dyDescent="0.3">
      <c r="A8" s="5" t="s">
        <v>113</v>
      </c>
      <c r="B8" s="5" t="s">
        <v>517</v>
      </c>
      <c r="C8" s="5">
        <v>338.44</v>
      </c>
    </row>
    <row r="9" spans="1:3" ht="15" customHeight="1" x14ac:dyDescent="0.3">
      <c r="A9" s="5" t="s">
        <v>13</v>
      </c>
      <c r="B9" s="5" t="s">
        <v>517</v>
      </c>
      <c r="C9" s="5">
        <v>614.48</v>
      </c>
    </row>
    <row r="10" spans="1:3" ht="15" customHeight="1" x14ac:dyDescent="0.3">
      <c r="A10" s="5" t="s">
        <v>80</v>
      </c>
      <c r="B10" s="5" t="s">
        <v>517</v>
      </c>
      <c r="C10" s="5">
        <v>661.65</v>
      </c>
    </row>
    <row r="11" spans="1:3" ht="15" customHeight="1" x14ac:dyDescent="0.3">
      <c r="A11" s="5" t="s">
        <v>48</v>
      </c>
      <c r="B11" s="5" t="s">
        <v>517</v>
      </c>
      <c r="C11" s="5">
        <v>233.71</v>
      </c>
    </row>
    <row r="12" spans="1:3" ht="15" customHeight="1" x14ac:dyDescent="0.3">
      <c r="A12" s="5" t="s">
        <v>44</v>
      </c>
      <c r="B12" s="5" t="s">
        <v>517</v>
      </c>
      <c r="C12" s="5">
        <v>264.97000000000003</v>
      </c>
    </row>
    <row r="13" spans="1:3" ht="15" customHeight="1" x14ac:dyDescent="0.3">
      <c r="A13" s="5" t="s">
        <v>69</v>
      </c>
      <c r="B13" s="5" t="s">
        <v>518</v>
      </c>
      <c r="C13" s="5">
        <v>353.18</v>
      </c>
    </row>
    <row r="14" spans="1:3" ht="15" customHeight="1" x14ac:dyDescent="0.3">
      <c r="A14" s="5" t="s">
        <v>103</v>
      </c>
      <c r="B14" s="5" t="s">
        <v>518</v>
      </c>
      <c r="C14" s="5">
        <v>798.53</v>
      </c>
    </row>
    <row r="15" spans="1:3" ht="15" customHeight="1" x14ac:dyDescent="0.3">
      <c r="A15" s="5" t="s">
        <v>36</v>
      </c>
      <c r="B15" s="5" t="s">
        <v>518</v>
      </c>
      <c r="C15" s="5">
        <v>729.85</v>
      </c>
    </row>
    <row r="16" spans="1:3" ht="15" customHeight="1" x14ac:dyDescent="0.3">
      <c r="A16" s="5" t="s">
        <v>39</v>
      </c>
      <c r="B16" s="5" t="s">
        <v>518</v>
      </c>
      <c r="C16" s="5">
        <v>197.57</v>
      </c>
    </row>
    <row r="17" spans="1:3" ht="15" customHeight="1" x14ac:dyDescent="0.3">
      <c r="A17" s="5" t="s">
        <v>26</v>
      </c>
      <c r="B17" s="5" t="s">
        <v>518</v>
      </c>
      <c r="C17" s="5">
        <v>225.06</v>
      </c>
    </row>
    <row r="18" spans="1:3" ht="15" customHeight="1" x14ac:dyDescent="0.3">
      <c r="A18" s="5" t="s">
        <v>82</v>
      </c>
      <c r="B18" s="5" t="s">
        <v>519</v>
      </c>
      <c r="C18" s="5">
        <v>825.33</v>
      </c>
    </row>
    <row r="19" spans="1:3" ht="15" customHeight="1" x14ac:dyDescent="0.3">
      <c r="A19" s="5" t="s">
        <v>65</v>
      </c>
      <c r="B19" s="5" t="s">
        <v>519</v>
      </c>
      <c r="C19" s="5">
        <v>1483.63</v>
      </c>
    </row>
    <row r="20" spans="1:3" ht="15" customHeight="1" x14ac:dyDescent="0.3">
      <c r="A20" s="5" t="s">
        <v>30</v>
      </c>
      <c r="B20" s="5" t="s">
        <v>519</v>
      </c>
      <c r="C20" s="5">
        <v>482.15</v>
      </c>
    </row>
    <row r="21" spans="1:3" ht="15" customHeight="1" x14ac:dyDescent="0.3">
      <c r="A21" s="5" t="s">
        <v>91</v>
      </c>
      <c r="B21" s="5" t="s">
        <v>519</v>
      </c>
      <c r="C21" s="5">
        <v>305.39</v>
      </c>
    </row>
    <row r="22" spans="1:3" ht="15" customHeight="1" x14ac:dyDescent="0.3">
      <c r="A22" s="5" t="s">
        <v>10</v>
      </c>
      <c r="B22" s="5" t="s">
        <v>519</v>
      </c>
      <c r="C22" s="5">
        <v>1060.97</v>
      </c>
    </row>
    <row r="23" spans="1:3" ht="15" customHeight="1" x14ac:dyDescent="0.3">
      <c r="A23" s="5" t="s">
        <v>72</v>
      </c>
      <c r="B23" s="5" t="s">
        <v>520</v>
      </c>
      <c r="C23" s="5">
        <v>396.75</v>
      </c>
    </row>
    <row r="24" spans="1:3" ht="15" customHeight="1" x14ac:dyDescent="0.3">
      <c r="A24" s="5" t="s">
        <v>51</v>
      </c>
      <c r="B24" s="5" t="s">
        <v>520</v>
      </c>
      <c r="C24" s="5">
        <v>818.95</v>
      </c>
    </row>
    <row r="25" spans="1:3" ht="15" customHeight="1" x14ac:dyDescent="0.3">
      <c r="A25" s="5" t="s">
        <v>96</v>
      </c>
      <c r="B25" s="5" t="s">
        <v>520</v>
      </c>
      <c r="C25" s="5">
        <v>1457.31</v>
      </c>
    </row>
    <row r="26" spans="1:3" ht="15" customHeight="1" x14ac:dyDescent="0.3">
      <c r="A26" s="5" t="s">
        <v>61</v>
      </c>
      <c r="B26" s="5" t="s">
        <v>520</v>
      </c>
      <c r="C26" s="5">
        <v>765.9</v>
      </c>
    </row>
    <row r="27" spans="1:3" ht="15" customHeight="1" x14ac:dyDescent="0.3">
      <c r="A27" s="5" t="s">
        <v>56</v>
      </c>
      <c r="B27" s="5" t="s">
        <v>521</v>
      </c>
      <c r="C27" s="5">
        <v>518.76</v>
      </c>
    </row>
    <row r="28" spans="1:3" ht="15" customHeight="1" x14ac:dyDescent="0.3">
      <c r="A28" s="5" t="s">
        <v>97</v>
      </c>
      <c r="B28" s="5" t="s">
        <v>521</v>
      </c>
      <c r="C28" s="5">
        <v>822.7</v>
      </c>
    </row>
    <row r="29" spans="1:3" ht="15" customHeight="1" x14ac:dyDescent="0.3">
      <c r="A29" s="5" t="s">
        <v>86</v>
      </c>
      <c r="B29" s="5" t="s">
        <v>521</v>
      </c>
      <c r="C29" s="5">
        <v>314.25</v>
      </c>
    </row>
    <row r="30" spans="1:3" ht="15" customHeight="1" x14ac:dyDescent="0.3">
      <c r="A30" s="5" t="s">
        <v>20</v>
      </c>
      <c r="B30" s="5" t="s">
        <v>521</v>
      </c>
      <c r="C30" s="5">
        <v>435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9"/>
  <sheetViews>
    <sheetView zoomScaleNormal="100" workbookViewId="0"/>
  </sheetViews>
  <sheetFormatPr defaultColWidth="8.6640625" defaultRowHeight="14.4" x14ac:dyDescent="0.3"/>
  <cols>
    <col min="1" max="1" width="18" customWidth="1"/>
    <col min="2" max="2" width="20" customWidth="1"/>
  </cols>
  <sheetData>
    <row r="1" spans="1:2" ht="15" customHeight="1" x14ac:dyDescent="0.3">
      <c r="A1" s="4" t="s">
        <v>1</v>
      </c>
      <c r="B1" s="4" t="s">
        <v>522</v>
      </c>
    </row>
    <row r="2" spans="1:2" ht="15" customHeight="1" x14ac:dyDescent="0.3">
      <c r="A2" s="5" t="s">
        <v>8</v>
      </c>
      <c r="B2" s="5">
        <v>900000</v>
      </c>
    </row>
    <row r="3" spans="1:2" ht="15" customHeight="1" x14ac:dyDescent="0.3">
      <c r="A3" s="5" t="s">
        <v>34</v>
      </c>
      <c r="B3" s="5">
        <v>1250000</v>
      </c>
    </row>
    <row r="4" spans="1:2" ht="15" customHeight="1" x14ac:dyDescent="0.3">
      <c r="A4" s="5" t="s">
        <v>53</v>
      </c>
      <c r="B4" s="5">
        <v>900000</v>
      </c>
    </row>
    <row r="5" spans="1:2" ht="15" customHeight="1" x14ac:dyDescent="0.3">
      <c r="A5" s="5" t="s">
        <v>42</v>
      </c>
      <c r="B5" s="5">
        <v>1210000</v>
      </c>
    </row>
    <row r="6" spans="1:2" ht="15" customHeight="1" x14ac:dyDescent="0.3">
      <c r="A6" s="5" t="s">
        <v>17</v>
      </c>
      <c r="B6" s="5">
        <v>1910000</v>
      </c>
    </row>
    <row r="7" spans="1:2" ht="15" customHeight="1" x14ac:dyDescent="0.3">
      <c r="A7" s="5" t="s">
        <v>28</v>
      </c>
      <c r="B7" s="5">
        <v>2070000</v>
      </c>
    </row>
    <row r="8" spans="1:2" ht="15" customHeight="1" x14ac:dyDescent="0.3">
      <c r="A8" s="5" t="s">
        <v>11</v>
      </c>
      <c r="B8" s="5">
        <v>1910000</v>
      </c>
    </row>
    <row r="9" spans="1:2" ht="15" customHeight="1" x14ac:dyDescent="0.3">
      <c r="A9" s="5" t="s">
        <v>22</v>
      </c>
      <c r="B9" s="5">
        <v>1590000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4"/>
  <sheetViews>
    <sheetView showGridLines="0" topLeftCell="E2" zoomScaleNormal="100" workbookViewId="0">
      <selection activeCell="L7" sqref="L7"/>
    </sheetView>
  </sheetViews>
  <sheetFormatPr defaultColWidth="8.6640625" defaultRowHeight="14.4" x14ac:dyDescent="0.3"/>
  <cols>
    <col min="1" max="1" width="12" customWidth="1"/>
    <col min="2" max="2" width="16" customWidth="1"/>
    <col min="3" max="3" width="12" customWidth="1"/>
    <col min="4" max="4" width="18" customWidth="1"/>
    <col min="5" max="5" width="14" customWidth="1"/>
    <col min="6" max="6" width="16" customWidth="1"/>
    <col min="7" max="7" width="10" customWidth="1"/>
    <col min="8" max="8" width="26" customWidth="1"/>
    <col min="9" max="9" width="16" customWidth="1"/>
    <col min="10" max="10" width="12" customWidth="1"/>
    <col min="11" max="11" width="7" customWidth="1"/>
    <col min="12" max="13" width="12" customWidth="1"/>
    <col min="14" max="15" width="14" customWidth="1"/>
    <col min="16" max="16" width="15" customWidth="1"/>
    <col min="17" max="17" width="14" customWidth="1"/>
    <col min="18" max="18" width="7" customWidth="1"/>
  </cols>
  <sheetData>
    <row r="1" spans="1:18" ht="15.75" customHeight="1" x14ac:dyDescent="0.3">
      <c r="A1" s="16" t="s">
        <v>523</v>
      </c>
      <c r="B1" s="16"/>
      <c r="C1" s="16"/>
      <c r="D1" s="16"/>
      <c r="E1" s="16"/>
      <c r="F1" s="16"/>
      <c r="G1" s="16"/>
      <c r="H1" s="16"/>
    </row>
    <row r="2" spans="1:18" ht="15" customHeight="1" x14ac:dyDescent="0.3">
      <c r="A2" s="7"/>
    </row>
    <row r="4" spans="1:18" ht="15" customHeight="1" x14ac:dyDescent="0.3">
      <c r="A4" s="4" t="s">
        <v>524</v>
      </c>
      <c r="B4" s="4" t="s">
        <v>525</v>
      </c>
      <c r="C4" s="4" t="s">
        <v>526</v>
      </c>
      <c r="D4" s="4" t="s">
        <v>527</v>
      </c>
      <c r="E4" s="4" t="s">
        <v>528</v>
      </c>
      <c r="F4" s="4" t="s">
        <v>529</v>
      </c>
      <c r="G4" s="4" t="s">
        <v>530</v>
      </c>
      <c r="H4" s="4" t="s">
        <v>531</v>
      </c>
      <c r="I4" s="4" t="s">
        <v>532</v>
      </c>
      <c r="J4" s="4" t="s">
        <v>533</v>
      </c>
      <c r="K4" s="4" t="s">
        <v>534</v>
      </c>
      <c r="L4" s="4" t="s">
        <v>535</v>
      </c>
      <c r="M4" s="4" t="s">
        <v>536</v>
      </c>
      <c r="N4" s="4" t="s">
        <v>537</v>
      </c>
      <c r="O4" s="4" t="s">
        <v>538</v>
      </c>
      <c r="P4" s="4" t="s">
        <v>539</v>
      </c>
      <c r="Q4" s="4" t="s">
        <v>540</v>
      </c>
      <c r="R4" s="4" t="s">
        <v>541</v>
      </c>
    </row>
    <row r="5" spans="1:18" ht="15" customHeight="1" x14ac:dyDescent="0.3">
      <c r="A5" s="5" t="str">
        <f>Sales_Data!A2</f>
        <v>2025-01-01</v>
      </c>
      <c r="B5" s="5" t="str">
        <f>Sales_Data!B2</f>
        <v>Mumbai Central</v>
      </c>
      <c r="C5" s="5" t="str">
        <f>Sales_Data!C2</f>
        <v>E021</v>
      </c>
      <c r="D5" s="5" t="str">
        <f>IFERROR(INDEX(Employee_Master!$B$2:$B$44,MATCH($C5,Employee_Master!$A$2:$A$44,0)),"Not Found")</f>
        <v>Maria Garcia</v>
      </c>
      <c r="E5" s="5" t="str">
        <f>IFERROR(INDEX(Employee_Master!$C$2:$C$44,MATCH($C5,Employee_Master!$A$2:$A$44,0)),"Not Found")</f>
        <v>Sales</v>
      </c>
      <c r="F5" s="5" t="str">
        <f>IFERROR(INDEX(Employee_Master!$D$2:$D$44,MATCH($C5,Employee_Master!$A$2:$A$44,0)),"Not Found")</f>
        <v>Justin Glass</v>
      </c>
      <c r="G5" s="5" t="str">
        <f>IFERROR(INDEX(Employee_Master!$E$2:$E$44,MATCH($C5,Employee_Master!$A$2:$A$44,0)),"Not Found")</f>
        <v>West</v>
      </c>
      <c r="H5" s="5" t="str">
        <f>Sales_Data!D2</f>
        <v>P021 - Assorted Spices Kit</v>
      </c>
      <c r="I5" s="5" t="str">
        <f>IFERROR(INDEX(Product_Master!$B$2:$B$30,MATCH($H5,Product_Master!$A$2:$A$30,0)),"Invalid Product Code")</f>
        <v>Grocery</v>
      </c>
      <c r="J5" s="5">
        <f>IFERROR(INDEX(Product_Master!$C$2:$C$30,MATCH($H5,Product_Master!$A$2:$A$30,0)),0)</f>
        <v>1060.97</v>
      </c>
      <c r="K5" s="5">
        <f>Sales_Data!E2</f>
        <v>5</v>
      </c>
      <c r="L5" s="5">
        <f>Sales_Data!F2</f>
        <v>5272.08</v>
      </c>
      <c r="M5" s="5">
        <f>Sales_Data!G2</f>
        <v>5316.1</v>
      </c>
      <c r="N5" s="5" t="str">
        <f>IFERROR(INDEX(Branch_Master!$B$2:$B$9,MATCH($B5,Branch_Master!$A$2:$A$9,0)),"Not Found")</f>
        <v>Mumbai</v>
      </c>
      <c r="O5" s="5" t="str">
        <f>IFERROR(INDEX(Branch_Master!$C$2:$C$9,MATCH($B5,Branch_Master!$A$2:$A$9,0)),"Not Found")</f>
        <v>Maharashtra</v>
      </c>
      <c r="P5" s="5">
        <f>IFERROR(INDEX(Targets!$B$2:$B$9,MATCH($B5,Targets!$A$2:$A$9,0)),0)</f>
        <v>900000</v>
      </c>
      <c r="Q5" s="5" t="str">
        <f t="shared" ref="Q5:Q68" si="0">IF(L5&gt;=M5,"Yes","No")</f>
        <v>No</v>
      </c>
      <c r="R5" s="5" t="str">
        <f t="shared" ref="R5:R68" si="1">TEXT(A5,"MMM")</f>
        <v>Jan</v>
      </c>
    </row>
    <row r="6" spans="1:18" ht="15" customHeight="1" x14ac:dyDescent="0.3">
      <c r="A6" s="5" t="str">
        <f>Sales_Data!A3</f>
        <v>2025-01-01</v>
      </c>
      <c r="B6" s="5" t="str">
        <f>Sales_Data!B3</f>
        <v>Kolkata Central</v>
      </c>
      <c r="C6" s="5" t="str">
        <f>Sales_Data!C3</f>
        <v>E018</v>
      </c>
      <c r="D6" s="5" t="str">
        <f>IFERROR(INDEX(Employee_Master!$B$2:$B$44,MATCH($C6,Employee_Master!$A$2:$A$44,0)),"Not Found")</f>
        <v>Daniel Nelson</v>
      </c>
      <c r="E6" s="5" t="str">
        <f>IFERROR(INDEX(Employee_Master!$C$2:$C$44,MATCH($C6,Employee_Master!$A$2:$A$44,0)),"Not Found")</f>
        <v>Sales</v>
      </c>
      <c r="F6" s="5" t="str">
        <f>IFERROR(INDEX(Employee_Master!$D$2:$D$44,MATCH($C6,Employee_Master!$A$2:$A$44,0)),"Not Found")</f>
        <v>Lisa Moore</v>
      </c>
      <c r="G6" s="5" t="str">
        <f>IFERROR(INDEX(Employee_Master!$E$2:$E$44,MATCH($C6,Employee_Master!$A$2:$A$44,0)),"Not Found")</f>
        <v>East</v>
      </c>
      <c r="H6" s="5" t="str">
        <f>Sales_Data!D3</f>
        <v>P008 - Denim Jeans</v>
      </c>
      <c r="I6" s="5" t="str">
        <f>IFERROR(INDEX(Product_Master!$B$2:$B$30,MATCH($H6,Product_Master!$A$2:$A$30,0)),"Invalid Product Code")</f>
        <v>Apparel</v>
      </c>
      <c r="J6" s="5">
        <f>IFERROR(INDEX(Product_Master!$C$2:$C$30,MATCH($H6,Product_Master!$A$2:$A$30,0)),0)</f>
        <v>614.48</v>
      </c>
      <c r="K6" s="5">
        <f>Sales_Data!E3</f>
        <v>9</v>
      </c>
      <c r="L6" s="5">
        <f>Sales_Data!F3</f>
        <v>5523.25</v>
      </c>
      <c r="M6" s="5">
        <f>Sales_Data!G3</f>
        <v>5779.46</v>
      </c>
      <c r="N6" s="5" t="str">
        <f>IFERROR(INDEX(Branch_Master!$B$2:$B$9,MATCH($B6,Branch_Master!$A$2:$A$9,0)),"Not Found")</f>
        <v>Kolkata</v>
      </c>
      <c r="O6" s="5" t="str">
        <f>IFERROR(INDEX(Branch_Master!$C$2:$C$9,MATCH($B6,Branch_Master!$A$2:$A$9,0)),"Not Found")</f>
        <v>West Bengal</v>
      </c>
      <c r="P6" s="5">
        <f>IFERROR(INDEX(Targets!$B$2:$B$9,MATCH($B6,Targets!$A$2:$A$9,0)),0)</f>
        <v>1910000</v>
      </c>
      <c r="Q6" s="5" t="str">
        <f t="shared" si="0"/>
        <v>No</v>
      </c>
      <c r="R6" s="5" t="str">
        <f t="shared" si="1"/>
        <v>Jan</v>
      </c>
    </row>
    <row r="7" spans="1:18" ht="15" customHeight="1" x14ac:dyDescent="0.3">
      <c r="A7" s="5" t="str">
        <f>Sales_Data!A4</f>
        <v>2025-01-02</v>
      </c>
      <c r="B7" s="5" t="str">
        <f>Sales_Data!B4</f>
        <v>Kolkata Central</v>
      </c>
      <c r="C7" s="5" t="str">
        <f>Sales_Data!C4</f>
        <v>E024</v>
      </c>
      <c r="D7" s="5" t="str">
        <f>IFERROR(INDEX(Employee_Master!$B$2:$B$44,MATCH($C7,Employee_Master!$A$2:$A$44,0)),"Not Found")</f>
        <v>Kevin Sanchez</v>
      </c>
      <c r="E7" s="5" t="str">
        <f>IFERROR(INDEX(Employee_Master!$C$2:$C$44,MATCH($C7,Employee_Master!$A$2:$A$44,0)),"Not Found")</f>
        <v>Sales</v>
      </c>
      <c r="F7" s="5" t="str">
        <f>IFERROR(INDEX(Employee_Master!$D$2:$D$44,MATCH($C7,Employee_Master!$A$2:$A$44,0)),"Not Found")</f>
        <v>Lisa Moore</v>
      </c>
      <c r="G7" s="5" t="str">
        <f>IFERROR(INDEX(Employee_Master!$E$2:$E$44,MATCH($C7,Employee_Master!$A$2:$A$44,0)),"Not Found")</f>
        <v>East</v>
      </c>
      <c r="H7" s="5" t="str">
        <f>Sales_Data!D4</f>
        <v>P006 - Laptop Stand</v>
      </c>
      <c r="I7" s="5" t="str">
        <f>IFERROR(INDEX(Product_Master!$B$2:$B$30,MATCH($H7,Product_Master!$A$2:$A$30,0)),"Invalid Product Code")</f>
        <v>Electronics</v>
      </c>
      <c r="J7" s="5">
        <f>IFERROR(INDEX(Product_Master!$C$2:$C$30,MATCH($H7,Product_Master!$A$2:$A$30,0)),0)</f>
        <v>393.96</v>
      </c>
      <c r="K7" s="5">
        <f>Sales_Data!E4</f>
        <v>6</v>
      </c>
      <c r="L7" s="5">
        <f>Sales_Data!F4</f>
        <v>2471.77</v>
      </c>
      <c r="M7" s="5">
        <f>Sales_Data!G4</f>
        <v>2527.73</v>
      </c>
      <c r="N7" s="5" t="str">
        <f>IFERROR(INDEX(Branch_Master!$B$2:$B$9,MATCH($B7,Branch_Master!$A$2:$A$9,0)),"Not Found")</f>
        <v>Kolkata</v>
      </c>
      <c r="O7" s="5" t="str">
        <f>IFERROR(INDEX(Branch_Master!$C$2:$C$9,MATCH($B7,Branch_Master!$A$2:$A$9,0)),"Not Found")</f>
        <v>West Bengal</v>
      </c>
      <c r="P7" s="5">
        <f>IFERROR(INDEX(Targets!$B$2:$B$9,MATCH($B7,Targets!$A$2:$A$9,0)),0)</f>
        <v>1910000</v>
      </c>
      <c r="Q7" s="5" t="str">
        <f t="shared" si="0"/>
        <v>No</v>
      </c>
      <c r="R7" s="5" t="str">
        <f t="shared" si="1"/>
        <v>Jan</v>
      </c>
    </row>
    <row r="8" spans="1:18" ht="15" customHeight="1" x14ac:dyDescent="0.3">
      <c r="A8" s="5" t="str">
        <f>Sales_Data!A5</f>
        <v>2025-01-02</v>
      </c>
      <c r="B8" s="5" t="str">
        <f>Sales_Data!B5</f>
        <v>Chennai South</v>
      </c>
      <c r="C8" s="5" t="str">
        <f>Sales_Data!C5</f>
        <v>E019</v>
      </c>
      <c r="D8" s="5" t="str">
        <f>IFERROR(INDEX(Employee_Master!$B$2:$B$44,MATCH($C8,Employee_Master!$A$2:$A$44,0)),"Not Found")</f>
        <v>Regina Torres</v>
      </c>
      <c r="E8" s="5" t="str">
        <f>IFERROR(INDEX(Employee_Master!$C$2:$C$44,MATCH($C8,Employee_Master!$A$2:$A$44,0)),"Not Found")</f>
        <v>Operations</v>
      </c>
      <c r="F8" s="5" t="str">
        <f>IFERROR(INDEX(Employee_Master!$D$2:$D$44,MATCH($C8,Employee_Master!$A$2:$A$44,0)),"Not Found")</f>
        <v>Robert Steele</v>
      </c>
      <c r="G8" s="5" t="str">
        <f>IFERROR(INDEX(Employee_Master!$E$2:$E$44,MATCH($C8,Employee_Master!$A$2:$A$44,0)),"Not Found")</f>
        <v>South</v>
      </c>
      <c r="H8" s="5" t="str">
        <f>Sales_Data!D5</f>
        <v>P021 - Assorted Spices Kit</v>
      </c>
      <c r="I8" s="5" t="str">
        <f>IFERROR(INDEX(Product_Master!$B$2:$B$30,MATCH($H8,Product_Master!$A$2:$A$30,0)),"Invalid Product Code")</f>
        <v>Grocery</v>
      </c>
      <c r="J8" s="5">
        <f>IFERROR(INDEX(Product_Master!$C$2:$C$30,MATCH($H8,Product_Master!$A$2:$A$30,0)),0)</f>
        <v>1060.97</v>
      </c>
      <c r="K8" s="5">
        <f>Sales_Data!E5</f>
        <v>8</v>
      </c>
      <c r="L8" s="5">
        <f>Sales_Data!F5</f>
        <v>8020.89</v>
      </c>
      <c r="M8" s="5">
        <f>Sales_Data!G5</f>
        <v>9025.16</v>
      </c>
      <c r="N8" s="5" t="str">
        <f>IFERROR(INDEX(Branch_Master!$B$2:$B$9,MATCH($B8,Branch_Master!$A$2:$A$9,0)),"Not Found")</f>
        <v>Chennai</v>
      </c>
      <c r="O8" s="5" t="str">
        <f>IFERROR(INDEX(Branch_Master!$C$2:$C$9,MATCH($B8,Branch_Master!$A$2:$A$9,0)),"Not Found")</f>
        <v>Tamil Nadu</v>
      </c>
      <c r="P8" s="5">
        <f>IFERROR(INDEX(Targets!$B$2:$B$9,MATCH($B8,Targets!$A$2:$A$9,0)),0)</f>
        <v>1910000</v>
      </c>
      <c r="Q8" s="5" t="str">
        <f t="shared" si="0"/>
        <v>No</v>
      </c>
      <c r="R8" s="5" t="str">
        <f t="shared" si="1"/>
        <v>Jan</v>
      </c>
    </row>
    <row r="9" spans="1:18" ht="15" customHeight="1" x14ac:dyDescent="0.3">
      <c r="A9" s="5" t="str">
        <f>Sales_Data!A6</f>
        <v>2025-01-02</v>
      </c>
      <c r="B9" s="5" t="str">
        <f>Sales_Data!B6</f>
        <v>Chennai South</v>
      </c>
      <c r="C9" s="5" t="str">
        <f>Sales_Data!C6</f>
        <v>E032</v>
      </c>
      <c r="D9" s="5" t="str">
        <f>IFERROR(INDEX(Employee_Master!$B$2:$B$44,MATCH($C9,Employee_Master!$A$2:$A$44,0)),"Not Found")</f>
        <v>Victor Allen</v>
      </c>
      <c r="E9" s="5" t="str">
        <f>IFERROR(INDEX(Employee_Master!$C$2:$C$44,MATCH($C9,Employee_Master!$A$2:$A$44,0)),"Not Found")</f>
        <v>Operations</v>
      </c>
      <c r="F9" s="5" t="str">
        <f>IFERROR(INDEX(Employee_Master!$D$2:$D$44,MATCH($C9,Employee_Master!$A$2:$A$44,0)),"Not Found")</f>
        <v>Robert Steele</v>
      </c>
      <c r="G9" s="5" t="str">
        <f>IFERROR(INDEX(Employee_Master!$E$2:$E$44,MATCH($C9,Employee_Master!$A$2:$A$44,0)),"Not Found")</f>
        <v>South</v>
      </c>
      <c r="H9" s="5" t="str">
        <f>Sales_Data!D6</f>
        <v>P029 - Dumbbell Set 10kg</v>
      </c>
      <c r="I9" s="5" t="str">
        <f>IFERROR(INDEX(Product_Master!$B$2:$B$30,MATCH($H9,Product_Master!$A$2:$A$30,0)),"Invalid Product Code")</f>
        <v>Sports</v>
      </c>
      <c r="J9" s="5">
        <f>IFERROR(INDEX(Product_Master!$C$2:$C$30,MATCH($H9,Product_Master!$A$2:$A$30,0)),0)</f>
        <v>435</v>
      </c>
      <c r="K9" s="5">
        <f>Sales_Data!E6</f>
        <v>6</v>
      </c>
      <c r="L9" s="5">
        <f>Sales_Data!F6</f>
        <v>2474.73</v>
      </c>
      <c r="M9" s="5">
        <f>Sales_Data!G6</f>
        <v>2667.62</v>
      </c>
      <c r="N9" s="5" t="str">
        <f>IFERROR(INDEX(Branch_Master!$B$2:$B$9,MATCH($B9,Branch_Master!$A$2:$A$9,0)),"Not Found")</f>
        <v>Chennai</v>
      </c>
      <c r="O9" s="5" t="str">
        <f>IFERROR(INDEX(Branch_Master!$C$2:$C$9,MATCH($B9,Branch_Master!$A$2:$A$9,0)),"Not Found")</f>
        <v>Tamil Nadu</v>
      </c>
      <c r="P9" s="5">
        <f>IFERROR(INDEX(Targets!$B$2:$B$9,MATCH($B9,Targets!$A$2:$A$9,0)),0)</f>
        <v>1910000</v>
      </c>
      <c r="Q9" s="5" t="str">
        <f t="shared" si="0"/>
        <v>No</v>
      </c>
      <c r="R9" s="5" t="str">
        <f t="shared" si="1"/>
        <v>Jan</v>
      </c>
    </row>
    <row r="10" spans="1:18" ht="15" customHeight="1" x14ac:dyDescent="0.3">
      <c r="A10" s="5" t="str">
        <f>Sales_Data!A7</f>
        <v>2025-01-03</v>
      </c>
      <c r="B10" s="5" t="str">
        <f>Sales_Data!B7</f>
        <v>Ahmedabad West</v>
      </c>
      <c r="C10" s="5" t="str">
        <f>Sales_Data!C7</f>
        <v>E039</v>
      </c>
      <c r="D10" s="5" t="str">
        <f>IFERROR(INDEX(Employee_Master!$B$2:$B$44,MATCH($C10,Employee_Master!$A$2:$A$44,0)),"Not Found")</f>
        <v>Christopher Wood</v>
      </c>
      <c r="E10" s="5" t="str">
        <f>IFERROR(INDEX(Employee_Master!$C$2:$C$44,MATCH($C10,Employee_Master!$A$2:$A$44,0)),"Not Found")</f>
        <v>Marketing</v>
      </c>
      <c r="F10" s="5" t="str">
        <f>IFERROR(INDEX(Employee_Master!$D$2:$D$44,MATCH($C10,Employee_Master!$A$2:$A$44,0)),"Not Found")</f>
        <v>Joseph Brown</v>
      </c>
      <c r="G10" s="5" t="str">
        <f>IFERROR(INDEX(Employee_Master!$E$2:$E$44,MATCH($C10,Employee_Master!$A$2:$A$44,0)),"Not Found")</f>
        <v>West</v>
      </c>
      <c r="H10" s="5" t="str">
        <f>Sales_Data!D7</f>
        <v>P005 - LED Monitor</v>
      </c>
      <c r="I10" s="5" t="str">
        <f>IFERROR(INDEX(Product_Master!$B$2:$B$30,MATCH($H10,Product_Master!$A$2:$A$30,0)),"Invalid Product Code")</f>
        <v>Electronics</v>
      </c>
      <c r="J10" s="5">
        <f>IFERROR(INDEX(Product_Master!$C$2:$C$30,MATCH($H10,Product_Master!$A$2:$A$30,0)),0)</f>
        <v>489.9</v>
      </c>
      <c r="K10" s="5">
        <f>Sales_Data!E7</f>
        <v>6</v>
      </c>
      <c r="L10" s="5">
        <f>Sales_Data!F7</f>
        <v>2698.85</v>
      </c>
      <c r="M10" s="5">
        <f>Sales_Data!G7</f>
        <v>2749.55</v>
      </c>
      <c r="N10" s="5" t="str">
        <f>IFERROR(INDEX(Branch_Master!$B$2:$B$9,MATCH($B10,Branch_Master!$A$2:$A$9,0)),"Not Found")</f>
        <v>Ahmedabad</v>
      </c>
      <c r="O10" s="5" t="str">
        <f>IFERROR(INDEX(Branch_Master!$C$2:$C$9,MATCH($B10,Branch_Master!$A$2:$A$9,0)),"Not Found")</f>
        <v>Gujarat</v>
      </c>
      <c r="P10" s="5">
        <f>IFERROR(INDEX(Targets!$B$2:$B$9,MATCH($B10,Targets!$A$2:$A$9,0)),0)</f>
        <v>1590000</v>
      </c>
      <c r="Q10" s="5" t="str">
        <f t="shared" si="0"/>
        <v>No</v>
      </c>
      <c r="R10" s="5" t="str">
        <f t="shared" si="1"/>
        <v>Jan</v>
      </c>
    </row>
    <row r="11" spans="1:18" ht="15" customHeight="1" x14ac:dyDescent="0.3">
      <c r="A11" s="5" t="str">
        <f>Sales_Data!A8</f>
        <v>2025-01-03</v>
      </c>
      <c r="B11" s="5" t="str">
        <f>Sales_Data!B8</f>
        <v>Ahmedabad West</v>
      </c>
      <c r="C11" s="5" t="str">
        <f>Sales_Data!C8</f>
        <v>E017</v>
      </c>
      <c r="D11" s="5" t="str">
        <f>IFERROR(INDEX(Employee_Master!$B$2:$B$44,MATCH($C11,Employee_Master!$A$2:$A$44,0)),"Not Found")</f>
        <v>Mathew Wilson</v>
      </c>
      <c r="E11" s="5" t="str">
        <f>IFERROR(INDEX(Employee_Master!$C$2:$C$44,MATCH($C11,Employee_Master!$A$2:$A$44,0)),"Not Found")</f>
        <v>Operations</v>
      </c>
      <c r="F11" s="5" t="str">
        <f>IFERROR(INDEX(Employee_Master!$D$2:$D$44,MATCH($C11,Employee_Master!$A$2:$A$44,0)),"Not Found")</f>
        <v>Joseph Brown</v>
      </c>
      <c r="G11" s="5" t="str">
        <f>IFERROR(INDEX(Employee_Master!$E$2:$E$44,MATCH($C11,Employee_Master!$A$2:$A$44,0)),"Not Found")</f>
        <v>West</v>
      </c>
      <c r="H11" s="5" t="str">
        <f>Sales_Data!D8</f>
        <v>P016 - Dinner Set</v>
      </c>
      <c r="I11" s="5" t="str">
        <f>IFERROR(INDEX(Product_Master!$B$2:$B$30,MATCH($H11,Product_Master!$A$2:$A$30,0)),"Invalid Product Code")</f>
        <v>Home &amp; Kitchen</v>
      </c>
      <c r="J11" s="5">
        <f>IFERROR(INDEX(Product_Master!$C$2:$C$30,MATCH($H11,Product_Master!$A$2:$A$30,0)),0)</f>
        <v>225.06</v>
      </c>
      <c r="K11" s="5">
        <f>Sales_Data!E8</f>
        <v>6</v>
      </c>
      <c r="L11" s="5">
        <f>Sales_Data!F8</f>
        <v>1277.8900000000001</v>
      </c>
      <c r="M11" s="5">
        <f>Sales_Data!G8</f>
        <v>1522.23</v>
      </c>
      <c r="N11" s="5" t="str">
        <f>IFERROR(INDEX(Branch_Master!$B$2:$B$9,MATCH($B11,Branch_Master!$A$2:$A$9,0)),"Not Found")</f>
        <v>Ahmedabad</v>
      </c>
      <c r="O11" s="5" t="str">
        <f>IFERROR(INDEX(Branch_Master!$C$2:$C$9,MATCH($B11,Branch_Master!$A$2:$A$9,0)),"Not Found")</f>
        <v>Gujarat</v>
      </c>
      <c r="P11" s="5">
        <f>IFERROR(INDEX(Targets!$B$2:$B$9,MATCH($B11,Targets!$A$2:$A$9,0)),0)</f>
        <v>1590000</v>
      </c>
      <c r="Q11" s="5" t="str">
        <f t="shared" si="0"/>
        <v>No</v>
      </c>
      <c r="R11" s="5" t="str">
        <f t="shared" si="1"/>
        <v>Jan</v>
      </c>
    </row>
    <row r="12" spans="1:18" ht="15" customHeight="1" x14ac:dyDescent="0.3">
      <c r="A12" s="5" t="str">
        <f>Sales_Data!A9</f>
        <v>2025-01-05</v>
      </c>
      <c r="B12" s="5" t="str">
        <f>Sales_Data!B9</f>
        <v>Delhi NCR</v>
      </c>
      <c r="C12" s="5" t="str">
        <f>Sales_Data!C9</f>
        <v>E031</v>
      </c>
      <c r="D12" s="5" t="str">
        <f>IFERROR(INDEX(Employee_Master!$B$2:$B$44,MATCH($C12,Employee_Master!$A$2:$A$44,0)),"Not Found")</f>
        <v>Jennifer Garcia</v>
      </c>
      <c r="E12" s="5" t="str">
        <f>IFERROR(INDEX(Employee_Master!$C$2:$C$44,MATCH($C12,Employee_Master!$A$2:$A$44,0)),"Not Found")</f>
        <v>Sales</v>
      </c>
      <c r="F12" s="5" t="str">
        <f>IFERROR(INDEX(Employee_Master!$D$2:$D$44,MATCH($C12,Employee_Master!$A$2:$A$44,0)),"Not Found")</f>
        <v>William Oconnell</v>
      </c>
      <c r="G12" s="5" t="str">
        <f>IFERROR(INDEX(Employee_Master!$E$2:$E$44,MATCH($C12,Employee_Master!$A$2:$A$44,0)),"Not Found")</f>
        <v>North</v>
      </c>
      <c r="H12" s="5" t="str">
        <f>Sales_Data!D9</f>
        <v>P019 - Organic Honey</v>
      </c>
      <c r="I12" s="5" t="str">
        <f>IFERROR(INDEX(Product_Master!$B$2:$B$30,MATCH($H12,Product_Master!$A$2:$A$30,0)),"Invalid Product Code")</f>
        <v>Grocery</v>
      </c>
      <c r="J12" s="5">
        <f>IFERROR(INDEX(Product_Master!$C$2:$C$30,MATCH($H12,Product_Master!$A$2:$A$30,0)),0)</f>
        <v>482.15</v>
      </c>
      <c r="K12" s="5">
        <f>Sales_Data!E9</f>
        <v>2</v>
      </c>
      <c r="L12" s="5">
        <f>Sales_Data!F9</f>
        <v>869.24</v>
      </c>
      <c r="M12" s="5">
        <f>Sales_Data!G9</f>
        <v>991.31</v>
      </c>
      <c r="N12" s="5" t="str">
        <f>IFERROR(INDEX(Branch_Master!$B$2:$B$9,MATCH($B12,Branch_Master!$A$2:$A$9,0)),"Not Found")</f>
        <v>New Delhi</v>
      </c>
      <c r="O12" s="5" t="str">
        <f>IFERROR(INDEX(Branch_Master!$C$2:$C$9,MATCH($B12,Branch_Master!$A$2:$A$9,0)),"Not Found")</f>
        <v>Delhi</v>
      </c>
      <c r="P12" s="5">
        <f>IFERROR(INDEX(Targets!$B$2:$B$9,MATCH($B12,Targets!$A$2:$A$9,0)),0)</f>
        <v>2070000</v>
      </c>
      <c r="Q12" s="5" t="str">
        <f t="shared" si="0"/>
        <v>No</v>
      </c>
      <c r="R12" s="5" t="str">
        <f t="shared" si="1"/>
        <v>Jan</v>
      </c>
    </row>
    <row r="13" spans="1:18" ht="15" customHeight="1" x14ac:dyDescent="0.3">
      <c r="A13" s="5" t="str">
        <f>Sales_Data!A10</f>
        <v>2025-01-06</v>
      </c>
      <c r="B13" s="5" t="str">
        <f>Sales_Data!B10</f>
        <v>Mumbai Central</v>
      </c>
      <c r="C13" s="5" t="str">
        <f>Sales_Data!C10</f>
        <v>E009</v>
      </c>
      <c r="D13" s="5" t="str">
        <f>IFERROR(INDEX(Employee_Master!$B$2:$B$44,MATCH($C13,Employee_Master!$A$2:$A$44,0)),"Not Found")</f>
        <v>Daniel Kent</v>
      </c>
      <c r="E13" s="5" t="str">
        <f>IFERROR(INDEX(Employee_Master!$C$2:$C$44,MATCH($C13,Employee_Master!$A$2:$A$44,0)),"Not Found")</f>
        <v>Sales</v>
      </c>
      <c r="F13" s="5" t="str">
        <f>IFERROR(INDEX(Employee_Master!$D$2:$D$44,MATCH($C13,Employee_Master!$A$2:$A$44,0)),"Not Found")</f>
        <v>Justin Glass</v>
      </c>
      <c r="G13" s="5" t="str">
        <f>IFERROR(INDEX(Employee_Master!$E$2:$E$44,MATCH($C13,Employee_Master!$A$2:$A$44,0)),"Not Found")</f>
        <v>West</v>
      </c>
      <c r="H13" s="5" t="str">
        <f>Sales_Data!D10</f>
        <v>P001 - Wireless Earbuds</v>
      </c>
      <c r="I13" s="5" t="str">
        <f>IFERROR(INDEX(Product_Master!$B$2:$B$30,MATCH($H13,Product_Master!$A$2:$A$30,0)),"Invalid Product Code")</f>
        <v>Electronics</v>
      </c>
      <c r="J13" s="5">
        <f>IFERROR(INDEX(Product_Master!$C$2:$C$30,MATCH($H13,Product_Master!$A$2:$A$30,0)),0)</f>
        <v>1676.76</v>
      </c>
      <c r="K13" s="5">
        <f>Sales_Data!E10</f>
        <v>10</v>
      </c>
      <c r="L13" s="5">
        <f>Sales_Data!F10</f>
        <v>18236.54</v>
      </c>
      <c r="M13" s="5">
        <f>Sales_Data!G10</f>
        <v>15580.3</v>
      </c>
      <c r="N13" s="5" t="str">
        <f>IFERROR(INDEX(Branch_Master!$B$2:$B$9,MATCH($B13,Branch_Master!$A$2:$A$9,0)),"Not Found")</f>
        <v>Mumbai</v>
      </c>
      <c r="O13" s="5" t="str">
        <f>IFERROR(INDEX(Branch_Master!$C$2:$C$9,MATCH($B13,Branch_Master!$A$2:$A$9,0)),"Not Found")</f>
        <v>Maharashtra</v>
      </c>
      <c r="P13" s="5">
        <f>IFERROR(INDEX(Targets!$B$2:$B$9,MATCH($B13,Targets!$A$2:$A$9,0)),0)</f>
        <v>900000</v>
      </c>
      <c r="Q13" s="5" t="str">
        <f t="shared" si="0"/>
        <v>Yes</v>
      </c>
      <c r="R13" s="5" t="str">
        <f t="shared" si="1"/>
        <v>Jan</v>
      </c>
    </row>
    <row r="14" spans="1:18" ht="15" customHeight="1" x14ac:dyDescent="0.3">
      <c r="A14" s="5" t="str">
        <f>Sales_Data!A11</f>
        <v>2025-01-06</v>
      </c>
      <c r="B14" s="5" t="str">
        <f>Sales_Data!B11</f>
        <v>Pune East</v>
      </c>
      <c r="C14" s="5" t="str">
        <f>Sales_Data!C11</f>
        <v>E023</v>
      </c>
      <c r="D14" s="5" t="str">
        <f>IFERROR(INDEX(Employee_Master!$B$2:$B$44,MATCH($C14,Employee_Master!$A$2:$A$44,0)),"Not Found")</f>
        <v>Edward Jones</v>
      </c>
      <c r="E14" s="5" t="str">
        <f>IFERROR(INDEX(Employee_Master!$C$2:$C$44,MATCH($C14,Employee_Master!$A$2:$A$44,0)),"Not Found")</f>
        <v>Operations</v>
      </c>
      <c r="F14" s="5" t="str">
        <f>IFERROR(INDEX(Employee_Master!$D$2:$D$44,MATCH($C14,Employee_Master!$A$2:$A$44,0)),"Not Found")</f>
        <v>Jordan Matthews</v>
      </c>
      <c r="G14" s="5" t="str">
        <f>IFERROR(INDEX(Employee_Master!$E$2:$E$44,MATCH($C14,Employee_Master!$A$2:$A$44,0)),"Not Found")</f>
        <v>West</v>
      </c>
      <c r="H14" s="5" t="str">
        <f>Sales_Data!D11</f>
        <v>P014 - Air Fryer</v>
      </c>
      <c r="I14" s="5" t="str">
        <f>IFERROR(INDEX(Product_Master!$B$2:$B$30,MATCH($H14,Product_Master!$A$2:$A$30,0)),"Invalid Product Code")</f>
        <v>Home &amp; Kitchen</v>
      </c>
      <c r="J14" s="5">
        <f>IFERROR(INDEX(Product_Master!$C$2:$C$30,MATCH($H14,Product_Master!$A$2:$A$30,0)),0)</f>
        <v>729.85</v>
      </c>
      <c r="K14" s="5">
        <f>Sales_Data!E11</f>
        <v>3</v>
      </c>
      <c r="L14" s="5">
        <f>Sales_Data!F11</f>
        <v>2078.1999999999998</v>
      </c>
      <c r="M14" s="5">
        <f>Sales_Data!G11</f>
        <v>1967.7</v>
      </c>
      <c r="N14" s="5" t="str">
        <f>IFERROR(INDEX(Branch_Master!$B$2:$B$9,MATCH($B14,Branch_Master!$A$2:$A$9,0)),"Not Found")</f>
        <v>Pune</v>
      </c>
      <c r="O14" s="5" t="str">
        <f>IFERROR(INDEX(Branch_Master!$C$2:$C$9,MATCH($B14,Branch_Master!$A$2:$A$9,0)),"Not Found")</f>
        <v>Maharashtra</v>
      </c>
      <c r="P14" s="5">
        <f>IFERROR(INDEX(Targets!$B$2:$B$9,MATCH($B14,Targets!$A$2:$A$9,0)),0)</f>
        <v>1250000</v>
      </c>
      <c r="Q14" s="5" t="str">
        <f t="shared" si="0"/>
        <v>Yes</v>
      </c>
      <c r="R14" s="5" t="str">
        <f t="shared" si="1"/>
        <v>Jan</v>
      </c>
    </row>
    <row r="15" spans="1:18" ht="15" customHeight="1" x14ac:dyDescent="0.3">
      <c r="A15" s="5" t="str">
        <f>Sales_Data!A12</f>
        <v>2025-01-06</v>
      </c>
      <c r="B15" s="5" t="str">
        <f>Sales_Data!B12</f>
        <v>Mumbai Central</v>
      </c>
      <c r="C15" s="5" t="str">
        <f>Sales_Data!C12</f>
        <v>E010</v>
      </c>
      <c r="D15" s="5" t="str">
        <f>IFERROR(INDEX(Employee_Master!$B$2:$B$44,MATCH($C15,Employee_Master!$A$2:$A$44,0)),"Not Found")</f>
        <v>William Sanders</v>
      </c>
      <c r="E15" s="5" t="str">
        <f>IFERROR(INDEX(Employee_Master!$C$2:$C$44,MATCH($C15,Employee_Master!$A$2:$A$44,0)),"Not Found")</f>
        <v>Sales</v>
      </c>
      <c r="F15" s="5" t="str">
        <f>IFERROR(INDEX(Employee_Master!$D$2:$D$44,MATCH($C15,Employee_Master!$A$2:$A$44,0)),"Not Found")</f>
        <v>Justin Glass</v>
      </c>
      <c r="G15" s="5" t="str">
        <f>IFERROR(INDEX(Employee_Master!$E$2:$E$44,MATCH($C15,Employee_Master!$A$2:$A$44,0)),"Not Found")</f>
        <v>West</v>
      </c>
      <c r="H15" s="5" t="str">
        <f>Sales_Data!D12</f>
        <v>P016 - Dinner Set</v>
      </c>
      <c r="I15" s="5" t="str">
        <f>IFERROR(INDEX(Product_Master!$B$2:$B$30,MATCH($H15,Product_Master!$A$2:$A$30,0)),"Invalid Product Code")</f>
        <v>Home &amp; Kitchen</v>
      </c>
      <c r="J15" s="5">
        <f>IFERROR(INDEX(Product_Master!$C$2:$C$30,MATCH($H15,Product_Master!$A$2:$A$30,0)),0)</f>
        <v>225.06</v>
      </c>
      <c r="K15" s="5">
        <f>Sales_Data!E12</f>
        <v>3</v>
      </c>
      <c r="L15" s="5">
        <f>Sales_Data!F12</f>
        <v>625.52</v>
      </c>
      <c r="M15" s="5">
        <f>Sales_Data!G12</f>
        <v>601.46</v>
      </c>
      <c r="N15" s="5" t="str">
        <f>IFERROR(INDEX(Branch_Master!$B$2:$B$9,MATCH($B15,Branch_Master!$A$2:$A$9,0)),"Not Found")</f>
        <v>Mumbai</v>
      </c>
      <c r="O15" s="5" t="str">
        <f>IFERROR(INDEX(Branch_Master!$C$2:$C$9,MATCH($B15,Branch_Master!$A$2:$A$9,0)),"Not Found")</f>
        <v>Maharashtra</v>
      </c>
      <c r="P15" s="5">
        <f>IFERROR(INDEX(Targets!$B$2:$B$9,MATCH($B15,Targets!$A$2:$A$9,0)),0)</f>
        <v>900000</v>
      </c>
      <c r="Q15" s="5" t="str">
        <f t="shared" si="0"/>
        <v>Yes</v>
      </c>
      <c r="R15" s="5" t="str">
        <f t="shared" si="1"/>
        <v>Jan</v>
      </c>
    </row>
    <row r="16" spans="1:18" ht="15" customHeight="1" x14ac:dyDescent="0.3">
      <c r="A16" s="5" t="str">
        <f>Sales_Data!A13</f>
        <v>2025-01-06</v>
      </c>
      <c r="B16" s="5" t="str">
        <f>Sales_Data!B13</f>
        <v>Ahmedabad West</v>
      </c>
      <c r="C16" s="5" t="str">
        <f>Sales_Data!C13</f>
        <v>E005</v>
      </c>
      <c r="D16" s="5" t="str">
        <f>IFERROR(INDEX(Employee_Master!$B$2:$B$44,MATCH($C16,Employee_Master!$A$2:$A$44,0)),"Not Found")</f>
        <v>Dr. Sara Zimmerman MD</v>
      </c>
      <c r="E16" s="5" t="str">
        <f>IFERROR(INDEX(Employee_Master!$C$2:$C$44,MATCH($C16,Employee_Master!$A$2:$A$44,0)),"Not Found")</f>
        <v>Operations</v>
      </c>
      <c r="F16" s="5" t="str">
        <f>IFERROR(INDEX(Employee_Master!$D$2:$D$44,MATCH($C16,Employee_Master!$A$2:$A$44,0)),"Not Found")</f>
        <v>Joseph Brown</v>
      </c>
      <c r="G16" s="5" t="str">
        <f>IFERROR(INDEX(Employee_Master!$E$2:$E$44,MATCH($C16,Employee_Master!$A$2:$A$44,0)),"Not Found")</f>
        <v>West</v>
      </c>
      <c r="H16" s="5" t="str">
        <f>Sales_Data!D13</f>
        <v>P015 - Water Bottle</v>
      </c>
      <c r="I16" s="5" t="str">
        <f>IFERROR(INDEX(Product_Master!$B$2:$B$30,MATCH($H16,Product_Master!$A$2:$A$30,0)),"Invalid Product Code")</f>
        <v>Home &amp; Kitchen</v>
      </c>
      <c r="J16" s="5">
        <f>IFERROR(INDEX(Product_Master!$C$2:$C$30,MATCH($H16,Product_Master!$A$2:$A$30,0)),0)</f>
        <v>197.57</v>
      </c>
      <c r="K16" s="5">
        <f>Sales_Data!E13</f>
        <v>4</v>
      </c>
      <c r="L16" s="5">
        <f>Sales_Data!F13</f>
        <v>823.99</v>
      </c>
      <c r="M16" s="5">
        <f>Sales_Data!G13</f>
        <v>815.43</v>
      </c>
      <c r="N16" s="5" t="str">
        <f>IFERROR(INDEX(Branch_Master!$B$2:$B$9,MATCH($B16,Branch_Master!$A$2:$A$9,0)),"Not Found")</f>
        <v>Ahmedabad</v>
      </c>
      <c r="O16" s="5" t="str">
        <f>IFERROR(INDEX(Branch_Master!$C$2:$C$9,MATCH($B16,Branch_Master!$A$2:$A$9,0)),"Not Found")</f>
        <v>Gujarat</v>
      </c>
      <c r="P16" s="5">
        <f>IFERROR(INDEX(Targets!$B$2:$B$9,MATCH($B16,Targets!$A$2:$A$9,0)),0)</f>
        <v>1590000</v>
      </c>
      <c r="Q16" s="5" t="str">
        <f t="shared" si="0"/>
        <v>Yes</v>
      </c>
      <c r="R16" s="5" t="str">
        <f t="shared" si="1"/>
        <v>Jan</v>
      </c>
    </row>
    <row r="17" spans="1:18" ht="15" customHeight="1" x14ac:dyDescent="0.3">
      <c r="A17" s="5" t="str">
        <f>Sales_Data!A14</f>
        <v>2025-01-08</v>
      </c>
      <c r="B17" s="5" t="str">
        <f>Sales_Data!B14</f>
        <v>Mumbai Central</v>
      </c>
      <c r="C17" s="5" t="str">
        <f>Sales_Data!C14</f>
        <v>E016</v>
      </c>
      <c r="D17" s="5" t="str">
        <f>IFERROR(INDEX(Employee_Master!$B$2:$B$44,MATCH($C17,Employee_Master!$A$2:$A$44,0)),"Not Found")</f>
        <v>Connor Dennis</v>
      </c>
      <c r="E17" s="5" t="str">
        <f>IFERROR(INDEX(Employee_Master!$C$2:$C$44,MATCH($C17,Employee_Master!$A$2:$A$44,0)),"Not Found")</f>
        <v>Sales</v>
      </c>
      <c r="F17" s="5" t="str">
        <f>IFERROR(INDEX(Employee_Master!$D$2:$D$44,MATCH($C17,Employee_Master!$A$2:$A$44,0)),"Not Found")</f>
        <v>Justin Glass</v>
      </c>
      <c r="G17" s="5" t="str">
        <f>IFERROR(INDEX(Employee_Master!$E$2:$E$44,MATCH($C17,Employee_Master!$A$2:$A$44,0)),"Not Found")</f>
        <v>West</v>
      </c>
      <c r="H17" s="5" t="str">
        <f>Sales_Data!D14</f>
        <v>P001 - Wireless Earbuds</v>
      </c>
      <c r="I17" s="5" t="str">
        <f>IFERROR(INDEX(Product_Master!$B$2:$B$30,MATCH($H17,Product_Master!$A$2:$A$30,0)),"Invalid Product Code")</f>
        <v>Electronics</v>
      </c>
      <c r="J17" s="5">
        <f>IFERROR(INDEX(Product_Master!$C$2:$C$30,MATCH($H17,Product_Master!$A$2:$A$30,0)),0)</f>
        <v>1676.76</v>
      </c>
      <c r="K17" s="5">
        <f>Sales_Data!E14</f>
        <v>3</v>
      </c>
      <c r="L17" s="5">
        <f>Sales_Data!F14</f>
        <v>5459.5</v>
      </c>
      <c r="M17" s="5">
        <f>Sales_Data!G14</f>
        <v>4434.66</v>
      </c>
      <c r="N17" s="5" t="str">
        <f>IFERROR(INDEX(Branch_Master!$B$2:$B$9,MATCH($B17,Branch_Master!$A$2:$A$9,0)),"Not Found")</f>
        <v>Mumbai</v>
      </c>
      <c r="O17" s="5" t="str">
        <f>IFERROR(INDEX(Branch_Master!$C$2:$C$9,MATCH($B17,Branch_Master!$A$2:$A$9,0)),"Not Found")</f>
        <v>Maharashtra</v>
      </c>
      <c r="P17" s="5">
        <f>IFERROR(INDEX(Targets!$B$2:$B$9,MATCH($B17,Targets!$A$2:$A$9,0)),0)</f>
        <v>900000</v>
      </c>
      <c r="Q17" s="5" t="str">
        <f t="shared" si="0"/>
        <v>Yes</v>
      </c>
      <c r="R17" s="5" t="str">
        <f t="shared" si="1"/>
        <v>Jan</v>
      </c>
    </row>
    <row r="18" spans="1:18" ht="15" customHeight="1" x14ac:dyDescent="0.3">
      <c r="A18" s="5" t="str">
        <f>Sales_Data!A15</f>
        <v>2025-01-08</v>
      </c>
      <c r="B18" s="5" t="str">
        <f>Sales_Data!B15</f>
        <v>Hyderabad Hitech</v>
      </c>
      <c r="C18" s="5" t="str">
        <f>Sales_Data!C15</f>
        <v>E026</v>
      </c>
      <c r="D18" s="5" t="str">
        <f>IFERROR(INDEX(Employee_Master!$B$2:$B$44,MATCH($C18,Employee_Master!$A$2:$A$44,0)),"Not Found")</f>
        <v>Karen Andrews</v>
      </c>
      <c r="E18" s="5" t="str">
        <f>IFERROR(INDEX(Employee_Master!$C$2:$C$44,MATCH($C18,Employee_Master!$A$2:$A$44,0)),"Not Found")</f>
        <v>Marketing</v>
      </c>
      <c r="F18" s="5" t="str">
        <f>IFERROR(INDEX(Employee_Master!$D$2:$D$44,MATCH($C18,Employee_Master!$A$2:$A$44,0)),"Not Found")</f>
        <v>Anna Turner</v>
      </c>
      <c r="G18" s="5" t="str">
        <f>IFERROR(INDEX(Employee_Master!$E$2:$E$44,MATCH($C18,Employee_Master!$A$2:$A$44,0)),"Not Found")</f>
        <v>South</v>
      </c>
      <c r="H18" s="5" t="str">
        <f>Sales_Data!D15</f>
        <v>P011 - Winter Jacket</v>
      </c>
      <c r="I18" s="5" t="str">
        <f>IFERROR(INDEX(Product_Master!$B$2:$B$30,MATCH($H18,Product_Master!$A$2:$A$30,0)),"Invalid Product Code")</f>
        <v>Apparel</v>
      </c>
      <c r="J18" s="5">
        <f>IFERROR(INDEX(Product_Master!$C$2:$C$30,MATCH($H18,Product_Master!$A$2:$A$30,0)),0)</f>
        <v>264.97000000000003</v>
      </c>
      <c r="K18" s="5">
        <f>Sales_Data!E15</f>
        <v>1</v>
      </c>
      <c r="L18" s="5">
        <f>Sales_Data!F15</f>
        <v>247.74</v>
      </c>
      <c r="M18" s="5">
        <f>Sales_Data!G15</f>
        <v>292.64999999999998</v>
      </c>
      <c r="N18" s="5" t="str">
        <f>IFERROR(INDEX(Branch_Master!$B$2:$B$9,MATCH($B18,Branch_Master!$A$2:$A$9,0)),"Not Found")</f>
        <v>Hyderabad</v>
      </c>
      <c r="O18" s="5" t="str">
        <f>IFERROR(INDEX(Branch_Master!$C$2:$C$9,MATCH($B18,Branch_Master!$A$2:$A$9,0)),"Not Found")</f>
        <v>Telangana</v>
      </c>
      <c r="P18" s="5">
        <f>IFERROR(INDEX(Targets!$B$2:$B$9,MATCH($B18,Targets!$A$2:$A$9,0)),0)</f>
        <v>1210000</v>
      </c>
      <c r="Q18" s="5" t="str">
        <f t="shared" si="0"/>
        <v>No</v>
      </c>
      <c r="R18" s="5" t="str">
        <f t="shared" si="1"/>
        <v>Jan</v>
      </c>
    </row>
    <row r="19" spans="1:18" ht="15" customHeight="1" x14ac:dyDescent="0.3">
      <c r="A19" s="5" t="str">
        <f>Sales_Data!A16</f>
        <v>2025-01-09</v>
      </c>
      <c r="B19" s="5" t="str">
        <f>Sales_Data!B16</f>
        <v>Chennai South</v>
      </c>
      <c r="C19" s="5" t="str">
        <f>Sales_Data!C16</f>
        <v>E019</v>
      </c>
      <c r="D19" s="5" t="str">
        <f>IFERROR(INDEX(Employee_Master!$B$2:$B$44,MATCH($C19,Employee_Master!$A$2:$A$44,0)),"Not Found")</f>
        <v>Regina Torres</v>
      </c>
      <c r="E19" s="5" t="str">
        <f>IFERROR(INDEX(Employee_Master!$C$2:$C$44,MATCH($C19,Employee_Master!$A$2:$A$44,0)),"Not Found")</f>
        <v>Operations</v>
      </c>
      <c r="F19" s="5" t="str">
        <f>IFERROR(INDEX(Employee_Master!$D$2:$D$44,MATCH($C19,Employee_Master!$A$2:$A$44,0)),"Not Found")</f>
        <v>Robert Steele</v>
      </c>
      <c r="G19" s="5" t="str">
        <f>IFERROR(INDEX(Employee_Master!$E$2:$E$44,MATCH($C19,Employee_Master!$A$2:$A$44,0)),"Not Found")</f>
        <v>South</v>
      </c>
      <c r="H19" s="5" t="str">
        <f>Sales_Data!D16</f>
        <v>P029 - Dumbbell Set 10kg</v>
      </c>
      <c r="I19" s="5" t="str">
        <f>IFERROR(INDEX(Product_Master!$B$2:$B$30,MATCH($H19,Product_Master!$A$2:$A$30,0)),"Invalid Product Code")</f>
        <v>Sports</v>
      </c>
      <c r="J19" s="5">
        <f>IFERROR(INDEX(Product_Master!$C$2:$C$30,MATCH($H19,Product_Master!$A$2:$A$30,0)),0)</f>
        <v>435</v>
      </c>
      <c r="K19" s="5">
        <f>Sales_Data!E16</f>
        <v>5</v>
      </c>
      <c r="L19" s="5">
        <f>Sales_Data!F16</f>
        <v>2288.94</v>
      </c>
      <c r="M19" s="5">
        <f>Sales_Data!G16</f>
        <v>2020.43</v>
      </c>
      <c r="N19" s="5" t="str">
        <f>IFERROR(INDEX(Branch_Master!$B$2:$B$9,MATCH($B19,Branch_Master!$A$2:$A$9,0)),"Not Found")</f>
        <v>Chennai</v>
      </c>
      <c r="O19" s="5" t="str">
        <f>IFERROR(INDEX(Branch_Master!$C$2:$C$9,MATCH($B19,Branch_Master!$A$2:$A$9,0)),"Not Found")</f>
        <v>Tamil Nadu</v>
      </c>
      <c r="P19" s="5">
        <f>IFERROR(INDEX(Targets!$B$2:$B$9,MATCH($B19,Targets!$A$2:$A$9,0)),0)</f>
        <v>1910000</v>
      </c>
      <c r="Q19" s="5" t="str">
        <f t="shared" si="0"/>
        <v>Yes</v>
      </c>
      <c r="R19" s="5" t="str">
        <f t="shared" si="1"/>
        <v>Jan</v>
      </c>
    </row>
    <row r="20" spans="1:18" ht="15" customHeight="1" x14ac:dyDescent="0.3">
      <c r="A20" s="5" t="str">
        <f>Sales_Data!A17</f>
        <v>2025-01-10</v>
      </c>
      <c r="B20" s="5" t="str">
        <f>Sales_Data!B17</f>
        <v>Hyderabad Hitech</v>
      </c>
      <c r="C20" s="5" t="str">
        <f>Sales_Data!C17</f>
        <v>E030</v>
      </c>
      <c r="D20" s="5" t="str">
        <f>IFERROR(INDEX(Employee_Master!$B$2:$B$44,MATCH($C20,Employee_Master!$A$2:$A$44,0)),"Not Found")</f>
        <v>Travis Khan</v>
      </c>
      <c r="E20" s="5" t="str">
        <f>IFERROR(INDEX(Employee_Master!$C$2:$C$44,MATCH($C20,Employee_Master!$A$2:$A$44,0)),"Not Found")</f>
        <v>Operations</v>
      </c>
      <c r="F20" s="5" t="str">
        <f>IFERROR(INDEX(Employee_Master!$D$2:$D$44,MATCH($C20,Employee_Master!$A$2:$A$44,0)),"Not Found")</f>
        <v>Anna Turner</v>
      </c>
      <c r="G20" s="5" t="str">
        <f>IFERROR(INDEX(Employee_Master!$E$2:$E$44,MATCH($C20,Employee_Master!$A$2:$A$44,0)),"Not Found")</f>
        <v>South</v>
      </c>
      <c r="H20" s="5" t="str">
        <f>Sales_Data!D17</f>
        <v>P010 - Running Shoes</v>
      </c>
      <c r="I20" s="5" t="str">
        <f>IFERROR(INDEX(Product_Master!$B$2:$B$30,MATCH($H20,Product_Master!$A$2:$A$30,0)),"Invalid Product Code")</f>
        <v>Apparel</v>
      </c>
      <c r="J20" s="5">
        <f>IFERROR(INDEX(Product_Master!$C$2:$C$30,MATCH($H20,Product_Master!$A$2:$A$30,0)),0)</f>
        <v>233.71</v>
      </c>
      <c r="K20" s="5">
        <f>Sales_Data!E17</f>
        <v>9</v>
      </c>
      <c r="L20" s="5">
        <f>Sales_Data!F17</f>
        <v>2197.62</v>
      </c>
      <c r="M20" s="5">
        <f>Sales_Data!G17</f>
        <v>1947.31</v>
      </c>
      <c r="N20" s="5" t="str">
        <f>IFERROR(INDEX(Branch_Master!$B$2:$B$9,MATCH($B20,Branch_Master!$A$2:$A$9,0)),"Not Found")</f>
        <v>Hyderabad</v>
      </c>
      <c r="O20" s="5" t="str">
        <f>IFERROR(INDEX(Branch_Master!$C$2:$C$9,MATCH($B20,Branch_Master!$A$2:$A$9,0)),"Not Found")</f>
        <v>Telangana</v>
      </c>
      <c r="P20" s="5">
        <f>IFERROR(INDEX(Targets!$B$2:$B$9,MATCH($B20,Targets!$A$2:$A$9,0)),0)</f>
        <v>1210000</v>
      </c>
      <c r="Q20" s="5" t="str">
        <f t="shared" si="0"/>
        <v>Yes</v>
      </c>
      <c r="R20" s="5" t="str">
        <f t="shared" si="1"/>
        <v>Jan</v>
      </c>
    </row>
    <row r="21" spans="1:18" ht="15" customHeight="1" x14ac:dyDescent="0.3">
      <c r="A21" s="5" t="str">
        <f>Sales_Data!A18</f>
        <v>2025-01-10</v>
      </c>
      <c r="B21" s="5" t="str">
        <f>Sales_Data!B18</f>
        <v>Mumbai Central</v>
      </c>
      <c r="C21" s="5" t="str">
        <f>Sales_Data!C18</f>
        <v>E021</v>
      </c>
      <c r="D21" s="5" t="str">
        <f>IFERROR(INDEX(Employee_Master!$B$2:$B$44,MATCH($C21,Employee_Master!$A$2:$A$44,0)),"Not Found")</f>
        <v>Maria Garcia</v>
      </c>
      <c r="E21" s="5" t="str">
        <f>IFERROR(INDEX(Employee_Master!$C$2:$C$44,MATCH($C21,Employee_Master!$A$2:$A$44,0)),"Not Found")</f>
        <v>Sales</v>
      </c>
      <c r="F21" s="5" t="str">
        <f>IFERROR(INDEX(Employee_Master!$D$2:$D$44,MATCH($C21,Employee_Master!$A$2:$A$44,0)),"Not Found")</f>
        <v>Justin Glass</v>
      </c>
      <c r="G21" s="5" t="str">
        <f>IFERROR(INDEX(Employee_Master!$E$2:$E$44,MATCH($C21,Employee_Master!$A$2:$A$44,0)),"Not Found")</f>
        <v>West</v>
      </c>
      <c r="H21" s="5" t="str">
        <f>Sales_Data!D18</f>
        <v>P002 - Smart Watch</v>
      </c>
      <c r="I21" s="5" t="str">
        <f>IFERROR(INDEX(Product_Master!$B$2:$B$30,MATCH($H21,Product_Master!$A$2:$A$30,0)),"Invalid Product Code")</f>
        <v>Electronics</v>
      </c>
      <c r="J21" s="5">
        <f>IFERROR(INDEX(Product_Master!$C$2:$C$30,MATCH($H21,Product_Master!$A$2:$A$30,0)),0)</f>
        <v>403.33</v>
      </c>
      <c r="K21" s="5">
        <f>Sales_Data!E18</f>
        <v>9</v>
      </c>
      <c r="L21" s="5">
        <f>Sales_Data!F18</f>
        <v>3539.48</v>
      </c>
      <c r="M21" s="5">
        <f>Sales_Data!G18</f>
        <v>3388.82</v>
      </c>
      <c r="N21" s="5" t="str">
        <f>IFERROR(INDEX(Branch_Master!$B$2:$B$9,MATCH($B21,Branch_Master!$A$2:$A$9,0)),"Not Found")</f>
        <v>Mumbai</v>
      </c>
      <c r="O21" s="5" t="str">
        <f>IFERROR(INDEX(Branch_Master!$C$2:$C$9,MATCH($B21,Branch_Master!$A$2:$A$9,0)),"Not Found")</f>
        <v>Maharashtra</v>
      </c>
      <c r="P21" s="5">
        <f>IFERROR(INDEX(Targets!$B$2:$B$9,MATCH($B21,Targets!$A$2:$A$9,0)),0)</f>
        <v>900000</v>
      </c>
      <c r="Q21" s="5" t="str">
        <f t="shared" si="0"/>
        <v>Yes</v>
      </c>
      <c r="R21" s="5" t="str">
        <f t="shared" si="1"/>
        <v>Jan</v>
      </c>
    </row>
    <row r="22" spans="1:18" ht="15" customHeight="1" x14ac:dyDescent="0.3">
      <c r="A22" s="5" t="str">
        <f>Sales_Data!A19</f>
        <v>2025-01-11</v>
      </c>
      <c r="B22" s="5" t="str">
        <f>Sales_Data!B19</f>
        <v>Ahmedabad West</v>
      </c>
      <c r="C22" s="5" t="str">
        <f>Sales_Data!C19</f>
        <v>E039</v>
      </c>
      <c r="D22" s="5" t="str">
        <f>IFERROR(INDEX(Employee_Master!$B$2:$B$44,MATCH($C22,Employee_Master!$A$2:$A$44,0)),"Not Found")</f>
        <v>Christopher Wood</v>
      </c>
      <c r="E22" s="5" t="str">
        <f>IFERROR(INDEX(Employee_Master!$C$2:$C$44,MATCH($C22,Employee_Master!$A$2:$A$44,0)),"Not Found")</f>
        <v>Marketing</v>
      </c>
      <c r="F22" s="5" t="str">
        <f>IFERROR(INDEX(Employee_Master!$D$2:$D$44,MATCH($C22,Employee_Master!$A$2:$A$44,0)),"Not Found")</f>
        <v>Joseph Brown</v>
      </c>
      <c r="G22" s="5" t="str">
        <f>IFERROR(INDEX(Employee_Master!$E$2:$E$44,MATCH($C22,Employee_Master!$A$2:$A$44,0)),"Not Found")</f>
        <v>West</v>
      </c>
      <c r="H22" s="5" t="str">
        <f>Sales_Data!D19</f>
        <v>P019 - Organic Honey</v>
      </c>
      <c r="I22" s="5" t="str">
        <f>IFERROR(INDEX(Product_Master!$B$2:$B$30,MATCH($H22,Product_Master!$A$2:$A$30,0)),"Invalid Product Code")</f>
        <v>Grocery</v>
      </c>
      <c r="J22" s="5">
        <f>IFERROR(INDEX(Product_Master!$C$2:$C$30,MATCH($H22,Product_Master!$A$2:$A$30,0)),0)</f>
        <v>482.15</v>
      </c>
      <c r="K22" s="5">
        <f>Sales_Data!E19</f>
        <v>11</v>
      </c>
      <c r="L22" s="5">
        <f>Sales_Data!F19</f>
        <v>5379.4</v>
      </c>
      <c r="M22" s="5">
        <f>Sales_Data!G19</f>
        <v>5937.45</v>
      </c>
      <c r="N22" s="5" t="str">
        <f>IFERROR(INDEX(Branch_Master!$B$2:$B$9,MATCH($B22,Branch_Master!$A$2:$A$9,0)),"Not Found")</f>
        <v>Ahmedabad</v>
      </c>
      <c r="O22" s="5" t="str">
        <f>IFERROR(INDEX(Branch_Master!$C$2:$C$9,MATCH($B22,Branch_Master!$A$2:$A$9,0)),"Not Found")</f>
        <v>Gujarat</v>
      </c>
      <c r="P22" s="5">
        <f>IFERROR(INDEX(Targets!$B$2:$B$9,MATCH($B22,Targets!$A$2:$A$9,0)),0)</f>
        <v>1590000</v>
      </c>
      <c r="Q22" s="5" t="str">
        <f t="shared" si="0"/>
        <v>No</v>
      </c>
      <c r="R22" s="5" t="str">
        <f t="shared" si="1"/>
        <v>Jan</v>
      </c>
    </row>
    <row r="23" spans="1:18" ht="15" customHeight="1" x14ac:dyDescent="0.3">
      <c r="A23" s="5" t="str">
        <f>Sales_Data!A20</f>
        <v>2025-01-11</v>
      </c>
      <c r="B23" s="5" t="str">
        <f>Sales_Data!B20</f>
        <v>Pune East</v>
      </c>
      <c r="C23" s="5" t="str">
        <f>Sales_Data!C20</f>
        <v>E023</v>
      </c>
      <c r="D23" s="5" t="str">
        <f>IFERROR(INDEX(Employee_Master!$B$2:$B$44,MATCH($C23,Employee_Master!$A$2:$A$44,0)),"Not Found")</f>
        <v>Edward Jones</v>
      </c>
      <c r="E23" s="5" t="str">
        <f>IFERROR(INDEX(Employee_Master!$C$2:$C$44,MATCH($C23,Employee_Master!$A$2:$A$44,0)),"Not Found")</f>
        <v>Operations</v>
      </c>
      <c r="F23" s="5" t="str">
        <f>IFERROR(INDEX(Employee_Master!$D$2:$D$44,MATCH($C23,Employee_Master!$A$2:$A$44,0)),"Not Found")</f>
        <v>Jordan Matthews</v>
      </c>
      <c r="G23" s="5" t="str">
        <f>IFERROR(INDEX(Employee_Master!$E$2:$E$44,MATCH($C23,Employee_Master!$A$2:$A$44,0)),"Not Found")</f>
        <v>West</v>
      </c>
      <c r="H23" s="5" t="str">
        <f>Sales_Data!D20</f>
        <v>P023 - Sunscreen SPF50</v>
      </c>
      <c r="I23" s="5" t="str">
        <f>IFERROR(INDEX(Product_Master!$B$2:$B$30,MATCH($H23,Product_Master!$A$2:$A$30,0)),"Invalid Product Code")</f>
        <v>Beauty</v>
      </c>
      <c r="J23" s="5">
        <f>IFERROR(INDEX(Product_Master!$C$2:$C$30,MATCH($H23,Product_Master!$A$2:$A$30,0)),0)</f>
        <v>818.95</v>
      </c>
      <c r="K23" s="5">
        <f>Sales_Data!E20</f>
        <v>9</v>
      </c>
      <c r="L23" s="5">
        <f>Sales_Data!F20</f>
        <v>7443.84</v>
      </c>
      <c r="M23" s="5">
        <f>Sales_Data!G20</f>
        <v>8288.84</v>
      </c>
      <c r="N23" s="5" t="str">
        <f>IFERROR(INDEX(Branch_Master!$B$2:$B$9,MATCH($B23,Branch_Master!$A$2:$A$9,0)),"Not Found")</f>
        <v>Pune</v>
      </c>
      <c r="O23" s="5" t="str">
        <f>IFERROR(INDEX(Branch_Master!$C$2:$C$9,MATCH($B23,Branch_Master!$A$2:$A$9,0)),"Not Found")</f>
        <v>Maharashtra</v>
      </c>
      <c r="P23" s="5">
        <f>IFERROR(INDEX(Targets!$B$2:$B$9,MATCH($B23,Targets!$A$2:$A$9,0)),0)</f>
        <v>1250000</v>
      </c>
      <c r="Q23" s="5" t="str">
        <f t="shared" si="0"/>
        <v>No</v>
      </c>
      <c r="R23" s="5" t="str">
        <f t="shared" si="1"/>
        <v>Jan</v>
      </c>
    </row>
    <row r="24" spans="1:18" ht="15" customHeight="1" x14ac:dyDescent="0.3">
      <c r="A24" s="5" t="str">
        <f>Sales_Data!A21</f>
        <v>2025-01-12</v>
      </c>
      <c r="B24" s="5" t="str">
        <f>Sales_Data!B21</f>
        <v>Chennai South</v>
      </c>
      <c r="C24" s="5" t="str">
        <f>Sales_Data!C21</f>
        <v>E032</v>
      </c>
      <c r="D24" s="5" t="str">
        <f>IFERROR(INDEX(Employee_Master!$B$2:$B$44,MATCH($C24,Employee_Master!$A$2:$A$44,0)),"Not Found")</f>
        <v>Victor Allen</v>
      </c>
      <c r="E24" s="5" t="str">
        <f>IFERROR(INDEX(Employee_Master!$C$2:$C$44,MATCH($C24,Employee_Master!$A$2:$A$44,0)),"Not Found")</f>
        <v>Operations</v>
      </c>
      <c r="F24" s="5" t="str">
        <f>IFERROR(INDEX(Employee_Master!$D$2:$D$44,MATCH($C24,Employee_Master!$A$2:$A$44,0)),"Not Found")</f>
        <v>Robert Steele</v>
      </c>
      <c r="G24" s="5" t="str">
        <f>IFERROR(INDEX(Employee_Master!$E$2:$E$44,MATCH($C24,Employee_Master!$A$2:$A$44,0)),"Not Found")</f>
        <v>South</v>
      </c>
      <c r="H24" s="5" t="str">
        <f>Sales_Data!D21</f>
        <v>P011 - Winter Jacket</v>
      </c>
      <c r="I24" s="5" t="str">
        <f>IFERROR(INDEX(Product_Master!$B$2:$B$30,MATCH($H24,Product_Master!$A$2:$A$30,0)),"Invalid Product Code")</f>
        <v>Apparel</v>
      </c>
      <c r="J24" s="5">
        <f>IFERROR(INDEX(Product_Master!$C$2:$C$30,MATCH($H24,Product_Master!$A$2:$A$30,0)),0)</f>
        <v>264.97000000000003</v>
      </c>
      <c r="K24" s="5">
        <f>Sales_Data!E21</f>
        <v>9</v>
      </c>
      <c r="L24" s="5">
        <f>Sales_Data!F21</f>
        <v>2600.89</v>
      </c>
      <c r="M24" s="5">
        <f>Sales_Data!G21</f>
        <v>2260.9899999999998</v>
      </c>
      <c r="N24" s="5" t="str">
        <f>IFERROR(INDEX(Branch_Master!$B$2:$B$9,MATCH($B24,Branch_Master!$A$2:$A$9,0)),"Not Found")</f>
        <v>Chennai</v>
      </c>
      <c r="O24" s="5" t="str">
        <f>IFERROR(INDEX(Branch_Master!$C$2:$C$9,MATCH($B24,Branch_Master!$A$2:$A$9,0)),"Not Found")</f>
        <v>Tamil Nadu</v>
      </c>
      <c r="P24" s="5">
        <f>IFERROR(INDEX(Targets!$B$2:$B$9,MATCH($B24,Targets!$A$2:$A$9,0)),0)</f>
        <v>1910000</v>
      </c>
      <c r="Q24" s="5" t="str">
        <f t="shared" si="0"/>
        <v>Yes</v>
      </c>
      <c r="R24" s="5" t="str">
        <f t="shared" si="1"/>
        <v>Jan</v>
      </c>
    </row>
    <row r="25" spans="1:18" ht="15" customHeight="1" x14ac:dyDescent="0.3">
      <c r="A25" s="5" t="str">
        <f>Sales_Data!A22</f>
        <v>2025-01-12</v>
      </c>
      <c r="B25" s="5" t="str">
        <f>Sales_Data!B22</f>
        <v>Kolkata Central</v>
      </c>
      <c r="C25" s="5" t="str">
        <f>Sales_Data!C22</f>
        <v>E018</v>
      </c>
      <c r="D25" s="5" t="str">
        <f>IFERROR(INDEX(Employee_Master!$B$2:$B$44,MATCH($C25,Employee_Master!$A$2:$A$44,0)),"Not Found")</f>
        <v>Daniel Nelson</v>
      </c>
      <c r="E25" s="5" t="str">
        <f>IFERROR(INDEX(Employee_Master!$C$2:$C$44,MATCH($C25,Employee_Master!$A$2:$A$44,0)),"Not Found")</f>
        <v>Sales</v>
      </c>
      <c r="F25" s="5" t="str">
        <f>IFERROR(INDEX(Employee_Master!$D$2:$D$44,MATCH($C25,Employee_Master!$A$2:$A$44,0)),"Not Found")</f>
        <v>Lisa Moore</v>
      </c>
      <c r="G25" s="5" t="str">
        <f>IFERROR(INDEX(Employee_Master!$E$2:$E$44,MATCH($C25,Employee_Master!$A$2:$A$44,0)),"Not Found")</f>
        <v>East</v>
      </c>
      <c r="H25" s="5" t="str">
        <f>Sales_Data!D22</f>
        <v>P019 - Organic Honey</v>
      </c>
      <c r="I25" s="5" t="str">
        <f>IFERROR(INDEX(Product_Master!$B$2:$B$30,MATCH($H25,Product_Master!$A$2:$A$30,0)),"Invalid Product Code")</f>
        <v>Grocery</v>
      </c>
      <c r="J25" s="5">
        <f>IFERROR(INDEX(Product_Master!$C$2:$C$30,MATCH($H25,Product_Master!$A$2:$A$30,0)),0)</f>
        <v>482.15</v>
      </c>
      <c r="K25" s="5">
        <f>Sales_Data!E22</f>
        <v>9</v>
      </c>
      <c r="L25" s="5">
        <f>Sales_Data!F22</f>
        <v>4170.53</v>
      </c>
      <c r="M25" s="5">
        <f>Sales_Data!G22</f>
        <v>4398.5200000000004</v>
      </c>
      <c r="N25" s="5" t="str">
        <f>IFERROR(INDEX(Branch_Master!$B$2:$B$9,MATCH($B25,Branch_Master!$A$2:$A$9,0)),"Not Found")</f>
        <v>Kolkata</v>
      </c>
      <c r="O25" s="5" t="str">
        <f>IFERROR(INDEX(Branch_Master!$C$2:$C$9,MATCH($B25,Branch_Master!$A$2:$A$9,0)),"Not Found")</f>
        <v>West Bengal</v>
      </c>
      <c r="P25" s="5">
        <f>IFERROR(INDEX(Targets!$B$2:$B$9,MATCH($B25,Targets!$A$2:$A$9,0)),0)</f>
        <v>1910000</v>
      </c>
      <c r="Q25" s="5" t="str">
        <f t="shared" si="0"/>
        <v>No</v>
      </c>
      <c r="R25" s="5" t="str">
        <f t="shared" si="1"/>
        <v>Jan</v>
      </c>
    </row>
    <row r="26" spans="1:18" ht="15" customHeight="1" x14ac:dyDescent="0.3">
      <c r="A26" s="5" t="str">
        <f>Sales_Data!A23</f>
        <v>2025-01-12</v>
      </c>
      <c r="B26" s="5" t="str">
        <f>Sales_Data!B23</f>
        <v>Bangalore North</v>
      </c>
      <c r="C26" s="5" t="str">
        <f>Sales_Data!C23</f>
        <v>E038</v>
      </c>
      <c r="D26" s="5" t="str">
        <f>IFERROR(INDEX(Employee_Master!$B$2:$B$44,MATCH($C26,Employee_Master!$A$2:$A$44,0)),"Not Found")</f>
        <v>Derrick Griffin</v>
      </c>
      <c r="E26" s="5" t="str">
        <f>IFERROR(INDEX(Employee_Master!$C$2:$C$44,MATCH($C26,Employee_Master!$A$2:$A$44,0)),"Not Found")</f>
        <v>Marketing</v>
      </c>
      <c r="F26" s="5" t="str">
        <f>IFERROR(INDEX(Employee_Master!$D$2:$D$44,MATCH($C26,Employee_Master!$A$2:$A$44,0)),"Not Found")</f>
        <v>Jose Soto</v>
      </c>
      <c r="G26" s="5" t="str">
        <f>IFERROR(INDEX(Employee_Master!$E$2:$E$44,MATCH($C26,Employee_Master!$A$2:$A$44,0)),"Not Found")</f>
        <v>South</v>
      </c>
      <c r="H26" s="5" t="str">
        <f>Sales_Data!D23</f>
        <v>P003 - Bluetooth Speaker</v>
      </c>
      <c r="I26" s="5" t="str">
        <f>IFERROR(INDEX(Product_Master!$B$2:$B$30,MATCH($H26,Product_Master!$A$2:$A$30,0)),"Invalid Product Code")</f>
        <v>Electronics</v>
      </c>
      <c r="J26" s="5">
        <f>IFERROR(INDEX(Product_Master!$C$2:$C$30,MATCH($H26,Product_Master!$A$2:$A$30,0)),0)</f>
        <v>351.01</v>
      </c>
      <c r="K26" s="5">
        <f>Sales_Data!E23</f>
        <v>6</v>
      </c>
      <c r="L26" s="5">
        <f>Sales_Data!F23</f>
        <v>1967.23</v>
      </c>
      <c r="M26" s="5">
        <f>Sales_Data!G23</f>
        <v>2109.6999999999998</v>
      </c>
      <c r="N26" s="5" t="str">
        <f>IFERROR(INDEX(Branch_Master!$B$2:$B$9,MATCH($B26,Branch_Master!$A$2:$A$9,0)),"Not Found")</f>
        <v>Bangalore</v>
      </c>
      <c r="O26" s="5" t="str">
        <f>IFERROR(INDEX(Branch_Master!$C$2:$C$9,MATCH($B26,Branch_Master!$A$2:$A$9,0)),"Not Found")</f>
        <v>Karnataka</v>
      </c>
      <c r="P26" s="5">
        <f>IFERROR(INDEX(Targets!$B$2:$B$9,MATCH($B26,Targets!$A$2:$A$9,0)),0)</f>
        <v>900000</v>
      </c>
      <c r="Q26" s="5" t="str">
        <f t="shared" si="0"/>
        <v>No</v>
      </c>
      <c r="R26" s="5" t="str">
        <f t="shared" si="1"/>
        <v>Jan</v>
      </c>
    </row>
    <row r="27" spans="1:18" ht="15" customHeight="1" x14ac:dyDescent="0.3">
      <c r="A27" s="5" t="str">
        <f>Sales_Data!A24</f>
        <v>2025-01-12</v>
      </c>
      <c r="B27" s="5" t="str">
        <f>Sales_Data!B24</f>
        <v>Delhi NCR</v>
      </c>
      <c r="C27" s="5" t="str">
        <f>Sales_Data!C24</f>
        <v>E031</v>
      </c>
      <c r="D27" s="5" t="str">
        <f>IFERROR(INDEX(Employee_Master!$B$2:$B$44,MATCH($C27,Employee_Master!$A$2:$A$44,0)),"Not Found")</f>
        <v>Jennifer Garcia</v>
      </c>
      <c r="E27" s="5" t="str">
        <f>IFERROR(INDEX(Employee_Master!$C$2:$C$44,MATCH($C27,Employee_Master!$A$2:$A$44,0)),"Not Found")</f>
        <v>Sales</v>
      </c>
      <c r="F27" s="5" t="str">
        <f>IFERROR(INDEX(Employee_Master!$D$2:$D$44,MATCH($C27,Employee_Master!$A$2:$A$44,0)),"Not Found")</f>
        <v>William Oconnell</v>
      </c>
      <c r="G27" s="5" t="str">
        <f>IFERROR(INDEX(Employee_Master!$E$2:$E$44,MATCH($C27,Employee_Master!$A$2:$A$44,0)),"Not Found")</f>
        <v>North</v>
      </c>
      <c r="H27" s="5" t="str">
        <f>Sales_Data!D24</f>
        <v>P026 - Yoga Mat</v>
      </c>
      <c r="I27" s="5" t="str">
        <f>IFERROR(INDEX(Product_Master!$B$2:$B$30,MATCH($H27,Product_Master!$A$2:$A$30,0)),"Invalid Product Code")</f>
        <v>Sports</v>
      </c>
      <c r="J27" s="5">
        <f>IFERROR(INDEX(Product_Master!$C$2:$C$30,MATCH($H27,Product_Master!$A$2:$A$30,0)),0)</f>
        <v>518.76</v>
      </c>
      <c r="K27" s="5">
        <f>Sales_Data!E24</f>
        <v>11</v>
      </c>
      <c r="L27" s="5">
        <f>Sales_Data!F24</f>
        <v>5832.49</v>
      </c>
      <c r="M27" s="5">
        <f>Sales_Data!G24</f>
        <v>6410.03</v>
      </c>
      <c r="N27" s="5" t="str">
        <f>IFERROR(INDEX(Branch_Master!$B$2:$B$9,MATCH($B27,Branch_Master!$A$2:$A$9,0)),"Not Found")</f>
        <v>New Delhi</v>
      </c>
      <c r="O27" s="5" t="str">
        <f>IFERROR(INDEX(Branch_Master!$C$2:$C$9,MATCH($B27,Branch_Master!$A$2:$A$9,0)),"Not Found")</f>
        <v>Delhi</v>
      </c>
      <c r="P27" s="5">
        <f>IFERROR(INDEX(Targets!$B$2:$B$9,MATCH($B27,Targets!$A$2:$A$9,0)),0)</f>
        <v>2070000</v>
      </c>
      <c r="Q27" s="5" t="str">
        <f t="shared" si="0"/>
        <v>No</v>
      </c>
      <c r="R27" s="5" t="str">
        <f t="shared" si="1"/>
        <v>Jan</v>
      </c>
    </row>
    <row r="28" spans="1:18" ht="15" customHeight="1" x14ac:dyDescent="0.3">
      <c r="A28" s="5" t="str">
        <f>Sales_Data!A25</f>
        <v>2025-01-12</v>
      </c>
      <c r="B28" s="5" t="str">
        <f>Sales_Data!B25</f>
        <v>Hyderabad Hitech</v>
      </c>
      <c r="C28" s="5" t="str">
        <f>Sales_Data!C25</f>
        <v>E030</v>
      </c>
      <c r="D28" s="5" t="str">
        <f>IFERROR(INDEX(Employee_Master!$B$2:$B$44,MATCH($C28,Employee_Master!$A$2:$A$44,0)),"Not Found")</f>
        <v>Travis Khan</v>
      </c>
      <c r="E28" s="5" t="str">
        <f>IFERROR(INDEX(Employee_Master!$C$2:$C$44,MATCH($C28,Employee_Master!$A$2:$A$44,0)),"Not Found")</f>
        <v>Operations</v>
      </c>
      <c r="F28" s="5" t="str">
        <f>IFERROR(INDEX(Employee_Master!$D$2:$D$44,MATCH($C28,Employee_Master!$A$2:$A$44,0)),"Not Found")</f>
        <v>Anna Turner</v>
      </c>
      <c r="G28" s="5" t="str">
        <f>IFERROR(INDEX(Employee_Master!$E$2:$E$44,MATCH($C28,Employee_Master!$A$2:$A$44,0)),"Not Found")</f>
        <v>South</v>
      </c>
      <c r="H28" s="5" t="str">
        <f>Sales_Data!D25</f>
        <v>P002 - Smart Watch</v>
      </c>
      <c r="I28" s="5" t="str">
        <f>IFERROR(INDEX(Product_Master!$B$2:$B$30,MATCH($H28,Product_Master!$A$2:$A$30,0)),"Invalid Product Code")</f>
        <v>Electronics</v>
      </c>
      <c r="J28" s="5">
        <f>IFERROR(INDEX(Product_Master!$C$2:$C$30,MATCH($H28,Product_Master!$A$2:$A$30,0)),0)</f>
        <v>403.33</v>
      </c>
      <c r="K28" s="5">
        <f>Sales_Data!E25</f>
        <v>9</v>
      </c>
      <c r="L28" s="5">
        <f>Sales_Data!F25</f>
        <v>3382.18</v>
      </c>
      <c r="M28" s="5">
        <f>Sales_Data!G25</f>
        <v>3407.68</v>
      </c>
      <c r="N28" s="5" t="str">
        <f>IFERROR(INDEX(Branch_Master!$B$2:$B$9,MATCH($B28,Branch_Master!$A$2:$A$9,0)),"Not Found")</f>
        <v>Hyderabad</v>
      </c>
      <c r="O28" s="5" t="str">
        <f>IFERROR(INDEX(Branch_Master!$C$2:$C$9,MATCH($B28,Branch_Master!$A$2:$A$9,0)),"Not Found")</f>
        <v>Telangana</v>
      </c>
      <c r="P28" s="5">
        <f>IFERROR(INDEX(Targets!$B$2:$B$9,MATCH($B28,Targets!$A$2:$A$9,0)),0)</f>
        <v>1210000</v>
      </c>
      <c r="Q28" s="5" t="str">
        <f t="shared" si="0"/>
        <v>No</v>
      </c>
      <c r="R28" s="5" t="str">
        <f t="shared" si="1"/>
        <v>Jan</v>
      </c>
    </row>
    <row r="29" spans="1:18" ht="15" customHeight="1" x14ac:dyDescent="0.3">
      <c r="A29" s="5" t="str">
        <f>Sales_Data!A26</f>
        <v>2025-01-13</v>
      </c>
      <c r="B29" s="5" t="str">
        <f>Sales_Data!B26</f>
        <v>Hyderabad Hitech</v>
      </c>
      <c r="C29" s="5" t="str">
        <f>Sales_Data!C26</f>
        <v>E026</v>
      </c>
      <c r="D29" s="5" t="str">
        <f>IFERROR(INDEX(Employee_Master!$B$2:$B$44,MATCH($C29,Employee_Master!$A$2:$A$44,0)),"Not Found")</f>
        <v>Karen Andrews</v>
      </c>
      <c r="E29" s="5" t="str">
        <f>IFERROR(INDEX(Employee_Master!$C$2:$C$44,MATCH($C29,Employee_Master!$A$2:$A$44,0)),"Not Found")</f>
        <v>Marketing</v>
      </c>
      <c r="F29" s="5" t="str">
        <f>IFERROR(INDEX(Employee_Master!$D$2:$D$44,MATCH($C29,Employee_Master!$A$2:$A$44,0)),"Not Found")</f>
        <v>Anna Turner</v>
      </c>
      <c r="G29" s="5" t="str">
        <f>IFERROR(INDEX(Employee_Master!$E$2:$E$44,MATCH($C29,Employee_Master!$A$2:$A$44,0)),"Not Found")</f>
        <v>South</v>
      </c>
      <c r="H29" s="5" t="str">
        <f>Sales_Data!D26</f>
        <v>P026 - Yoga Mat</v>
      </c>
      <c r="I29" s="5" t="str">
        <f>IFERROR(INDEX(Product_Master!$B$2:$B$30,MATCH($H29,Product_Master!$A$2:$A$30,0)),"Invalid Product Code")</f>
        <v>Sports</v>
      </c>
      <c r="J29" s="5">
        <f>IFERROR(INDEX(Product_Master!$C$2:$C$30,MATCH($H29,Product_Master!$A$2:$A$30,0)),0)</f>
        <v>518.76</v>
      </c>
      <c r="K29" s="5">
        <f>Sales_Data!E26</f>
        <v>8</v>
      </c>
      <c r="L29" s="5">
        <f>Sales_Data!F26</f>
        <v>4243.2</v>
      </c>
      <c r="M29" s="5">
        <f>Sales_Data!G26</f>
        <v>3606.18</v>
      </c>
      <c r="N29" s="5" t="str">
        <f>IFERROR(INDEX(Branch_Master!$B$2:$B$9,MATCH($B29,Branch_Master!$A$2:$A$9,0)),"Not Found")</f>
        <v>Hyderabad</v>
      </c>
      <c r="O29" s="5" t="str">
        <f>IFERROR(INDEX(Branch_Master!$C$2:$C$9,MATCH($B29,Branch_Master!$A$2:$A$9,0)),"Not Found")</f>
        <v>Telangana</v>
      </c>
      <c r="P29" s="5">
        <f>IFERROR(INDEX(Targets!$B$2:$B$9,MATCH($B29,Targets!$A$2:$A$9,0)),0)</f>
        <v>1210000</v>
      </c>
      <c r="Q29" s="5" t="str">
        <f t="shared" si="0"/>
        <v>Yes</v>
      </c>
      <c r="R29" s="5" t="str">
        <f t="shared" si="1"/>
        <v>Jan</v>
      </c>
    </row>
    <row r="30" spans="1:18" ht="15" customHeight="1" x14ac:dyDescent="0.3">
      <c r="A30" s="5" t="str">
        <f>Sales_Data!A27</f>
        <v>2025-01-13</v>
      </c>
      <c r="B30" s="5" t="str">
        <f>Sales_Data!B27</f>
        <v>Bangalore North</v>
      </c>
      <c r="C30" s="5" t="str">
        <f>Sales_Data!C27</f>
        <v>E006</v>
      </c>
      <c r="D30" s="5" t="str">
        <f>IFERROR(INDEX(Employee_Master!$B$2:$B$44,MATCH($C30,Employee_Master!$A$2:$A$44,0)),"Not Found")</f>
        <v>Dylan Jones</v>
      </c>
      <c r="E30" s="5" t="str">
        <f>IFERROR(INDEX(Employee_Master!$C$2:$C$44,MATCH($C30,Employee_Master!$A$2:$A$44,0)),"Not Found")</f>
        <v>Sales</v>
      </c>
      <c r="F30" s="5" t="str">
        <f>IFERROR(INDEX(Employee_Master!$D$2:$D$44,MATCH($C30,Employee_Master!$A$2:$A$44,0)),"Not Found")</f>
        <v>Jose Soto</v>
      </c>
      <c r="G30" s="5" t="str">
        <f>IFERROR(INDEX(Employee_Master!$E$2:$E$44,MATCH($C30,Employee_Master!$A$2:$A$44,0)),"Not Found")</f>
        <v>South</v>
      </c>
      <c r="H30" s="5" t="str">
        <f>Sales_Data!D27</f>
        <v>P001 - Wireless Earbuds</v>
      </c>
      <c r="I30" s="5" t="str">
        <f>IFERROR(INDEX(Product_Master!$B$2:$B$30,MATCH($H30,Product_Master!$A$2:$A$30,0)),"Invalid Product Code")</f>
        <v>Electronics</v>
      </c>
      <c r="J30" s="5">
        <f>IFERROR(INDEX(Product_Master!$C$2:$C$30,MATCH($H30,Product_Master!$A$2:$A$30,0)),0)</f>
        <v>1676.76</v>
      </c>
      <c r="K30" s="5">
        <f>Sales_Data!E27</f>
        <v>3</v>
      </c>
      <c r="L30" s="5">
        <f>Sales_Data!F27</f>
        <v>4833.41</v>
      </c>
      <c r="M30" s="5">
        <f>Sales_Data!G27</f>
        <v>4338.43</v>
      </c>
      <c r="N30" s="5" t="str">
        <f>IFERROR(INDEX(Branch_Master!$B$2:$B$9,MATCH($B30,Branch_Master!$A$2:$A$9,0)),"Not Found")</f>
        <v>Bangalore</v>
      </c>
      <c r="O30" s="5" t="str">
        <f>IFERROR(INDEX(Branch_Master!$C$2:$C$9,MATCH($B30,Branch_Master!$A$2:$A$9,0)),"Not Found")</f>
        <v>Karnataka</v>
      </c>
      <c r="P30" s="5">
        <f>IFERROR(INDEX(Targets!$B$2:$B$9,MATCH($B30,Targets!$A$2:$A$9,0)),0)</f>
        <v>900000</v>
      </c>
      <c r="Q30" s="5" t="str">
        <f t="shared" si="0"/>
        <v>Yes</v>
      </c>
      <c r="R30" s="5" t="str">
        <f t="shared" si="1"/>
        <v>Jan</v>
      </c>
    </row>
    <row r="31" spans="1:18" ht="15" customHeight="1" x14ac:dyDescent="0.3">
      <c r="A31" s="5" t="str">
        <f>Sales_Data!A28</f>
        <v>2025-01-14</v>
      </c>
      <c r="B31" s="5" t="str">
        <f>Sales_Data!B28</f>
        <v>Kolkata Central</v>
      </c>
      <c r="C31" s="5" t="str">
        <f>Sales_Data!C28</f>
        <v>E028</v>
      </c>
      <c r="D31" s="5" t="str">
        <f>IFERROR(INDEX(Employee_Master!$B$2:$B$44,MATCH($C31,Employee_Master!$A$2:$A$44,0)),"Not Found")</f>
        <v>Sabrina Wright</v>
      </c>
      <c r="E31" s="5" t="str">
        <f>IFERROR(INDEX(Employee_Master!$C$2:$C$44,MATCH($C31,Employee_Master!$A$2:$A$44,0)),"Not Found")</f>
        <v>Customer Support</v>
      </c>
      <c r="F31" s="5" t="str">
        <f>IFERROR(INDEX(Employee_Master!$D$2:$D$44,MATCH($C31,Employee_Master!$A$2:$A$44,0)),"Not Found")</f>
        <v>Lisa Moore</v>
      </c>
      <c r="G31" s="5" t="str">
        <f>IFERROR(INDEX(Employee_Master!$E$2:$E$44,MATCH($C31,Employee_Master!$A$2:$A$44,0)),"Not Found")</f>
        <v>East</v>
      </c>
      <c r="H31" s="5" t="str">
        <f>Sales_Data!D28</f>
        <v>P006 - Laptop Stand</v>
      </c>
      <c r="I31" s="5" t="str">
        <f>IFERROR(INDEX(Product_Master!$B$2:$B$30,MATCH($H31,Product_Master!$A$2:$A$30,0)),"Invalid Product Code")</f>
        <v>Electronics</v>
      </c>
      <c r="J31" s="5">
        <f>IFERROR(INDEX(Product_Master!$C$2:$C$30,MATCH($H31,Product_Master!$A$2:$A$30,0)),0)</f>
        <v>393.96</v>
      </c>
      <c r="K31" s="5">
        <f>Sales_Data!E28</f>
        <v>2</v>
      </c>
      <c r="L31" s="5">
        <f>Sales_Data!F28</f>
        <v>778.93</v>
      </c>
      <c r="M31" s="5">
        <f>Sales_Data!G28</f>
        <v>866.66</v>
      </c>
      <c r="N31" s="5" t="str">
        <f>IFERROR(INDEX(Branch_Master!$B$2:$B$9,MATCH($B31,Branch_Master!$A$2:$A$9,0)),"Not Found")</f>
        <v>Kolkata</v>
      </c>
      <c r="O31" s="5" t="str">
        <f>IFERROR(INDEX(Branch_Master!$C$2:$C$9,MATCH($B31,Branch_Master!$A$2:$A$9,0)),"Not Found")</f>
        <v>West Bengal</v>
      </c>
      <c r="P31" s="5">
        <f>IFERROR(INDEX(Targets!$B$2:$B$9,MATCH($B31,Targets!$A$2:$A$9,0)),0)</f>
        <v>1910000</v>
      </c>
      <c r="Q31" s="5" t="str">
        <f t="shared" si="0"/>
        <v>No</v>
      </c>
      <c r="R31" s="5" t="str">
        <f t="shared" si="1"/>
        <v>Jan</v>
      </c>
    </row>
    <row r="32" spans="1:18" ht="15" customHeight="1" x14ac:dyDescent="0.3">
      <c r="A32" s="5" t="str">
        <f>Sales_Data!A29</f>
        <v>2025-01-14</v>
      </c>
      <c r="B32" s="5" t="str">
        <f>Sales_Data!B29</f>
        <v>Chennai South</v>
      </c>
      <c r="C32" s="5" t="str">
        <f>Sales_Data!C29</f>
        <v>E032</v>
      </c>
      <c r="D32" s="5" t="str">
        <f>IFERROR(INDEX(Employee_Master!$B$2:$B$44,MATCH($C32,Employee_Master!$A$2:$A$44,0)),"Not Found")</f>
        <v>Victor Allen</v>
      </c>
      <c r="E32" s="5" t="str">
        <f>IFERROR(INDEX(Employee_Master!$C$2:$C$44,MATCH($C32,Employee_Master!$A$2:$A$44,0)),"Not Found")</f>
        <v>Operations</v>
      </c>
      <c r="F32" s="5" t="str">
        <f>IFERROR(INDEX(Employee_Master!$D$2:$D$44,MATCH($C32,Employee_Master!$A$2:$A$44,0)),"Not Found")</f>
        <v>Robert Steele</v>
      </c>
      <c r="G32" s="5" t="str">
        <f>IFERROR(INDEX(Employee_Master!$E$2:$E$44,MATCH($C32,Employee_Master!$A$2:$A$44,0)),"Not Found")</f>
        <v>South</v>
      </c>
      <c r="H32" s="5" t="str">
        <f>Sales_Data!D29</f>
        <v>P019 - Organic Honey</v>
      </c>
      <c r="I32" s="5" t="str">
        <f>IFERROR(INDEX(Product_Master!$B$2:$B$30,MATCH($H32,Product_Master!$A$2:$A$30,0)),"Invalid Product Code")</f>
        <v>Grocery</v>
      </c>
      <c r="J32" s="5">
        <f>IFERROR(INDEX(Product_Master!$C$2:$C$30,MATCH($H32,Product_Master!$A$2:$A$30,0)),0)</f>
        <v>482.15</v>
      </c>
      <c r="K32" s="5">
        <f>Sales_Data!E29</f>
        <v>10</v>
      </c>
      <c r="L32" s="5">
        <f>Sales_Data!F29</f>
        <v>4631.45</v>
      </c>
      <c r="M32" s="5">
        <f>Sales_Data!G29</f>
        <v>4769.6499999999996</v>
      </c>
      <c r="N32" s="5" t="str">
        <f>IFERROR(INDEX(Branch_Master!$B$2:$B$9,MATCH($B32,Branch_Master!$A$2:$A$9,0)),"Not Found")</f>
        <v>Chennai</v>
      </c>
      <c r="O32" s="5" t="str">
        <f>IFERROR(INDEX(Branch_Master!$C$2:$C$9,MATCH($B32,Branch_Master!$A$2:$A$9,0)),"Not Found")</f>
        <v>Tamil Nadu</v>
      </c>
      <c r="P32" s="5">
        <f>IFERROR(INDEX(Targets!$B$2:$B$9,MATCH($B32,Targets!$A$2:$A$9,0)),0)</f>
        <v>1910000</v>
      </c>
      <c r="Q32" s="5" t="str">
        <f t="shared" si="0"/>
        <v>No</v>
      </c>
      <c r="R32" s="5" t="str">
        <f t="shared" si="1"/>
        <v>Jan</v>
      </c>
    </row>
    <row r="33" spans="1:18" ht="15" customHeight="1" x14ac:dyDescent="0.3">
      <c r="A33" s="5" t="str">
        <f>Sales_Data!A30</f>
        <v>2025-01-14</v>
      </c>
      <c r="B33" s="5" t="str">
        <f>Sales_Data!B30</f>
        <v>Chennai South</v>
      </c>
      <c r="C33" s="5" t="str">
        <f>Sales_Data!C30</f>
        <v>E032</v>
      </c>
      <c r="D33" s="5" t="str">
        <f>IFERROR(INDEX(Employee_Master!$B$2:$B$44,MATCH($C33,Employee_Master!$A$2:$A$44,0)),"Not Found")</f>
        <v>Victor Allen</v>
      </c>
      <c r="E33" s="5" t="str">
        <f>IFERROR(INDEX(Employee_Master!$C$2:$C$44,MATCH($C33,Employee_Master!$A$2:$A$44,0)),"Not Found")</f>
        <v>Operations</v>
      </c>
      <c r="F33" s="5" t="str">
        <f>IFERROR(INDEX(Employee_Master!$D$2:$D$44,MATCH($C33,Employee_Master!$A$2:$A$44,0)),"Not Found")</f>
        <v>Robert Steele</v>
      </c>
      <c r="G33" s="5" t="str">
        <f>IFERROR(INDEX(Employee_Master!$E$2:$E$44,MATCH($C33,Employee_Master!$A$2:$A$44,0)),"Not Found")</f>
        <v>South</v>
      </c>
      <c r="H33" s="5" t="str">
        <f>Sales_Data!D30</f>
        <v>P025 - Lipstick Set</v>
      </c>
      <c r="I33" s="5" t="str">
        <f>IFERROR(INDEX(Product_Master!$B$2:$B$30,MATCH($H33,Product_Master!$A$2:$A$30,0)),"Invalid Product Code")</f>
        <v>Beauty</v>
      </c>
      <c r="J33" s="5">
        <f>IFERROR(INDEX(Product_Master!$C$2:$C$30,MATCH($H33,Product_Master!$A$2:$A$30,0)),0)</f>
        <v>765.9</v>
      </c>
      <c r="K33" s="5">
        <f>Sales_Data!E30</f>
        <v>2</v>
      </c>
      <c r="L33" s="5">
        <f>Sales_Data!F30</f>
        <v>1479.9</v>
      </c>
      <c r="M33" s="5">
        <f>Sales_Data!G30</f>
        <v>1728.07</v>
      </c>
      <c r="N33" s="5" t="str">
        <f>IFERROR(INDEX(Branch_Master!$B$2:$B$9,MATCH($B33,Branch_Master!$A$2:$A$9,0)),"Not Found")</f>
        <v>Chennai</v>
      </c>
      <c r="O33" s="5" t="str">
        <f>IFERROR(INDEX(Branch_Master!$C$2:$C$9,MATCH($B33,Branch_Master!$A$2:$A$9,0)),"Not Found")</f>
        <v>Tamil Nadu</v>
      </c>
      <c r="P33" s="5">
        <f>IFERROR(INDEX(Targets!$B$2:$B$9,MATCH($B33,Targets!$A$2:$A$9,0)),0)</f>
        <v>1910000</v>
      </c>
      <c r="Q33" s="5" t="str">
        <f t="shared" si="0"/>
        <v>No</v>
      </c>
      <c r="R33" s="5" t="str">
        <f t="shared" si="1"/>
        <v>Jan</v>
      </c>
    </row>
    <row r="34" spans="1:18" ht="15" customHeight="1" x14ac:dyDescent="0.3">
      <c r="A34" s="5" t="str">
        <f>Sales_Data!A31</f>
        <v>2025-01-14</v>
      </c>
      <c r="B34" s="5" t="str">
        <f>Sales_Data!B31</f>
        <v>Pune East</v>
      </c>
      <c r="C34" s="5" t="str">
        <f>Sales_Data!C31</f>
        <v>E023</v>
      </c>
      <c r="D34" s="5" t="str">
        <f>IFERROR(INDEX(Employee_Master!$B$2:$B$44,MATCH($C34,Employee_Master!$A$2:$A$44,0)),"Not Found")</f>
        <v>Edward Jones</v>
      </c>
      <c r="E34" s="5" t="str">
        <f>IFERROR(INDEX(Employee_Master!$C$2:$C$44,MATCH($C34,Employee_Master!$A$2:$A$44,0)),"Not Found")</f>
        <v>Operations</v>
      </c>
      <c r="F34" s="5" t="str">
        <f>IFERROR(INDEX(Employee_Master!$D$2:$D$44,MATCH($C34,Employee_Master!$A$2:$A$44,0)),"Not Found")</f>
        <v>Jordan Matthews</v>
      </c>
      <c r="G34" s="5" t="str">
        <f>IFERROR(INDEX(Employee_Master!$E$2:$E$44,MATCH($C34,Employee_Master!$A$2:$A$44,0)),"Not Found")</f>
        <v>West</v>
      </c>
      <c r="H34" s="5" t="str">
        <f>Sales_Data!D31</f>
        <v>P023 - Sunscreen SPF50</v>
      </c>
      <c r="I34" s="5" t="str">
        <f>IFERROR(INDEX(Product_Master!$B$2:$B$30,MATCH($H34,Product_Master!$A$2:$A$30,0)),"Invalid Product Code")</f>
        <v>Beauty</v>
      </c>
      <c r="J34" s="5">
        <f>IFERROR(INDEX(Product_Master!$C$2:$C$30,MATCH($H34,Product_Master!$A$2:$A$30,0)),0)</f>
        <v>818.95</v>
      </c>
      <c r="K34" s="5">
        <f>Sales_Data!E31</f>
        <v>4</v>
      </c>
      <c r="L34" s="5">
        <f>Sales_Data!F31</f>
        <v>3473.21</v>
      </c>
      <c r="M34" s="5">
        <f>Sales_Data!G31</f>
        <v>2959.27</v>
      </c>
      <c r="N34" s="5" t="str">
        <f>IFERROR(INDEX(Branch_Master!$B$2:$B$9,MATCH($B34,Branch_Master!$A$2:$A$9,0)),"Not Found")</f>
        <v>Pune</v>
      </c>
      <c r="O34" s="5" t="str">
        <f>IFERROR(INDEX(Branch_Master!$C$2:$C$9,MATCH($B34,Branch_Master!$A$2:$A$9,0)),"Not Found")</f>
        <v>Maharashtra</v>
      </c>
      <c r="P34" s="5">
        <f>IFERROR(INDEX(Targets!$B$2:$B$9,MATCH($B34,Targets!$A$2:$A$9,0)),0)</f>
        <v>1250000</v>
      </c>
      <c r="Q34" s="5" t="str">
        <f t="shared" si="0"/>
        <v>Yes</v>
      </c>
      <c r="R34" s="5" t="str">
        <f t="shared" si="1"/>
        <v>Jan</v>
      </c>
    </row>
    <row r="35" spans="1:18" ht="15" customHeight="1" x14ac:dyDescent="0.3">
      <c r="A35" s="5" t="str">
        <f>Sales_Data!A32</f>
        <v>2025-01-14</v>
      </c>
      <c r="B35" s="5" t="str">
        <f>Sales_Data!B32</f>
        <v>Hyderabad Hitech</v>
      </c>
      <c r="C35" s="5" t="str">
        <f>Sales_Data!C32</f>
        <v>E020</v>
      </c>
      <c r="D35" s="5" t="str">
        <f>IFERROR(INDEX(Employee_Master!$B$2:$B$44,MATCH($C35,Employee_Master!$A$2:$A$44,0)),"Not Found")</f>
        <v>Christine Long</v>
      </c>
      <c r="E35" s="5" t="str">
        <f>IFERROR(INDEX(Employee_Master!$C$2:$C$44,MATCH($C35,Employee_Master!$A$2:$A$44,0)),"Not Found")</f>
        <v>Operations</v>
      </c>
      <c r="F35" s="5" t="str">
        <f>IFERROR(INDEX(Employee_Master!$D$2:$D$44,MATCH($C35,Employee_Master!$A$2:$A$44,0)),"Not Found")</f>
        <v>Anna Turner</v>
      </c>
      <c r="G35" s="5" t="str">
        <f>IFERROR(INDEX(Employee_Master!$E$2:$E$44,MATCH($C35,Employee_Master!$A$2:$A$44,0)),"Not Found")</f>
        <v>South</v>
      </c>
      <c r="H35" s="5" t="str">
        <f>Sales_Data!D32</f>
        <v>P001 - Wireless Earbuds</v>
      </c>
      <c r="I35" s="5" t="str">
        <f>IFERROR(INDEX(Product_Master!$B$2:$B$30,MATCH($H35,Product_Master!$A$2:$A$30,0)),"Invalid Product Code")</f>
        <v>Electronics</v>
      </c>
      <c r="J35" s="5">
        <f>IFERROR(INDEX(Product_Master!$C$2:$C$30,MATCH($H35,Product_Master!$A$2:$A$30,0)),0)</f>
        <v>1676.76</v>
      </c>
      <c r="K35" s="5">
        <f>Sales_Data!E32</f>
        <v>8</v>
      </c>
      <c r="L35" s="5">
        <f>Sales_Data!F32</f>
        <v>12227.07</v>
      </c>
      <c r="M35" s="5">
        <f>Sales_Data!G32</f>
        <v>13745.74</v>
      </c>
      <c r="N35" s="5" t="str">
        <f>IFERROR(INDEX(Branch_Master!$B$2:$B$9,MATCH($B35,Branch_Master!$A$2:$A$9,0)),"Not Found")</f>
        <v>Hyderabad</v>
      </c>
      <c r="O35" s="5" t="str">
        <f>IFERROR(INDEX(Branch_Master!$C$2:$C$9,MATCH($B35,Branch_Master!$A$2:$A$9,0)),"Not Found")</f>
        <v>Telangana</v>
      </c>
      <c r="P35" s="5">
        <f>IFERROR(INDEX(Targets!$B$2:$B$9,MATCH($B35,Targets!$A$2:$A$9,0)),0)</f>
        <v>1210000</v>
      </c>
      <c r="Q35" s="5" t="str">
        <f t="shared" si="0"/>
        <v>No</v>
      </c>
      <c r="R35" s="5" t="str">
        <f t="shared" si="1"/>
        <v>Jan</v>
      </c>
    </row>
    <row r="36" spans="1:18" ht="15" customHeight="1" x14ac:dyDescent="0.3">
      <c r="A36" s="5" t="str">
        <f>Sales_Data!A33</f>
        <v>2025-01-14</v>
      </c>
      <c r="B36" s="5" t="str">
        <f>Sales_Data!B33</f>
        <v>Hyderabad Hitech</v>
      </c>
      <c r="C36" s="5" t="str">
        <f>Sales_Data!C33</f>
        <v>E011</v>
      </c>
      <c r="D36" s="5" t="str">
        <f>IFERROR(INDEX(Employee_Master!$B$2:$B$44,MATCH($C36,Employee_Master!$A$2:$A$44,0)),"Not Found")</f>
        <v>Mark Osborne</v>
      </c>
      <c r="E36" s="5" t="str">
        <f>IFERROR(INDEX(Employee_Master!$C$2:$C$44,MATCH($C36,Employee_Master!$A$2:$A$44,0)),"Not Found")</f>
        <v>Marketing</v>
      </c>
      <c r="F36" s="5" t="str">
        <f>IFERROR(INDEX(Employee_Master!$D$2:$D$44,MATCH($C36,Employee_Master!$A$2:$A$44,0)),"Not Found")</f>
        <v>Anna Turner</v>
      </c>
      <c r="G36" s="5" t="str">
        <f>IFERROR(INDEX(Employee_Master!$E$2:$E$44,MATCH($C36,Employee_Master!$A$2:$A$44,0)),"Not Found")</f>
        <v>South</v>
      </c>
      <c r="H36" s="5" t="str">
        <f>Sales_Data!D33</f>
        <v>P005 - LED Monitor</v>
      </c>
      <c r="I36" s="5" t="str">
        <f>IFERROR(INDEX(Product_Master!$B$2:$B$30,MATCH($H36,Product_Master!$A$2:$A$30,0)),"Invalid Product Code")</f>
        <v>Electronics</v>
      </c>
      <c r="J36" s="5">
        <f>IFERROR(INDEX(Product_Master!$C$2:$C$30,MATCH($H36,Product_Master!$A$2:$A$30,0)),0)</f>
        <v>489.9</v>
      </c>
      <c r="K36" s="5">
        <f>Sales_Data!E33</f>
        <v>4</v>
      </c>
      <c r="L36" s="5">
        <f>Sales_Data!F33</f>
        <v>1950.93</v>
      </c>
      <c r="M36" s="5">
        <f>Sales_Data!G33</f>
        <v>1911.1</v>
      </c>
      <c r="N36" s="5" t="str">
        <f>IFERROR(INDEX(Branch_Master!$B$2:$B$9,MATCH($B36,Branch_Master!$A$2:$A$9,0)),"Not Found")</f>
        <v>Hyderabad</v>
      </c>
      <c r="O36" s="5" t="str">
        <f>IFERROR(INDEX(Branch_Master!$C$2:$C$9,MATCH($B36,Branch_Master!$A$2:$A$9,0)),"Not Found")</f>
        <v>Telangana</v>
      </c>
      <c r="P36" s="5">
        <f>IFERROR(INDEX(Targets!$B$2:$B$9,MATCH($B36,Targets!$A$2:$A$9,0)),0)</f>
        <v>1210000</v>
      </c>
      <c r="Q36" s="5" t="str">
        <f t="shared" si="0"/>
        <v>Yes</v>
      </c>
      <c r="R36" s="5" t="str">
        <f t="shared" si="1"/>
        <v>Jan</v>
      </c>
    </row>
    <row r="37" spans="1:18" ht="15" customHeight="1" x14ac:dyDescent="0.3">
      <c r="A37" s="5" t="str">
        <f>Sales_Data!A34</f>
        <v>2025-01-15</v>
      </c>
      <c r="B37" s="5" t="str">
        <f>Sales_Data!B34</f>
        <v>Pune East</v>
      </c>
      <c r="C37" s="5" t="str">
        <f>Sales_Data!C34</f>
        <v>E023</v>
      </c>
      <c r="D37" s="5" t="str">
        <f>IFERROR(INDEX(Employee_Master!$B$2:$B$44,MATCH($C37,Employee_Master!$A$2:$A$44,0)),"Not Found")</f>
        <v>Edward Jones</v>
      </c>
      <c r="E37" s="5" t="str">
        <f>IFERROR(INDEX(Employee_Master!$C$2:$C$44,MATCH($C37,Employee_Master!$A$2:$A$44,0)),"Not Found")</f>
        <v>Operations</v>
      </c>
      <c r="F37" s="5" t="str">
        <f>IFERROR(INDEX(Employee_Master!$D$2:$D$44,MATCH($C37,Employee_Master!$A$2:$A$44,0)),"Not Found")</f>
        <v>Jordan Matthews</v>
      </c>
      <c r="G37" s="5" t="str">
        <f>IFERROR(INDEX(Employee_Master!$E$2:$E$44,MATCH($C37,Employee_Master!$A$2:$A$44,0)),"Not Found")</f>
        <v>West</v>
      </c>
      <c r="H37" s="5" t="str">
        <f>Sales_Data!D34</f>
        <v>P018 - Cooking Oil 1L</v>
      </c>
      <c r="I37" s="5" t="str">
        <f>IFERROR(INDEX(Product_Master!$B$2:$B$30,MATCH($H37,Product_Master!$A$2:$A$30,0)),"Invalid Product Code")</f>
        <v>Grocery</v>
      </c>
      <c r="J37" s="5">
        <f>IFERROR(INDEX(Product_Master!$C$2:$C$30,MATCH($H37,Product_Master!$A$2:$A$30,0)),0)</f>
        <v>1483.63</v>
      </c>
      <c r="K37" s="5">
        <f>Sales_Data!E34</f>
        <v>8</v>
      </c>
      <c r="L37" s="5">
        <f>Sales_Data!F34</f>
        <v>11923.36</v>
      </c>
      <c r="M37" s="5">
        <f>Sales_Data!G34</f>
        <v>11172.78</v>
      </c>
      <c r="N37" s="5" t="str">
        <f>IFERROR(INDEX(Branch_Master!$B$2:$B$9,MATCH($B37,Branch_Master!$A$2:$A$9,0)),"Not Found")</f>
        <v>Pune</v>
      </c>
      <c r="O37" s="5" t="str">
        <f>IFERROR(INDEX(Branch_Master!$C$2:$C$9,MATCH($B37,Branch_Master!$A$2:$A$9,0)),"Not Found")</f>
        <v>Maharashtra</v>
      </c>
      <c r="P37" s="5">
        <f>IFERROR(INDEX(Targets!$B$2:$B$9,MATCH($B37,Targets!$A$2:$A$9,0)),0)</f>
        <v>1250000</v>
      </c>
      <c r="Q37" s="5" t="str">
        <f t="shared" si="0"/>
        <v>Yes</v>
      </c>
      <c r="R37" s="5" t="str">
        <f t="shared" si="1"/>
        <v>Jan</v>
      </c>
    </row>
    <row r="38" spans="1:18" ht="15" customHeight="1" x14ac:dyDescent="0.3">
      <c r="A38" s="5" t="str">
        <f>Sales_Data!A35</f>
        <v>2025-01-15</v>
      </c>
      <c r="B38" s="5" t="str">
        <f>Sales_Data!B35</f>
        <v>Bangalore North</v>
      </c>
      <c r="C38" s="5" t="str">
        <f>Sales_Data!C35</f>
        <v>E038</v>
      </c>
      <c r="D38" s="5" t="str">
        <f>IFERROR(INDEX(Employee_Master!$B$2:$B$44,MATCH($C38,Employee_Master!$A$2:$A$44,0)),"Not Found")</f>
        <v>Derrick Griffin</v>
      </c>
      <c r="E38" s="5" t="str">
        <f>IFERROR(INDEX(Employee_Master!$C$2:$C$44,MATCH($C38,Employee_Master!$A$2:$A$44,0)),"Not Found")</f>
        <v>Marketing</v>
      </c>
      <c r="F38" s="5" t="str">
        <f>IFERROR(INDEX(Employee_Master!$D$2:$D$44,MATCH($C38,Employee_Master!$A$2:$A$44,0)),"Not Found")</f>
        <v>Jose Soto</v>
      </c>
      <c r="G38" s="5" t="str">
        <f>IFERROR(INDEX(Employee_Master!$E$2:$E$44,MATCH($C38,Employee_Master!$A$2:$A$44,0)),"Not Found")</f>
        <v>South</v>
      </c>
      <c r="H38" s="5" t="str">
        <f>Sales_Data!D35</f>
        <v>P019 - Organic Honey</v>
      </c>
      <c r="I38" s="5" t="str">
        <f>IFERROR(INDEX(Product_Master!$B$2:$B$30,MATCH($H38,Product_Master!$A$2:$A$30,0)),"Invalid Product Code")</f>
        <v>Grocery</v>
      </c>
      <c r="J38" s="5">
        <f>IFERROR(INDEX(Product_Master!$C$2:$C$30,MATCH($H38,Product_Master!$A$2:$A$30,0)),0)</f>
        <v>482.15</v>
      </c>
      <c r="K38" s="5">
        <f>Sales_Data!E35</f>
        <v>7</v>
      </c>
      <c r="L38" s="5">
        <f>Sales_Data!F35</f>
        <v>3316.91</v>
      </c>
      <c r="M38" s="5">
        <f>Sales_Data!G35</f>
        <v>3423.63</v>
      </c>
      <c r="N38" s="5" t="str">
        <f>IFERROR(INDEX(Branch_Master!$B$2:$B$9,MATCH($B38,Branch_Master!$A$2:$A$9,0)),"Not Found")</f>
        <v>Bangalore</v>
      </c>
      <c r="O38" s="5" t="str">
        <f>IFERROR(INDEX(Branch_Master!$C$2:$C$9,MATCH($B38,Branch_Master!$A$2:$A$9,0)),"Not Found")</f>
        <v>Karnataka</v>
      </c>
      <c r="P38" s="5">
        <f>IFERROR(INDEX(Targets!$B$2:$B$9,MATCH($B38,Targets!$A$2:$A$9,0)),0)</f>
        <v>900000</v>
      </c>
      <c r="Q38" s="5" t="str">
        <f t="shared" si="0"/>
        <v>No</v>
      </c>
      <c r="R38" s="5" t="str">
        <f t="shared" si="1"/>
        <v>Jan</v>
      </c>
    </row>
    <row r="39" spans="1:18" ht="15" customHeight="1" x14ac:dyDescent="0.3">
      <c r="A39" s="5" t="str">
        <f>Sales_Data!A36</f>
        <v>2025-01-15</v>
      </c>
      <c r="B39" s="5" t="str">
        <f>Sales_Data!B36</f>
        <v>Hyderabad Hitech</v>
      </c>
      <c r="C39" s="5" t="str">
        <f>Sales_Data!C36</f>
        <v>E020</v>
      </c>
      <c r="D39" s="5" t="str">
        <f>IFERROR(INDEX(Employee_Master!$B$2:$B$44,MATCH($C39,Employee_Master!$A$2:$A$44,0)),"Not Found")</f>
        <v>Christine Long</v>
      </c>
      <c r="E39" s="5" t="str">
        <f>IFERROR(INDEX(Employee_Master!$C$2:$C$44,MATCH($C39,Employee_Master!$A$2:$A$44,0)),"Not Found")</f>
        <v>Operations</v>
      </c>
      <c r="F39" s="5" t="str">
        <f>IFERROR(INDEX(Employee_Master!$D$2:$D$44,MATCH($C39,Employee_Master!$A$2:$A$44,0)),"Not Found")</f>
        <v>Anna Turner</v>
      </c>
      <c r="G39" s="5" t="str">
        <f>IFERROR(INDEX(Employee_Master!$E$2:$E$44,MATCH($C39,Employee_Master!$A$2:$A$44,0)),"Not Found")</f>
        <v>South</v>
      </c>
      <c r="H39" s="5" t="str">
        <f>Sales_Data!D36</f>
        <v>P001 - Wireless Earbuds</v>
      </c>
      <c r="I39" s="5" t="str">
        <f>IFERROR(INDEX(Product_Master!$B$2:$B$30,MATCH($H39,Product_Master!$A$2:$A$30,0)),"Invalid Product Code")</f>
        <v>Electronics</v>
      </c>
      <c r="J39" s="5">
        <f>IFERROR(INDEX(Product_Master!$C$2:$C$30,MATCH($H39,Product_Master!$A$2:$A$30,0)),0)</f>
        <v>1676.76</v>
      </c>
      <c r="K39" s="5">
        <f>Sales_Data!E36</f>
        <v>7</v>
      </c>
      <c r="L39" s="5">
        <f>Sales_Data!F36</f>
        <v>12647.46</v>
      </c>
      <c r="M39" s="5">
        <f>Sales_Data!G36</f>
        <v>12045.89</v>
      </c>
      <c r="N39" s="5" t="str">
        <f>IFERROR(INDEX(Branch_Master!$B$2:$B$9,MATCH($B39,Branch_Master!$A$2:$A$9,0)),"Not Found")</f>
        <v>Hyderabad</v>
      </c>
      <c r="O39" s="5" t="str">
        <f>IFERROR(INDEX(Branch_Master!$C$2:$C$9,MATCH($B39,Branch_Master!$A$2:$A$9,0)),"Not Found")</f>
        <v>Telangana</v>
      </c>
      <c r="P39" s="5">
        <f>IFERROR(INDEX(Targets!$B$2:$B$9,MATCH($B39,Targets!$A$2:$A$9,0)),0)</f>
        <v>1210000</v>
      </c>
      <c r="Q39" s="5" t="str">
        <f t="shared" si="0"/>
        <v>Yes</v>
      </c>
      <c r="R39" s="5" t="str">
        <f t="shared" si="1"/>
        <v>Jan</v>
      </c>
    </row>
    <row r="40" spans="1:18" ht="15" customHeight="1" x14ac:dyDescent="0.3">
      <c r="A40" s="5" t="str">
        <f>Sales_Data!A37</f>
        <v>2025-01-15</v>
      </c>
      <c r="B40" s="5" t="str">
        <f>Sales_Data!B37</f>
        <v>Bangalore North</v>
      </c>
      <c r="C40" s="5" t="str">
        <f>Sales_Data!C37</f>
        <v>E038</v>
      </c>
      <c r="D40" s="5" t="str">
        <f>IFERROR(INDEX(Employee_Master!$B$2:$B$44,MATCH($C40,Employee_Master!$A$2:$A$44,0)),"Not Found")</f>
        <v>Derrick Griffin</v>
      </c>
      <c r="E40" s="5" t="str">
        <f>IFERROR(INDEX(Employee_Master!$C$2:$C$44,MATCH($C40,Employee_Master!$A$2:$A$44,0)),"Not Found")</f>
        <v>Marketing</v>
      </c>
      <c r="F40" s="5" t="str">
        <f>IFERROR(INDEX(Employee_Master!$D$2:$D$44,MATCH($C40,Employee_Master!$A$2:$A$44,0)),"Not Found")</f>
        <v>Jose Soto</v>
      </c>
      <c r="G40" s="5" t="str">
        <f>IFERROR(INDEX(Employee_Master!$E$2:$E$44,MATCH($C40,Employee_Master!$A$2:$A$44,0)),"Not Found")</f>
        <v>South</v>
      </c>
      <c r="H40" s="5" t="str">
        <f>Sales_Data!D37</f>
        <v>P029 - Dumbbell Set 10kg</v>
      </c>
      <c r="I40" s="5" t="str">
        <f>IFERROR(INDEX(Product_Master!$B$2:$B$30,MATCH($H40,Product_Master!$A$2:$A$30,0)),"Invalid Product Code")</f>
        <v>Sports</v>
      </c>
      <c r="J40" s="5">
        <f>IFERROR(INDEX(Product_Master!$C$2:$C$30,MATCH($H40,Product_Master!$A$2:$A$30,0)),0)</f>
        <v>435</v>
      </c>
      <c r="K40" s="5">
        <f>Sales_Data!E37</f>
        <v>3</v>
      </c>
      <c r="L40" s="5">
        <f>Sales_Data!F37</f>
        <v>1392.41</v>
      </c>
      <c r="M40" s="5">
        <f>Sales_Data!G37</f>
        <v>1433.84</v>
      </c>
      <c r="N40" s="5" t="str">
        <f>IFERROR(INDEX(Branch_Master!$B$2:$B$9,MATCH($B40,Branch_Master!$A$2:$A$9,0)),"Not Found")</f>
        <v>Bangalore</v>
      </c>
      <c r="O40" s="5" t="str">
        <f>IFERROR(INDEX(Branch_Master!$C$2:$C$9,MATCH($B40,Branch_Master!$A$2:$A$9,0)),"Not Found")</f>
        <v>Karnataka</v>
      </c>
      <c r="P40" s="5">
        <f>IFERROR(INDEX(Targets!$B$2:$B$9,MATCH($B40,Targets!$A$2:$A$9,0)),0)</f>
        <v>900000</v>
      </c>
      <c r="Q40" s="5" t="str">
        <f t="shared" si="0"/>
        <v>No</v>
      </c>
      <c r="R40" s="5" t="str">
        <f t="shared" si="1"/>
        <v>Jan</v>
      </c>
    </row>
    <row r="41" spans="1:18" ht="15" customHeight="1" x14ac:dyDescent="0.3">
      <c r="A41" s="5" t="str">
        <f>Sales_Data!A38</f>
        <v>2025-01-15</v>
      </c>
      <c r="B41" s="5" t="str">
        <f>Sales_Data!B38</f>
        <v>Delhi NCR</v>
      </c>
      <c r="C41" s="5" t="str">
        <f>Sales_Data!C38</f>
        <v>E013</v>
      </c>
      <c r="D41" s="5" t="str">
        <f>IFERROR(INDEX(Employee_Master!$B$2:$B$44,MATCH($C41,Employee_Master!$A$2:$A$44,0)),"Not Found")</f>
        <v>Norma Wilson</v>
      </c>
      <c r="E41" s="5" t="str">
        <f>IFERROR(INDEX(Employee_Master!$C$2:$C$44,MATCH($C41,Employee_Master!$A$2:$A$44,0)),"Not Found")</f>
        <v>Customer Support</v>
      </c>
      <c r="F41" s="5" t="str">
        <f>IFERROR(INDEX(Employee_Master!$D$2:$D$44,MATCH($C41,Employee_Master!$A$2:$A$44,0)),"Not Found")</f>
        <v>William Oconnell</v>
      </c>
      <c r="G41" s="5" t="str">
        <f>IFERROR(INDEX(Employee_Master!$E$2:$E$44,MATCH($C41,Employee_Master!$A$2:$A$44,0)),"Not Found")</f>
        <v>North</v>
      </c>
      <c r="H41" s="5" t="str">
        <f>Sales_Data!D38</f>
        <v>P015 - Water Bottle</v>
      </c>
      <c r="I41" s="5" t="str">
        <f>IFERROR(INDEX(Product_Master!$B$2:$B$30,MATCH($H41,Product_Master!$A$2:$A$30,0)),"Invalid Product Code")</f>
        <v>Home &amp; Kitchen</v>
      </c>
      <c r="J41" s="5">
        <f>IFERROR(INDEX(Product_Master!$C$2:$C$30,MATCH($H41,Product_Master!$A$2:$A$30,0)),0)</f>
        <v>197.57</v>
      </c>
      <c r="K41" s="5">
        <f>Sales_Data!E38</f>
        <v>9</v>
      </c>
      <c r="L41" s="5">
        <f>Sales_Data!F38</f>
        <v>1787.25</v>
      </c>
      <c r="M41" s="5">
        <f>Sales_Data!G38</f>
        <v>1524.25</v>
      </c>
      <c r="N41" s="5" t="str">
        <f>IFERROR(INDEX(Branch_Master!$B$2:$B$9,MATCH($B41,Branch_Master!$A$2:$A$9,0)),"Not Found")</f>
        <v>New Delhi</v>
      </c>
      <c r="O41" s="5" t="str">
        <f>IFERROR(INDEX(Branch_Master!$C$2:$C$9,MATCH($B41,Branch_Master!$A$2:$A$9,0)),"Not Found")</f>
        <v>Delhi</v>
      </c>
      <c r="P41" s="5">
        <f>IFERROR(INDEX(Targets!$B$2:$B$9,MATCH($B41,Targets!$A$2:$A$9,0)),0)</f>
        <v>2070000</v>
      </c>
      <c r="Q41" s="5" t="str">
        <f t="shared" si="0"/>
        <v>Yes</v>
      </c>
      <c r="R41" s="5" t="str">
        <f t="shared" si="1"/>
        <v>Jan</v>
      </c>
    </row>
    <row r="42" spans="1:18" ht="15" customHeight="1" x14ac:dyDescent="0.3">
      <c r="A42" s="5" t="str">
        <f>Sales_Data!A39</f>
        <v>2025-01-16</v>
      </c>
      <c r="B42" s="5" t="str">
        <f>Sales_Data!B39</f>
        <v>Chennai South</v>
      </c>
      <c r="C42" s="5" t="str">
        <f>Sales_Data!C39</f>
        <v>E015</v>
      </c>
      <c r="D42" s="5" t="str">
        <f>IFERROR(INDEX(Employee_Master!$B$2:$B$44,MATCH($C42,Employee_Master!$A$2:$A$44,0)),"Not Found")</f>
        <v>Cassandra Hansen</v>
      </c>
      <c r="E42" s="5" t="str">
        <f>IFERROR(INDEX(Employee_Master!$C$2:$C$44,MATCH($C42,Employee_Master!$A$2:$A$44,0)),"Not Found")</f>
        <v>Customer Support</v>
      </c>
      <c r="F42" s="5" t="str">
        <f>IFERROR(INDEX(Employee_Master!$D$2:$D$44,MATCH($C42,Employee_Master!$A$2:$A$44,0)),"Not Found")</f>
        <v>Robert Steele</v>
      </c>
      <c r="G42" s="5" t="str">
        <f>IFERROR(INDEX(Employee_Master!$E$2:$E$44,MATCH($C42,Employee_Master!$A$2:$A$44,0)),"Not Found")</f>
        <v>South</v>
      </c>
      <c r="H42" s="5" t="str">
        <f>Sales_Data!D39</f>
        <v>P012 - Non-Stick Pan</v>
      </c>
      <c r="I42" s="5" t="str">
        <f>IFERROR(INDEX(Product_Master!$B$2:$B$30,MATCH($H42,Product_Master!$A$2:$A$30,0)),"Invalid Product Code")</f>
        <v>Home &amp; Kitchen</v>
      </c>
      <c r="J42" s="5">
        <f>IFERROR(INDEX(Product_Master!$C$2:$C$30,MATCH($H42,Product_Master!$A$2:$A$30,0)),0)</f>
        <v>353.18</v>
      </c>
      <c r="K42" s="5">
        <f>Sales_Data!E39</f>
        <v>9</v>
      </c>
      <c r="L42" s="5">
        <f>Sales_Data!F39</f>
        <v>3301.8</v>
      </c>
      <c r="M42" s="5">
        <f>Sales_Data!G39</f>
        <v>2882.78</v>
      </c>
      <c r="N42" s="5" t="str">
        <f>IFERROR(INDEX(Branch_Master!$B$2:$B$9,MATCH($B42,Branch_Master!$A$2:$A$9,0)),"Not Found")</f>
        <v>Chennai</v>
      </c>
      <c r="O42" s="5" t="str">
        <f>IFERROR(INDEX(Branch_Master!$C$2:$C$9,MATCH($B42,Branch_Master!$A$2:$A$9,0)),"Not Found")</f>
        <v>Tamil Nadu</v>
      </c>
      <c r="P42" s="5">
        <f>IFERROR(INDEX(Targets!$B$2:$B$9,MATCH($B42,Targets!$A$2:$A$9,0)),0)</f>
        <v>1910000</v>
      </c>
      <c r="Q42" s="5" t="str">
        <f t="shared" si="0"/>
        <v>Yes</v>
      </c>
      <c r="R42" s="5" t="str">
        <f t="shared" si="1"/>
        <v>Jan</v>
      </c>
    </row>
    <row r="43" spans="1:18" ht="15" customHeight="1" x14ac:dyDescent="0.3">
      <c r="A43" s="5" t="str">
        <f>Sales_Data!A40</f>
        <v>2025-01-17</v>
      </c>
      <c r="B43" s="5" t="str">
        <f>Sales_Data!B40</f>
        <v>Bangalore North</v>
      </c>
      <c r="C43" s="5" t="str">
        <f>Sales_Data!C40</f>
        <v>E004</v>
      </c>
      <c r="D43" s="5" t="str">
        <f>IFERROR(INDEX(Employee_Master!$B$2:$B$44,MATCH($C43,Employee_Master!$A$2:$A$44,0)),"Not Found")</f>
        <v>Judith Ramirez</v>
      </c>
      <c r="E43" s="5" t="str">
        <f>IFERROR(INDEX(Employee_Master!$C$2:$C$44,MATCH($C43,Employee_Master!$A$2:$A$44,0)),"Not Found")</f>
        <v>Sales</v>
      </c>
      <c r="F43" s="5" t="str">
        <f>IFERROR(INDEX(Employee_Master!$D$2:$D$44,MATCH($C43,Employee_Master!$A$2:$A$44,0)),"Not Found")</f>
        <v>Jose Soto</v>
      </c>
      <c r="G43" s="5" t="str">
        <f>IFERROR(INDEX(Employee_Master!$E$2:$E$44,MATCH($C43,Employee_Master!$A$2:$A$44,0)),"Not Found")</f>
        <v>South</v>
      </c>
      <c r="H43" s="5" t="str">
        <f>Sales_Data!D40</f>
        <v>P023 - Sunscreen SPF50</v>
      </c>
      <c r="I43" s="5" t="str">
        <f>IFERROR(INDEX(Product_Master!$B$2:$B$30,MATCH($H43,Product_Master!$A$2:$A$30,0)),"Invalid Product Code")</f>
        <v>Beauty</v>
      </c>
      <c r="J43" s="5">
        <f>IFERROR(INDEX(Product_Master!$C$2:$C$30,MATCH($H43,Product_Master!$A$2:$A$30,0)),0)</f>
        <v>818.95</v>
      </c>
      <c r="K43" s="5">
        <f>Sales_Data!E40</f>
        <v>10</v>
      </c>
      <c r="L43" s="5">
        <f>Sales_Data!F40</f>
        <v>8221.8799999999992</v>
      </c>
      <c r="M43" s="5">
        <f>Sales_Data!G40</f>
        <v>8386.23</v>
      </c>
      <c r="N43" s="5" t="str">
        <f>IFERROR(INDEX(Branch_Master!$B$2:$B$9,MATCH($B43,Branch_Master!$A$2:$A$9,0)),"Not Found")</f>
        <v>Bangalore</v>
      </c>
      <c r="O43" s="5" t="str">
        <f>IFERROR(INDEX(Branch_Master!$C$2:$C$9,MATCH($B43,Branch_Master!$A$2:$A$9,0)),"Not Found")</f>
        <v>Karnataka</v>
      </c>
      <c r="P43" s="5">
        <f>IFERROR(INDEX(Targets!$B$2:$B$9,MATCH($B43,Targets!$A$2:$A$9,0)),0)</f>
        <v>900000</v>
      </c>
      <c r="Q43" s="5" t="str">
        <f t="shared" si="0"/>
        <v>No</v>
      </c>
      <c r="R43" s="5" t="str">
        <f t="shared" si="1"/>
        <v>Jan</v>
      </c>
    </row>
    <row r="44" spans="1:18" ht="15" customHeight="1" x14ac:dyDescent="0.3">
      <c r="A44" s="5" t="str">
        <f>Sales_Data!A41</f>
        <v>2025-01-17</v>
      </c>
      <c r="B44" s="5" t="str">
        <f>Sales_Data!B41</f>
        <v>Pune East</v>
      </c>
      <c r="C44" s="5" t="str">
        <f>Sales_Data!C41</f>
        <v>E023</v>
      </c>
      <c r="D44" s="5" t="str">
        <f>IFERROR(INDEX(Employee_Master!$B$2:$B$44,MATCH($C44,Employee_Master!$A$2:$A$44,0)),"Not Found")</f>
        <v>Edward Jones</v>
      </c>
      <c r="E44" s="5" t="str">
        <f>IFERROR(INDEX(Employee_Master!$C$2:$C$44,MATCH($C44,Employee_Master!$A$2:$A$44,0)),"Not Found")</f>
        <v>Operations</v>
      </c>
      <c r="F44" s="5" t="str">
        <f>IFERROR(INDEX(Employee_Master!$D$2:$D$44,MATCH($C44,Employee_Master!$A$2:$A$44,0)),"Not Found")</f>
        <v>Jordan Matthews</v>
      </c>
      <c r="G44" s="5" t="str">
        <f>IFERROR(INDEX(Employee_Master!$E$2:$E$44,MATCH($C44,Employee_Master!$A$2:$A$44,0)),"Not Found")</f>
        <v>West</v>
      </c>
      <c r="H44" s="5" t="str">
        <f>Sales_Data!D41</f>
        <v>P022 - Face Wash</v>
      </c>
      <c r="I44" s="5" t="str">
        <f>IFERROR(INDEX(Product_Master!$B$2:$B$30,MATCH($H44,Product_Master!$A$2:$A$30,0)),"Invalid Product Code")</f>
        <v>Beauty</v>
      </c>
      <c r="J44" s="5">
        <f>IFERROR(INDEX(Product_Master!$C$2:$C$30,MATCH($H44,Product_Master!$A$2:$A$30,0)),0)</f>
        <v>396.75</v>
      </c>
      <c r="K44" s="5">
        <f>Sales_Data!E41</f>
        <v>4</v>
      </c>
      <c r="L44" s="5">
        <f>Sales_Data!F41</f>
        <v>1694.13</v>
      </c>
      <c r="M44" s="5">
        <f>Sales_Data!G41</f>
        <v>1363.33</v>
      </c>
      <c r="N44" s="5" t="str">
        <f>IFERROR(INDEX(Branch_Master!$B$2:$B$9,MATCH($B44,Branch_Master!$A$2:$A$9,0)),"Not Found")</f>
        <v>Pune</v>
      </c>
      <c r="O44" s="5" t="str">
        <f>IFERROR(INDEX(Branch_Master!$C$2:$C$9,MATCH($B44,Branch_Master!$A$2:$A$9,0)),"Not Found")</f>
        <v>Maharashtra</v>
      </c>
      <c r="P44" s="5">
        <f>IFERROR(INDEX(Targets!$B$2:$B$9,MATCH($B44,Targets!$A$2:$A$9,0)),0)</f>
        <v>1250000</v>
      </c>
      <c r="Q44" s="5" t="str">
        <f t="shared" si="0"/>
        <v>Yes</v>
      </c>
      <c r="R44" s="5" t="str">
        <f t="shared" si="1"/>
        <v>Jan</v>
      </c>
    </row>
    <row r="45" spans="1:18" ht="15" customHeight="1" x14ac:dyDescent="0.3">
      <c r="A45" s="5" t="str">
        <f>Sales_Data!A42</f>
        <v>2025-01-17</v>
      </c>
      <c r="B45" s="5" t="str">
        <f>Sales_Data!B42</f>
        <v>Delhi NCR</v>
      </c>
      <c r="C45" s="5" t="str">
        <f>Sales_Data!C42</f>
        <v>E031</v>
      </c>
      <c r="D45" s="5" t="str">
        <f>IFERROR(INDEX(Employee_Master!$B$2:$B$44,MATCH($C45,Employee_Master!$A$2:$A$44,0)),"Not Found")</f>
        <v>Jennifer Garcia</v>
      </c>
      <c r="E45" s="5" t="str">
        <f>IFERROR(INDEX(Employee_Master!$C$2:$C$44,MATCH($C45,Employee_Master!$A$2:$A$44,0)),"Not Found")</f>
        <v>Sales</v>
      </c>
      <c r="F45" s="5" t="str">
        <f>IFERROR(INDEX(Employee_Master!$D$2:$D$44,MATCH($C45,Employee_Master!$A$2:$A$44,0)),"Not Found")</f>
        <v>William Oconnell</v>
      </c>
      <c r="G45" s="5" t="str">
        <f>IFERROR(INDEX(Employee_Master!$E$2:$E$44,MATCH($C45,Employee_Master!$A$2:$A$44,0)),"Not Found")</f>
        <v>North</v>
      </c>
      <c r="H45" s="5" t="str">
        <f>Sales_Data!D42</f>
        <v>P016 - Dinner Set</v>
      </c>
      <c r="I45" s="5" t="str">
        <f>IFERROR(INDEX(Product_Master!$B$2:$B$30,MATCH($H45,Product_Master!$A$2:$A$30,0)),"Invalid Product Code")</f>
        <v>Home &amp; Kitchen</v>
      </c>
      <c r="J45" s="5">
        <f>IFERROR(INDEX(Product_Master!$C$2:$C$30,MATCH($H45,Product_Master!$A$2:$A$30,0)),0)</f>
        <v>225.06</v>
      </c>
      <c r="K45" s="5">
        <f>Sales_Data!E42</f>
        <v>4</v>
      </c>
      <c r="L45" s="5">
        <f>Sales_Data!F42</f>
        <v>903.82</v>
      </c>
      <c r="M45" s="5">
        <f>Sales_Data!G42</f>
        <v>907.49</v>
      </c>
      <c r="N45" s="5" t="str">
        <f>IFERROR(INDEX(Branch_Master!$B$2:$B$9,MATCH($B45,Branch_Master!$A$2:$A$9,0)),"Not Found")</f>
        <v>New Delhi</v>
      </c>
      <c r="O45" s="5" t="str">
        <f>IFERROR(INDEX(Branch_Master!$C$2:$C$9,MATCH($B45,Branch_Master!$A$2:$A$9,0)),"Not Found")</f>
        <v>Delhi</v>
      </c>
      <c r="P45" s="5">
        <f>IFERROR(INDEX(Targets!$B$2:$B$9,MATCH($B45,Targets!$A$2:$A$9,0)),0)</f>
        <v>2070000</v>
      </c>
      <c r="Q45" s="5" t="str">
        <f t="shared" si="0"/>
        <v>No</v>
      </c>
      <c r="R45" s="5" t="str">
        <f t="shared" si="1"/>
        <v>Jan</v>
      </c>
    </row>
    <row r="46" spans="1:18" ht="15" customHeight="1" x14ac:dyDescent="0.3">
      <c r="A46" s="5" t="str">
        <f>Sales_Data!A43</f>
        <v>2025-01-18</v>
      </c>
      <c r="B46" s="5" t="str">
        <f>Sales_Data!B43</f>
        <v>Mumbai Central</v>
      </c>
      <c r="C46" s="5" t="str">
        <f>Sales_Data!C43</f>
        <v>E007</v>
      </c>
      <c r="D46" s="5" t="str">
        <f>IFERROR(INDEX(Employee_Master!$B$2:$B$44,MATCH($C46,Employee_Master!$A$2:$A$44,0)),"Not Found")</f>
        <v>Jennifer Bradford</v>
      </c>
      <c r="E46" s="5" t="str">
        <f>IFERROR(INDEX(Employee_Master!$C$2:$C$44,MATCH($C46,Employee_Master!$A$2:$A$44,0)),"Not Found")</f>
        <v>Customer Support</v>
      </c>
      <c r="F46" s="5" t="str">
        <f>IFERROR(INDEX(Employee_Master!$D$2:$D$44,MATCH($C46,Employee_Master!$A$2:$A$44,0)),"Not Found")</f>
        <v>Justin Glass</v>
      </c>
      <c r="G46" s="5" t="str">
        <f>IFERROR(INDEX(Employee_Master!$E$2:$E$44,MATCH($C46,Employee_Master!$A$2:$A$44,0)),"Not Found")</f>
        <v>West</v>
      </c>
      <c r="H46" s="5" t="str">
        <f>Sales_Data!D43</f>
        <v>P010 - Running Shoes</v>
      </c>
      <c r="I46" s="5" t="str">
        <f>IFERROR(INDEX(Product_Master!$B$2:$B$30,MATCH($H46,Product_Master!$A$2:$A$30,0)),"Invalid Product Code")</f>
        <v>Apparel</v>
      </c>
      <c r="J46" s="5">
        <f>IFERROR(INDEX(Product_Master!$C$2:$C$30,MATCH($H46,Product_Master!$A$2:$A$30,0)),0)</f>
        <v>233.71</v>
      </c>
      <c r="K46" s="5">
        <f>Sales_Data!E43</f>
        <v>12</v>
      </c>
      <c r="L46" s="5">
        <f>Sales_Data!F43</f>
        <v>2904.47</v>
      </c>
      <c r="M46" s="5">
        <f>Sales_Data!G43</f>
        <v>2436.34</v>
      </c>
      <c r="N46" s="5" t="str">
        <f>IFERROR(INDEX(Branch_Master!$B$2:$B$9,MATCH($B46,Branch_Master!$A$2:$A$9,0)),"Not Found")</f>
        <v>Mumbai</v>
      </c>
      <c r="O46" s="5" t="str">
        <f>IFERROR(INDEX(Branch_Master!$C$2:$C$9,MATCH($B46,Branch_Master!$A$2:$A$9,0)),"Not Found")</f>
        <v>Maharashtra</v>
      </c>
      <c r="P46" s="5">
        <f>IFERROR(INDEX(Targets!$B$2:$B$9,MATCH($B46,Targets!$A$2:$A$9,0)),0)</f>
        <v>900000</v>
      </c>
      <c r="Q46" s="5" t="str">
        <f t="shared" si="0"/>
        <v>Yes</v>
      </c>
      <c r="R46" s="5" t="str">
        <f t="shared" si="1"/>
        <v>Jan</v>
      </c>
    </row>
    <row r="47" spans="1:18" ht="15" customHeight="1" x14ac:dyDescent="0.3">
      <c r="A47" s="5" t="str">
        <f>Sales_Data!A44</f>
        <v>2025-01-18</v>
      </c>
      <c r="B47" s="5" t="str">
        <f>Sales_Data!B44</f>
        <v>Pune East</v>
      </c>
      <c r="C47" s="5" t="str">
        <f>Sales_Data!C44</f>
        <v>E022</v>
      </c>
      <c r="D47" s="5" t="str">
        <f>IFERROR(INDEX(Employee_Master!$B$2:$B$44,MATCH($C47,Employee_Master!$A$2:$A$44,0)),"Not Found")</f>
        <v>Cindy Green PhD</v>
      </c>
      <c r="E47" s="5" t="str">
        <f>IFERROR(INDEX(Employee_Master!$C$2:$C$44,MATCH($C47,Employee_Master!$A$2:$A$44,0)),"Not Found")</f>
        <v>Customer Support</v>
      </c>
      <c r="F47" s="5" t="str">
        <f>IFERROR(INDEX(Employee_Master!$D$2:$D$44,MATCH($C47,Employee_Master!$A$2:$A$44,0)),"Not Found")</f>
        <v>Jordan Matthews</v>
      </c>
      <c r="G47" s="5" t="str">
        <f>IFERROR(INDEX(Employee_Master!$E$2:$E$44,MATCH($C47,Employee_Master!$A$2:$A$44,0)),"Not Found")</f>
        <v>West</v>
      </c>
      <c r="H47" s="5" t="str">
        <f>Sales_Data!D44</f>
        <v>P002 - Smart Watch</v>
      </c>
      <c r="I47" s="5" t="str">
        <f>IFERROR(INDEX(Product_Master!$B$2:$B$30,MATCH($H47,Product_Master!$A$2:$A$30,0)),"Invalid Product Code")</f>
        <v>Electronics</v>
      </c>
      <c r="J47" s="5">
        <f>IFERROR(INDEX(Product_Master!$C$2:$C$30,MATCH($H47,Product_Master!$A$2:$A$30,0)),0)</f>
        <v>403.33</v>
      </c>
      <c r="K47" s="5">
        <f>Sales_Data!E44</f>
        <v>9</v>
      </c>
      <c r="L47" s="5">
        <f>Sales_Data!F44</f>
        <v>3288.36</v>
      </c>
      <c r="M47" s="5">
        <f>Sales_Data!G44</f>
        <v>4057.84</v>
      </c>
      <c r="N47" s="5" t="str">
        <f>IFERROR(INDEX(Branch_Master!$B$2:$B$9,MATCH($B47,Branch_Master!$A$2:$A$9,0)),"Not Found")</f>
        <v>Pune</v>
      </c>
      <c r="O47" s="5" t="str">
        <f>IFERROR(INDEX(Branch_Master!$C$2:$C$9,MATCH($B47,Branch_Master!$A$2:$A$9,0)),"Not Found")</f>
        <v>Maharashtra</v>
      </c>
      <c r="P47" s="5">
        <f>IFERROR(INDEX(Targets!$B$2:$B$9,MATCH($B47,Targets!$A$2:$A$9,0)),0)</f>
        <v>1250000</v>
      </c>
      <c r="Q47" s="5" t="str">
        <f t="shared" si="0"/>
        <v>No</v>
      </c>
      <c r="R47" s="5" t="str">
        <f t="shared" si="1"/>
        <v>Jan</v>
      </c>
    </row>
    <row r="48" spans="1:18" ht="15" customHeight="1" x14ac:dyDescent="0.3">
      <c r="A48" s="5" t="str">
        <f>Sales_Data!A45</f>
        <v>2025-01-18</v>
      </c>
      <c r="B48" s="5" t="str">
        <f>Sales_Data!B45</f>
        <v>Kolkata Central</v>
      </c>
      <c r="C48" s="5" t="str">
        <f>Sales_Data!C45</f>
        <v>E029</v>
      </c>
      <c r="D48" s="5" t="str">
        <f>IFERROR(INDEX(Employee_Master!$B$2:$B$44,MATCH($C48,Employee_Master!$A$2:$A$44,0)),"Not Found")</f>
        <v>Patrick Shepard</v>
      </c>
      <c r="E48" s="5" t="str">
        <f>IFERROR(INDEX(Employee_Master!$C$2:$C$44,MATCH($C48,Employee_Master!$A$2:$A$44,0)),"Not Found")</f>
        <v>Sales</v>
      </c>
      <c r="F48" s="5" t="str">
        <f>IFERROR(INDEX(Employee_Master!$D$2:$D$44,MATCH($C48,Employee_Master!$A$2:$A$44,0)),"Not Found")</f>
        <v>Lisa Moore</v>
      </c>
      <c r="G48" s="5" t="str">
        <f>IFERROR(INDEX(Employee_Master!$E$2:$E$44,MATCH($C48,Employee_Master!$A$2:$A$44,0)),"Not Found")</f>
        <v>East</v>
      </c>
      <c r="H48" s="5" t="str">
        <f>Sales_Data!D45</f>
        <v>P012 - Non-Stick Pan</v>
      </c>
      <c r="I48" s="5" t="str">
        <f>IFERROR(INDEX(Product_Master!$B$2:$B$30,MATCH($H48,Product_Master!$A$2:$A$30,0)),"Invalid Product Code")</f>
        <v>Home &amp; Kitchen</v>
      </c>
      <c r="J48" s="5">
        <f>IFERROR(INDEX(Product_Master!$C$2:$C$30,MATCH($H48,Product_Master!$A$2:$A$30,0)),0)</f>
        <v>353.18</v>
      </c>
      <c r="K48" s="5">
        <f>Sales_Data!E45</f>
        <v>5</v>
      </c>
      <c r="L48" s="5">
        <f>Sales_Data!F45</f>
        <v>1932.7</v>
      </c>
      <c r="M48" s="5">
        <f>Sales_Data!G45</f>
        <v>1691.59</v>
      </c>
      <c r="N48" s="5" t="str">
        <f>IFERROR(INDEX(Branch_Master!$B$2:$B$9,MATCH($B48,Branch_Master!$A$2:$A$9,0)),"Not Found")</f>
        <v>Kolkata</v>
      </c>
      <c r="O48" s="5" t="str">
        <f>IFERROR(INDEX(Branch_Master!$C$2:$C$9,MATCH($B48,Branch_Master!$A$2:$A$9,0)),"Not Found")</f>
        <v>West Bengal</v>
      </c>
      <c r="P48" s="5">
        <f>IFERROR(INDEX(Targets!$B$2:$B$9,MATCH($B48,Targets!$A$2:$A$9,0)),0)</f>
        <v>1910000</v>
      </c>
      <c r="Q48" s="5" t="str">
        <f t="shared" si="0"/>
        <v>Yes</v>
      </c>
      <c r="R48" s="5" t="str">
        <f t="shared" si="1"/>
        <v>Jan</v>
      </c>
    </row>
    <row r="49" spans="1:18" ht="15" customHeight="1" x14ac:dyDescent="0.3">
      <c r="A49" s="5" t="str">
        <f>Sales_Data!A46</f>
        <v>2025-01-19</v>
      </c>
      <c r="B49" s="5" t="str">
        <f>Sales_Data!B46</f>
        <v>Ahmedabad West</v>
      </c>
      <c r="C49" s="5" t="str">
        <f>Sales_Data!C46</f>
        <v>E002</v>
      </c>
      <c r="D49" s="5" t="str">
        <f>IFERROR(INDEX(Employee_Master!$B$2:$B$44,MATCH($C49,Employee_Master!$A$2:$A$44,0)),"Not Found")</f>
        <v>Jeremiah Kirby</v>
      </c>
      <c r="E49" s="5" t="str">
        <f>IFERROR(INDEX(Employee_Master!$C$2:$C$44,MATCH($C49,Employee_Master!$A$2:$A$44,0)),"Not Found")</f>
        <v>Marketing</v>
      </c>
      <c r="F49" s="5" t="str">
        <f>IFERROR(INDEX(Employee_Master!$D$2:$D$44,MATCH($C49,Employee_Master!$A$2:$A$44,0)),"Not Found")</f>
        <v>Joseph Brown</v>
      </c>
      <c r="G49" s="5" t="str">
        <f>IFERROR(INDEX(Employee_Master!$E$2:$E$44,MATCH($C49,Employee_Master!$A$2:$A$44,0)),"Not Found")</f>
        <v>West</v>
      </c>
      <c r="H49" s="5" t="str">
        <f>Sales_Data!D46</f>
        <v>P003 - Bluetooth Speaker</v>
      </c>
      <c r="I49" s="5" t="str">
        <f>IFERROR(INDEX(Product_Master!$B$2:$B$30,MATCH($H49,Product_Master!$A$2:$A$30,0)),"Invalid Product Code")</f>
        <v>Electronics</v>
      </c>
      <c r="J49" s="5">
        <f>IFERROR(INDEX(Product_Master!$C$2:$C$30,MATCH($H49,Product_Master!$A$2:$A$30,0)),0)</f>
        <v>351.01</v>
      </c>
      <c r="K49" s="5">
        <f>Sales_Data!E46</f>
        <v>4</v>
      </c>
      <c r="L49" s="5">
        <f>Sales_Data!F46</f>
        <v>1271.76</v>
      </c>
      <c r="M49" s="5">
        <f>Sales_Data!G46</f>
        <v>1260.97</v>
      </c>
      <c r="N49" s="5" t="str">
        <f>IFERROR(INDEX(Branch_Master!$B$2:$B$9,MATCH($B49,Branch_Master!$A$2:$A$9,0)),"Not Found")</f>
        <v>Ahmedabad</v>
      </c>
      <c r="O49" s="5" t="str">
        <f>IFERROR(INDEX(Branch_Master!$C$2:$C$9,MATCH($B49,Branch_Master!$A$2:$A$9,0)),"Not Found")</f>
        <v>Gujarat</v>
      </c>
      <c r="P49" s="5">
        <f>IFERROR(INDEX(Targets!$B$2:$B$9,MATCH($B49,Targets!$A$2:$A$9,0)),0)</f>
        <v>1590000</v>
      </c>
      <c r="Q49" s="5" t="str">
        <f t="shared" si="0"/>
        <v>Yes</v>
      </c>
      <c r="R49" s="5" t="str">
        <f t="shared" si="1"/>
        <v>Jan</v>
      </c>
    </row>
    <row r="50" spans="1:18" ht="15" customHeight="1" x14ac:dyDescent="0.3">
      <c r="A50" s="5" t="str">
        <f>Sales_Data!A47</f>
        <v>2025-01-19</v>
      </c>
      <c r="B50" s="5" t="str">
        <f>Sales_Data!B47</f>
        <v>Pune East</v>
      </c>
      <c r="C50" s="5" t="str">
        <f>Sales_Data!C47</f>
        <v>E034</v>
      </c>
      <c r="D50" s="5" t="str">
        <f>IFERROR(INDEX(Employee_Master!$B$2:$B$44,MATCH($C50,Employee_Master!$A$2:$A$44,0)),"Not Found")</f>
        <v>Elaine Thompson</v>
      </c>
      <c r="E50" s="5" t="str">
        <f>IFERROR(INDEX(Employee_Master!$C$2:$C$44,MATCH($C50,Employee_Master!$A$2:$A$44,0)),"Not Found")</f>
        <v>Marketing</v>
      </c>
      <c r="F50" s="5" t="str">
        <f>IFERROR(INDEX(Employee_Master!$D$2:$D$44,MATCH($C50,Employee_Master!$A$2:$A$44,0)),"Not Found")</f>
        <v>Jordan Matthews</v>
      </c>
      <c r="G50" s="5" t="str">
        <f>IFERROR(INDEX(Employee_Master!$E$2:$E$44,MATCH($C50,Employee_Master!$A$2:$A$44,0)),"Not Found")</f>
        <v>West</v>
      </c>
      <c r="H50" s="5" t="str">
        <f>Sales_Data!D47</f>
        <v>P018 - Cooking Oil 1L</v>
      </c>
      <c r="I50" s="5" t="str">
        <f>IFERROR(INDEX(Product_Master!$B$2:$B$30,MATCH($H50,Product_Master!$A$2:$A$30,0)),"Invalid Product Code")</f>
        <v>Grocery</v>
      </c>
      <c r="J50" s="5">
        <f>IFERROR(INDEX(Product_Master!$C$2:$C$30,MATCH($H50,Product_Master!$A$2:$A$30,0)),0)</f>
        <v>1483.63</v>
      </c>
      <c r="K50" s="5">
        <f>Sales_Data!E47</f>
        <v>1</v>
      </c>
      <c r="L50" s="5">
        <f>Sales_Data!F47</f>
        <v>1475.63</v>
      </c>
      <c r="M50" s="5">
        <f>Sales_Data!G47</f>
        <v>1592.5</v>
      </c>
      <c r="N50" s="5" t="str">
        <f>IFERROR(INDEX(Branch_Master!$B$2:$B$9,MATCH($B50,Branch_Master!$A$2:$A$9,0)),"Not Found")</f>
        <v>Pune</v>
      </c>
      <c r="O50" s="5" t="str">
        <f>IFERROR(INDEX(Branch_Master!$C$2:$C$9,MATCH($B50,Branch_Master!$A$2:$A$9,0)),"Not Found")</f>
        <v>Maharashtra</v>
      </c>
      <c r="P50" s="5">
        <f>IFERROR(INDEX(Targets!$B$2:$B$9,MATCH($B50,Targets!$A$2:$A$9,0)),0)</f>
        <v>1250000</v>
      </c>
      <c r="Q50" s="5" t="str">
        <f t="shared" si="0"/>
        <v>No</v>
      </c>
      <c r="R50" s="5" t="str">
        <f t="shared" si="1"/>
        <v>Jan</v>
      </c>
    </row>
    <row r="51" spans="1:18" ht="15" customHeight="1" x14ac:dyDescent="0.3">
      <c r="A51" s="5" t="str">
        <f>Sales_Data!A48</f>
        <v>2025-01-19</v>
      </c>
      <c r="B51" s="5" t="str">
        <f>Sales_Data!B48</f>
        <v>Hyderabad Hitech</v>
      </c>
      <c r="C51" s="5" t="str">
        <f>Sales_Data!C48</f>
        <v>E030</v>
      </c>
      <c r="D51" s="5" t="str">
        <f>IFERROR(INDEX(Employee_Master!$B$2:$B$44,MATCH($C51,Employee_Master!$A$2:$A$44,0)),"Not Found")</f>
        <v>Travis Khan</v>
      </c>
      <c r="E51" s="5" t="str">
        <f>IFERROR(INDEX(Employee_Master!$C$2:$C$44,MATCH($C51,Employee_Master!$A$2:$A$44,0)),"Not Found")</f>
        <v>Operations</v>
      </c>
      <c r="F51" s="5" t="str">
        <f>IFERROR(INDEX(Employee_Master!$D$2:$D$44,MATCH($C51,Employee_Master!$A$2:$A$44,0)),"Not Found")</f>
        <v>Anna Turner</v>
      </c>
      <c r="G51" s="5" t="str">
        <f>IFERROR(INDEX(Employee_Master!$E$2:$E$44,MATCH($C51,Employee_Master!$A$2:$A$44,0)),"Not Found")</f>
        <v>South</v>
      </c>
      <c r="H51" s="5" t="str">
        <f>Sales_Data!D48</f>
        <v>P009 - Formal Shirt</v>
      </c>
      <c r="I51" s="5" t="str">
        <f>IFERROR(INDEX(Product_Master!$B$2:$B$30,MATCH($H51,Product_Master!$A$2:$A$30,0)),"Invalid Product Code")</f>
        <v>Apparel</v>
      </c>
      <c r="J51" s="5">
        <f>IFERROR(INDEX(Product_Master!$C$2:$C$30,MATCH($H51,Product_Master!$A$2:$A$30,0)),0)</f>
        <v>661.65</v>
      </c>
      <c r="K51" s="5">
        <f>Sales_Data!E48</f>
        <v>5</v>
      </c>
      <c r="L51" s="5">
        <f>Sales_Data!F48</f>
        <v>3584.5</v>
      </c>
      <c r="M51" s="5">
        <f>Sales_Data!G48</f>
        <v>3481.4</v>
      </c>
      <c r="N51" s="5" t="str">
        <f>IFERROR(INDEX(Branch_Master!$B$2:$B$9,MATCH($B51,Branch_Master!$A$2:$A$9,0)),"Not Found")</f>
        <v>Hyderabad</v>
      </c>
      <c r="O51" s="5" t="str">
        <f>IFERROR(INDEX(Branch_Master!$C$2:$C$9,MATCH($B51,Branch_Master!$A$2:$A$9,0)),"Not Found")</f>
        <v>Telangana</v>
      </c>
      <c r="P51" s="5">
        <f>IFERROR(INDEX(Targets!$B$2:$B$9,MATCH($B51,Targets!$A$2:$A$9,0)),0)</f>
        <v>1210000</v>
      </c>
      <c r="Q51" s="5" t="str">
        <f t="shared" si="0"/>
        <v>Yes</v>
      </c>
      <c r="R51" s="5" t="str">
        <f t="shared" si="1"/>
        <v>Jan</v>
      </c>
    </row>
    <row r="52" spans="1:18" ht="15" customHeight="1" x14ac:dyDescent="0.3">
      <c r="A52" s="5" t="str">
        <f>Sales_Data!A49</f>
        <v>2025-01-20</v>
      </c>
      <c r="B52" s="5" t="str">
        <f>Sales_Data!B49</f>
        <v>Delhi NCR</v>
      </c>
      <c r="C52" s="5" t="str">
        <f>Sales_Data!C49</f>
        <v>E031</v>
      </c>
      <c r="D52" s="5" t="str">
        <f>IFERROR(INDEX(Employee_Master!$B$2:$B$44,MATCH($C52,Employee_Master!$A$2:$A$44,0)),"Not Found")</f>
        <v>Jennifer Garcia</v>
      </c>
      <c r="E52" s="5" t="str">
        <f>IFERROR(INDEX(Employee_Master!$C$2:$C$44,MATCH($C52,Employee_Master!$A$2:$A$44,0)),"Not Found")</f>
        <v>Sales</v>
      </c>
      <c r="F52" s="5" t="str">
        <f>IFERROR(INDEX(Employee_Master!$D$2:$D$44,MATCH($C52,Employee_Master!$A$2:$A$44,0)),"Not Found")</f>
        <v>William Oconnell</v>
      </c>
      <c r="G52" s="5" t="str">
        <f>IFERROR(INDEX(Employee_Master!$E$2:$E$44,MATCH($C52,Employee_Master!$A$2:$A$44,0)),"Not Found")</f>
        <v>North</v>
      </c>
      <c r="H52" s="5" t="str">
        <f>Sales_Data!D49</f>
        <v>P017 - Basmati Rice 5kg</v>
      </c>
      <c r="I52" s="5" t="str">
        <f>IFERROR(INDEX(Product_Master!$B$2:$B$30,MATCH($H52,Product_Master!$A$2:$A$30,0)),"Invalid Product Code")</f>
        <v>Grocery</v>
      </c>
      <c r="J52" s="5">
        <f>IFERROR(INDEX(Product_Master!$C$2:$C$30,MATCH($H52,Product_Master!$A$2:$A$30,0)),0)</f>
        <v>825.33</v>
      </c>
      <c r="K52" s="5">
        <f>Sales_Data!E49</f>
        <v>6</v>
      </c>
      <c r="L52" s="5">
        <f>Sales_Data!F49</f>
        <v>4906.49</v>
      </c>
      <c r="M52" s="5">
        <f>Sales_Data!G49</f>
        <v>5005.9399999999996</v>
      </c>
      <c r="N52" s="5" t="str">
        <f>IFERROR(INDEX(Branch_Master!$B$2:$B$9,MATCH($B52,Branch_Master!$A$2:$A$9,0)),"Not Found")</f>
        <v>New Delhi</v>
      </c>
      <c r="O52" s="5" t="str">
        <f>IFERROR(INDEX(Branch_Master!$C$2:$C$9,MATCH($B52,Branch_Master!$A$2:$A$9,0)),"Not Found")</f>
        <v>Delhi</v>
      </c>
      <c r="P52" s="5">
        <f>IFERROR(INDEX(Targets!$B$2:$B$9,MATCH($B52,Targets!$A$2:$A$9,0)),0)</f>
        <v>2070000</v>
      </c>
      <c r="Q52" s="5" t="str">
        <f t="shared" si="0"/>
        <v>No</v>
      </c>
      <c r="R52" s="5" t="str">
        <f t="shared" si="1"/>
        <v>Jan</v>
      </c>
    </row>
    <row r="53" spans="1:18" ht="15" customHeight="1" x14ac:dyDescent="0.3">
      <c r="A53" s="5" t="str">
        <f>Sales_Data!A50</f>
        <v>2025-01-20</v>
      </c>
      <c r="B53" s="5" t="str">
        <f>Sales_Data!B50</f>
        <v>Mumbai Central</v>
      </c>
      <c r="C53" s="5" t="str">
        <f>Sales_Data!C50</f>
        <v>E012</v>
      </c>
      <c r="D53" s="5" t="str">
        <f>IFERROR(INDEX(Employee_Master!$B$2:$B$44,MATCH($C53,Employee_Master!$A$2:$A$44,0)),"Not Found")</f>
        <v>Brandon Cook</v>
      </c>
      <c r="E53" s="5" t="str">
        <f>IFERROR(INDEX(Employee_Master!$C$2:$C$44,MATCH($C53,Employee_Master!$A$2:$A$44,0)),"Not Found")</f>
        <v>Customer Support</v>
      </c>
      <c r="F53" s="5" t="str">
        <f>IFERROR(INDEX(Employee_Master!$D$2:$D$44,MATCH($C53,Employee_Master!$A$2:$A$44,0)),"Not Found")</f>
        <v>Justin Glass</v>
      </c>
      <c r="G53" s="5" t="str">
        <f>IFERROR(INDEX(Employee_Master!$E$2:$E$44,MATCH($C53,Employee_Master!$A$2:$A$44,0)),"Not Found")</f>
        <v>West</v>
      </c>
      <c r="H53" s="5" t="str">
        <f>Sales_Data!D50</f>
        <v>P029 - Dumbbell Set 10kg</v>
      </c>
      <c r="I53" s="5" t="str">
        <f>IFERROR(INDEX(Product_Master!$B$2:$B$30,MATCH($H53,Product_Master!$A$2:$A$30,0)),"Invalid Product Code")</f>
        <v>Sports</v>
      </c>
      <c r="J53" s="5">
        <f>IFERROR(INDEX(Product_Master!$C$2:$C$30,MATCH($H53,Product_Master!$A$2:$A$30,0)),0)</f>
        <v>435</v>
      </c>
      <c r="K53" s="5">
        <f>Sales_Data!E50</f>
        <v>11</v>
      </c>
      <c r="L53" s="5">
        <f>Sales_Data!F50</f>
        <v>4671.09</v>
      </c>
      <c r="M53" s="5">
        <f>Sales_Data!G50</f>
        <v>4191.42</v>
      </c>
      <c r="N53" s="5" t="str">
        <f>IFERROR(INDEX(Branch_Master!$B$2:$B$9,MATCH($B53,Branch_Master!$A$2:$A$9,0)),"Not Found")</f>
        <v>Mumbai</v>
      </c>
      <c r="O53" s="5" t="str">
        <f>IFERROR(INDEX(Branch_Master!$C$2:$C$9,MATCH($B53,Branch_Master!$A$2:$A$9,0)),"Not Found")</f>
        <v>Maharashtra</v>
      </c>
      <c r="P53" s="5">
        <f>IFERROR(INDEX(Targets!$B$2:$B$9,MATCH($B53,Targets!$A$2:$A$9,0)),0)</f>
        <v>900000</v>
      </c>
      <c r="Q53" s="5" t="str">
        <f t="shared" si="0"/>
        <v>Yes</v>
      </c>
      <c r="R53" s="5" t="str">
        <f t="shared" si="1"/>
        <v>Jan</v>
      </c>
    </row>
    <row r="54" spans="1:18" ht="15" customHeight="1" x14ac:dyDescent="0.3">
      <c r="A54" s="5" t="str">
        <f>Sales_Data!A51</f>
        <v>2025-01-20</v>
      </c>
      <c r="B54" s="5" t="str">
        <f>Sales_Data!B51</f>
        <v>Kolkata Central</v>
      </c>
      <c r="C54" s="5" t="str">
        <f>Sales_Data!C51</f>
        <v>E028</v>
      </c>
      <c r="D54" s="5" t="str">
        <f>IFERROR(INDEX(Employee_Master!$B$2:$B$44,MATCH($C54,Employee_Master!$A$2:$A$44,0)),"Not Found")</f>
        <v>Sabrina Wright</v>
      </c>
      <c r="E54" s="5" t="str">
        <f>IFERROR(INDEX(Employee_Master!$C$2:$C$44,MATCH($C54,Employee_Master!$A$2:$A$44,0)),"Not Found")</f>
        <v>Customer Support</v>
      </c>
      <c r="F54" s="5" t="str">
        <f>IFERROR(INDEX(Employee_Master!$D$2:$D$44,MATCH($C54,Employee_Master!$A$2:$A$44,0)),"Not Found")</f>
        <v>Lisa Moore</v>
      </c>
      <c r="G54" s="5" t="str">
        <f>IFERROR(INDEX(Employee_Master!$E$2:$E$44,MATCH($C54,Employee_Master!$A$2:$A$44,0)),"Not Found")</f>
        <v>East</v>
      </c>
      <c r="H54" s="5" t="str">
        <f>Sales_Data!D51</f>
        <v>P019 - Organic Honey</v>
      </c>
      <c r="I54" s="5" t="str">
        <f>IFERROR(INDEX(Product_Master!$B$2:$B$30,MATCH($H54,Product_Master!$A$2:$A$30,0)),"Invalid Product Code")</f>
        <v>Grocery</v>
      </c>
      <c r="J54" s="5">
        <f>IFERROR(INDEX(Product_Master!$C$2:$C$30,MATCH($H54,Product_Master!$A$2:$A$30,0)),0)</f>
        <v>482.15</v>
      </c>
      <c r="K54" s="5">
        <f>Sales_Data!E51</f>
        <v>11</v>
      </c>
      <c r="L54" s="5">
        <f>Sales_Data!F51</f>
        <v>4852.07</v>
      </c>
      <c r="M54" s="5">
        <f>Sales_Data!G51</f>
        <v>5672.38</v>
      </c>
      <c r="N54" s="5" t="str">
        <f>IFERROR(INDEX(Branch_Master!$B$2:$B$9,MATCH($B54,Branch_Master!$A$2:$A$9,0)),"Not Found")</f>
        <v>Kolkata</v>
      </c>
      <c r="O54" s="5" t="str">
        <f>IFERROR(INDEX(Branch_Master!$C$2:$C$9,MATCH($B54,Branch_Master!$A$2:$A$9,0)),"Not Found")</f>
        <v>West Bengal</v>
      </c>
      <c r="P54" s="5">
        <f>IFERROR(INDEX(Targets!$B$2:$B$9,MATCH($B54,Targets!$A$2:$A$9,0)),0)</f>
        <v>1910000</v>
      </c>
      <c r="Q54" s="5" t="str">
        <f t="shared" si="0"/>
        <v>No</v>
      </c>
      <c r="R54" s="5" t="str">
        <f t="shared" si="1"/>
        <v>Jan</v>
      </c>
    </row>
    <row r="55" spans="1:18" ht="15" customHeight="1" x14ac:dyDescent="0.3">
      <c r="A55" s="5" t="str">
        <f>Sales_Data!A52</f>
        <v>2025-01-21</v>
      </c>
      <c r="B55" s="5" t="str">
        <f>Sales_Data!B52</f>
        <v>Ahmedabad West</v>
      </c>
      <c r="C55" s="5" t="str">
        <f>Sales_Data!C52</f>
        <v>E005</v>
      </c>
      <c r="D55" s="5" t="str">
        <f>IFERROR(INDEX(Employee_Master!$B$2:$B$44,MATCH($C55,Employee_Master!$A$2:$A$44,0)),"Not Found")</f>
        <v>Dr. Sara Zimmerman MD</v>
      </c>
      <c r="E55" s="5" t="str">
        <f>IFERROR(INDEX(Employee_Master!$C$2:$C$44,MATCH($C55,Employee_Master!$A$2:$A$44,0)),"Not Found")</f>
        <v>Operations</v>
      </c>
      <c r="F55" s="5" t="str">
        <f>IFERROR(INDEX(Employee_Master!$D$2:$D$44,MATCH($C55,Employee_Master!$A$2:$A$44,0)),"Not Found")</f>
        <v>Joseph Brown</v>
      </c>
      <c r="G55" s="5" t="str">
        <f>IFERROR(INDEX(Employee_Master!$E$2:$E$44,MATCH($C55,Employee_Master!$A$2:$A$44,0)),"Not Found")</f>
        <v>West</v>
      </c>
      <c r="H55" s="5" t="str">
        <f>Sales_Data!D52</f>
        <v>P017 - Basmati Rice 5kg</v>
      </c>
      <c r="I55" s="5" t="str">
        <f>IFERROR(INDEX(Product_Master!$B$2:$B$30,MATCH($H55,Product_Master!$A$2:$A$30,0)),"Invalid Product Code")</f>
        <v>Grocery</v>
      </c>
      <c r="J55" s="5">
        <f>IFERROR(INDEX(Product_Master!$C$2:$C$30,MATCH($H55,Product_Master!$A$2:$A$30,0)),0)</f>
        <v>825.33</v>
      </c>
      <c r="K55" s="5">
        <f>Sales_Data!E52</f>
        <v>4</v>
      </c>
      <c r="L55" s="5">
        <f>Sales_Data!F52</f>
        <v>3213.83</v>
      </c>
      <c r="M55" s="5">
        <f>Sales_Data!G52</f>
        <v>3720.09</v>
      </c>
      <c r="N55" s="5" t="str">
        <f>IFERROR(INDEX(Branch_Master!$B$2:$B$9,MATCH($B55,Branch_Master!$A$2:$A$9,0)),"Not Found")</f>
        <v>Ahmedabad</v>
      </c>
      <c r="O55" s="5" t="str">
        <f>IFERROR(INDEX(Branch_Master!$C$2:$C$9,MATCH($B55,Branch_Master!$A$2:$A$9,0)),"Not Found")</f>
        <v>Gujarat</v>
      </c>
      <c r="P55" s="5">
        <f>IFERROR(INDEX(Targets!$B$2:$B$9,MATCH($B55,Targets!$A$2:$A$9,0)),0)</f>
        <v>1590000</v>
      </c>
      <c r="Q55" s="5" t="str">
        <f t="shared" si="0"/>
        <v>No</v>
      </c>
      <c r="R55" s="5" t="str">
        <f t="shared" si="1"/>
        <v>Jan</v>
      </c>
    </row>
    <row r="56" spans="1:18" ht="15" customHeight="1" x14ac:dyDescent="0.3">
      <c r="A56" s="5" t="str">
        <f>Sales_Data!A53</f>
        <v>2025-01-21</v>
      </c>
      <c r="B56" s="5" t="str">
        <f>Sales_Data!B53</f>
        <v>Hyderabad Hitech</v>
      </c>
      <c r="C56" s="5" t="str">
        <f>Sales_Data!C53</f>
        <v>E014</v>
      </c>
      <c r="D56" s="5" t="str">
        <f>IFERROR(INDEX(Employee_Master!$B$2:$B$44,MATCH($C56,Employee_Master!$A$2:$A$44,0)),"Not Found")</f>
        <v>Brian Brown</v>
      </c>
      <c r="E56" s="5" t="str">
        <f>IFERROR(INDEX(Employee_Master!$C$2:$C$44,MATCH($C56,Employee_Master!$A$2:$A$44,0)),"Not Found")</f>
        <v>Marketing</v>
      </c>
      <c r="F56" s="5" t="str">
        <f>IFERROR(INDEX(Employee_Master!$D$2:$D$44,MATCH($C56,Employee_Master!$A$2:$A$44,0)),"Not Found")</f>
        <v>Anna Turner</v>
      </c>
      <c r="G56" s="5" t="str">
        <f>IFERROR(INDEX(Employee_Master!$E$2:$E$44,MATCH($C56,Employee_Master!$A$2:$A$44,0)),"Not Found")</f>
        <v>South</v>
      </c>
      <c r="H56" s="5" t="str">
        <f>Sales_Data!D53</f>
        <v>P028 - Football</v>
      </c>
      <c r="I56" s="5" t="str">
        <f>IFERROR(INDEX(Product_Master!$B$2:$B$30,MATCH($H56,Product_Master!$A$2:$A$30,0)),"Invalid Product Code")</f>
        <v>Sports</v>
      </c>
      <c r="J56" s="5">
        <f>IFERROR(INDEX(Product_Master!$C$2:$C$30,MATCH($H56,Product_Master!$A$2:$A$30,0)),0)</f>
        <v>314.25</v>
      </c>
      <c r="K56" s="5">
        <f>Sales_Data!E53</f>
        <v>9</v>
      </c>
      <c r="L56" s="5">
        <f>Sales_Data!F53</f>
        <v>2836.71</v>
      </c>
      <c r="M56" s="5">
        <f>Sales_Data!G53</f>
        <v>2867.74</v>
      </c>
      <c r="N56" s="5" t="str">
        <f>IFERROR(INDEX(Branch_Master!$B$2:$B$9,MATCH($B56,Branch_Master!$A$2:$A$9,0)),"Not Found")</f>
        <v>Hyderabad</v>
      </c>
      <c r="O56" s="5" t="str">
        <f>IFERROR(INDEX(Branch_Master!$C$2:$C$9,MATCH($B56,Branch_Master!$A$2:$A$9,0)),"Not Found")</f>
        <v>Telangana</v>
      </c>
      <c r="P56" s="5">
        <f>IFERROR(INDEX(Targets!$B$2:$B$9,MATCH($B56,Targets!$A$2:$A$9,0)),0)</f>
        <v>1210000</v>
      </c>
      <c r="Q56" s="5" t="str">
        <f t="shared" si="0"/>
        <v>No</v>
      </c>
      <c r="R56" s="5" t="str">
        <f t="shared" si="1"/>
        <v>Jan</v>
      </c>
    </row>
    <row r="57" spans="1:18" ht="15" customHeight="1" x14ac:dyDescent="0.3">
      <c r="A57" s="5" t="str">
        <f>Sales_Data!A54</f>
        <v>2025-01-21</v>
      </c>
      <c r="B57" s="5" t="str">
        <f>Sales_Data!B54</f>
        <v>Mumbai Central</v>
      </c>
      <c r="C57" s="5" t="str">
        <f>Sales_Data!C54</f>
        <v>E010</v>
      </c>
      <c r="D57" s="5" t="str">
        <f>IFERROR(INDEX(Employee_Master!$B$2:$B$44,MATCH($C57,Employee_Master!$A$2:$A$44,0)),"Not Found")</f>
        <v>William Sanders</v>
      </c>
      <c r="E57" s="5" t="str">
        <f>IFERROR(INDEX(Employee_Master!$C$2:$C$44,MATCH($C57,Employee_Master!$A$2:$A$44,0)),"Not Found")</f>
        <v>Sales</v>
      </c>
      <c r="F57" s="5" t="str">
        <f>IFERROR(INDEX(Employee_Master!$D$2:$D$44,MATCH($C57,Employee_Master!$A$2:$A$44,0)),"Not Found")</f>
        <v>Justin Glass</v>
      </c>
      <c r="G57" s="5" t="str">
        <f>IFERROR(INDEX(Employee_Master!$E$2:$E$44,MATCH($C57,Employee_Master!$A$2:$A$44,0)),"Not Found")</f>
        <v>West</v>
      </c>
      <c r="H57" s="5" t="str">
        <f>Sales_Data!D54</f>
        <v>P016 - Dinner Set</v>
      </c>
      <c r="I57" s="5" t="str">
        <f>IFERROR(INDEX(Product_Master!$B$2:$B$30,MATCH($H57,Product_Master!$A$2:$A$30,0)),"Invalid Product Code")</f>
        <v>Home &amp; Kitchen</v>
      </c>
      <c r="J57" s="5">
        <f>IFERROR(INDEX(Product_Master!$C$2:$C$30,MATCH($H57,Product_Master!$A$2:$A$30,0)),0)</f>
        <v>225.06</v>
      </c>
      <c r="K57" s="5">
        <f>Sales_Data!E54</f>
        <v>4</v>
      </c>
      <c r="L57" s="5">
        <f>Sales_Data!F54</f>
        <v>851.78</v>
      </c>
      <c r="M57" s="5">
        <f>Sales_Data!G54</f>
        <v>932.19</v>
      </c>
      <c r="N57" s="5" t="str">
        <f>IFERROR(INDEX(Branch_Master!$B$2:$B$9,MATCH($B57,Branch_Master!$A$2:$A$9,0)),"Not Found")</f>
        <v>Mumbai</v>
      </c>
      <c r="O57" s="5" t="str">
        <f>IFERROR(INDEX(Branch_Master!$C$2:$C$9,MATCH($B57,Branch_Master!$A$2:$A$9,0)),"Not Found")</f>
        <v>Maharashtra</v>
      </c>
      <c r="P57" s="5">
        <f>IFERROR(INDEX(Targets!$B$2:$B$9,MATCH($B57,Targets!$A$2:$A$9,0)),0)</f>
        <v>900000</v>
      </c>
      <c r="Q57" s="5" t="str">
        <f t="shared" si="0"/>
        <v>No</v>
      </c>
      <c r="R57" s="5" t="str">
        <f t="shared" si="1"/>
        <v>Jan</v>
      </c>
    </row>
    <row r="58" spans="1:18" ht="15" customHeight="1" x14ac:dyDescent="0.3">
      <c r="A58" s="5" t="str">
        <f>Sales_Data!A55</f>
        <v>2025-01-22</v>
      </c>
      <c r="B58" s="5" t="str">
        <f>Sales_Data!B55</f>
        <v>Bangalore North</v>
      </c>
      <c r="C58" s="5" t="str">
        <f>Sales_Data!C55</f>
        <v>E038</v>
      </c>
      <c r="D58" s="5" t="str">
        <f>IFERROR(INDEX(Employee_Master!$B$2:$B$44,MATCH($C58,Employee_Master!$A$2:$A$44,0)),"Not Found")</f>
        <v>Derrick Griffin</v>
      </c>
      <c r="E58" s="5" t="str">
        <f>IFERROR(INDEX(Employee_Master!$C$2:$C$44,MATCH($C58,Employee_Master!$A$2:$A$44,0)),"Not Found")</f>
        <v>Marketing</v>
      </c>
      <c r="F58" s="5" t="str">
        <f>IFERROR(INDEX(Employee_Master!$D$2:$D$44,MATCH($C58,Employee_Master!$A$2:$A$44,0)),"Not Found")</f>
        <v>Jose Soto</v>
      </c>
      <c r="G58" s="5" t="str">
        <f>IFERROR(INDEX(Employee_Master!$E$2:$E$44,MATCH($C58,Employee_Master!$A$2:$A$44,0)),"Not Found")</f>
        <v>South</v>
      </c>
      <c r="H58" s="5" t="str">
        <f>Sales_Data!D55</f>
        <v>P025 - Lipstick Set</v>
      </c>
      <c r="I58" s="5" t="str">
        <f>IFERROR(INDEX(Product_Master!$B$2:$B$30,MATCH($H58,Product_Master!$A$2:$A$30,0)),"Invalid Product Code")</f>
        <v>Beauty</v>
      </c>
      <c r="J58" s="5">
        <f>IFERROR(INDEX(Product_Master!$C$2:$C$30,MATCH($H58,Product_Master!$A$2:$A$30,0)),0)</f>
        <v>765.9</v>
      </c>
      <c r="K58" s="5">
        <f>Sales_Data!E55</f>
        <v>10</v>
      </c>
      <c r="L58" s="5">
        <f>Sales_Data!F55</f>
        <v>8403.74</v>
      </c>
      <c r="M58" s="5">
        <f>Sales_Data!G55</f>
        <v>6842.35</v>
      </c>
      <c r="N58" s="5" t="str">
        <f>IFERROR(INDEX(Branch_Master!$B$2:$B$9,MATCH($B58,Branch_Master!$A$2:$A$9,0)),"Not Found")</f>
        <v>Bangalore</v>
      </c>
      <c r="O58" s="5" t="str">
        <f>IFERROR(INDEX(Branch_Master!$C$2:$C$9,MATCH($B58,Branch_Master!$A$2:$A$9,0)),"Not Found")</f>
        <v>Karnataka</v>
      </c>
      <c r="P58" s="5">
        <f>IFERROR(INDEX(Targets!$B$2:$B$9,MATCH($B58,Targets!$A$2:$A$9,0)),0)</f>
        <v>900000</v>
      </c>
      <c r="Q58" s="5" t="str">
        <f t="shared" si="0"/>
        <v>Yes</v>
      </c>
      <c r="R58" s="5" t="str">
        <f t="shared" si="1"/>
        <v>Jan</v>
      </c>
    </row>
    <row r="59" spans="1:18" ht="15" customHeight="1" x14ac:dyDescent="0.3">
      <c r="A59" s="5" t="str">
        <f>Sales_Data!A56</f>
        <v>2025-01-22</v>
      </c>
      <c r="B59" s="5" t="str">
        <f>Sales_Data!B56</f>
        <v>Chennai South</v>
      </c>
      <c r="C59" s="5" t="str">
        <f>Sales_Data!C56</f>
        <v>E015</v>
      </c>
      <c r="D59" s="5" t="str">
        <f>IFERROR(INDEX(Employee_Master!$B$2:$B$44,MATCH($C59,Employee_Master!$A$2:$A$44,0)),"Not Found")</f>
        <v>Cassandra Hansen</v>
      </c>
      <c r="E59" s="5" t="str">
        <f>IFERROR(INDEX(Employee_Master!$C$2:$C$44,MATCH($C59,Employee_Master!$A$2:$A$44,0)),"Not Found")</f>
        <v>Customer Support</v>
      </c>
      <c r="F59" s="5" t="str">
        <f>IFERROR(INDEX(Employee_Master!$D$2:$D$44,MATCH($C59,Employee_Master!$A$2:$A$44,0)),"Not Found")</f>
        <v>Robert Steele</v>
      </c>
      <c r="G59" s="5" t="str">
        <f>IFERROR(INDEX(Employee_Master!$E$2:$E$44,MATCH($C59,Employee_Master!$A$2:$A$44,0)),"Not Found")</f>
        <v>South</v>
      </c>
      <c r="H59" s="5" t="str">
        <f>Sales_Data!D56</f>
        <v>P022 - Face Wash</v>
      </c>
      <c r="I59" s="5" t="str">
        <f>IFERROR(INDEX(Product_Master!$B$2:$B$30,MATCH($H59,Product_Master!$A$2:$A$30,0)),"Invalid Product Code")</f>
        <v>Beauty</v>
      </c>
      <c r="J59" s="5">
        <f>IFERROR(INDEX(Product_Master!$C$2:$C$30,MATCH($H59,Product_Master!$A$2:$A$30,0)),0)</f>
        <v>396.75</v>
      </c>
      <c r="K59" s="5">
        <f>Sales_Data!E56</f>
        <v>8</v>
      </c>
      <c r="L59" s="5">
        <f>Sales_Data!F56</f>
        <v>2924.35</v>
      </c>
      <c r="M59" s="5">
        <f>Sales_Data!G56</f>
        <v>2828.87</v>
      </c>
      <c r="N59" s="5" t="str">
        <f>IFERROR(INDEX(Branch_Master!$B$2:$B$9,MATCH($B59,Branch_Master!$A$2:$A$9,0)),"Not Found")</f>
        <v>Chennai</v>
      </c>
      <c r="O59" s="5" t="str">
        <f>IFERROR(INDEX(Branch_Master!$C$2:$C$9,MATCH($B59,Branch_Master!$A$2:$A$9,0)),"Not Found")</f>
        <v>Tamil Nadu</v>
      </c>
      <c r="P59" s="5">
        <f>IFERROR(INDEX(Targets!$B$2:$B$9,MATCH($B59,Targets!$A$2:$A$9,0)),0)</f>
        <v>1910000</v>
      </c>
      <c r="Q59" s="5" t="str">
        <f t="shared" si="0"/>
        <v>Yes</v>
      </c>
      <c r="R59" s="5" t="str">
        <f t="shared" si="1"/>
        <v>Jan</v>
      </c>
    </row>
    <row r="60" spans="1:18" ht="15" customHeight="1" x14ac:dyDescent="0.3">
      <c r="A60" s="5" t="str">
        <f>Sales_Data!A57</f>
        <v>2025-01-22</v>
      </c>
      <c r="B60" s="5" t="str">
        <f>Sales_Data!B57</f>
        <v>Pune East</v>
      </c>
      <c r="C60" s="5" t="str">
        <f>Sales_Data!C57</f>
        <v>E034</v>
      </c>
      <c r="D60" s="5" t="str">
        <f>IFERROR(INDEX(Employee_Master!$B$2:$B$44,MATCH($C60,Employee_Master!$A$2:$A$44,0)),"Not Found")</f>
        <v>Elaine Thompson</v>
      </c>
      <c r="E60" s="5" t="str">
        <f>IFERROR(INDEX(Employee_Master!$C$2:$C$44,MATCH($C60,Employee_Master!$A$2:$A$44,0)),"Not Found")</f>
        <v>Marketing</v>
      </c>
      <c r="F60" s="5" t="str">
        <f>IFERROR(INDEX(Employee_Master!$D$2:$D$44,MATCH($C60,Employee_Master!$A$2:$A$44,0)),"Not Found")</f>
        <v>Jordan Matthews</v>
      </c>
      <c r="G60" s="5" t="str">
        <f>IFERROR(INDEX(Employee_Master!$E$2:$E$44,MATCH($C60,Employee_Master!$A$2:$A$44,0)),"Not Found")</f>
        <v>West</v>
      </c>
      <c r="H60" s="5" t="str">
        <f>Sales_Data!D57</f>
        <v>P012 - Non-Stick Pan</v>
      </c>
      <c r="I60" s="5" t="str">
        <f>IFERROR(INDEX(Product_Master!$B$2:$B$30,MATCH($H60,Product_Master!$A$2:$A$30,0)),"Invalid Product Code")</f>
        <v>Home &amp; Kitchen</v>
      </c>
      <c r="J60" s="5">
        <f>IFERROR(INDEX(Product_Master!$C$2:$C$30,MATCH($H60,Product_Master!$A$2:$A$30,0)),0)</f>
        <v>353.18</v>
      </c>
      <c r="K60" s="5">
        <f>Sales_Data!E57</f>
        <v>12</v>
      </c>
      <c r="L60" s="5">
        <f>Sales_Data!F57</f>
        <v>4213.71</v>
      </c>
      <c r="M60" s="5">
        <f>Sales_Data!G57</f>
        <v>3615.93</v>
      </c>
      <c r="N60" s="5" t="str">
        <f>IFERROR(INDEX(Branch_Master!$B$2:$B$9,MATCH($B60,Branch_Master!$A$2:$A$9,0)),"Not Found")</f>
        <v>Pune</v>
      </c>
      <c r="O60" s="5" t="str">
        <f>IFERROR(INDEX(Branch_Master!$C$2:$C$9,MATCH($B60,Branch_Master!$A$2:$A$9,0)),"Not Found")</f>
        <v>Maharashtra</v>
      </c>
      <c r="P60" s="5">
        <f>IFERROR(INDEX(Targets!$B$2:$B$9,MATCH($B60,Targets!$A$2:$A$9,0)),0)</f>
        <v>1250000</v>
      </c>
      <c r="Q60" s="5" t="str">
        <f t="shared" si="0"/>
        <v>Yes</v>
      </c>
      <c r="R60" s="5" t="str">
        <f t="shared" si="1"/>
        <v>Jan</v>
      </c>
    </row>
    <row r="61" spans="1:18" ht="15" customHeight="1" x14ac:dyDescent="0.3">
      <c r="A61" s="5" t="str">
        <f>Sales_Data!A58</f>
        <v>2025-01-22</v>
      </c>
      <c r="B61" s="5" t="str">
        <f>Sales_Data!B58</f>
        <v>Hyderabad Hitech</v>
      </c>
      <c r="C61" s="5" t="str">
        <f>Sales_Data!C58</f>
        <v>E014</v>
      </c>
      <c r="D61" s="5" t="str">
        <f>IFERROR(INDEX(Employee_Master!$B$2:$B$44,MATCH($C61,Employee_Master!$A$2:$A$44,0)),"Not Found")</f>
        <v>Brian Brown</v>
      </c>
      <c r="E61" s="5" t="str">
        <f>IFERROR(INDEX(Employee_Master!$C$2:$C$44,MATCH($C61,Employee_Master!$A$2:$A$44,0)),"Not Found")</f>
        <v>Marketing</v>
      </c>
      <c r="F61" s="5" t="str">
        <f>IFERROR(INDEX(Employee_Master!$D$2:$D$44,MATCH($C61,Employee_Master!$A$2:$A$44,0)),"Not Found")</f>
        <v>Anna Turner</v>
      </c>
      <c r="G61" s="5" t="str">
        <f>IFERROR(INDEX(Employee_Master!$E$2:$E$44,MATCH($C61,Employee_Master!$A$2:$A$44,0)),"Not Found")</f>
        <v>South</v>
      </c>
      <c r="H61" s="5" t="str">
        <f>Sales_Data!D58</f>
        <v>P005 - LED Monitor</v>
      </c>
      <c r="I61" s="5" t="str">
        <f>IFERROR(INDEX(Product_Master!$B$2:$B$30,MATCH($H61,Product_Master!$A$2:$A$30,0)),"Invalid Product Code")</f>
        <v>Electronics</v>
      </c>
      <c r="J61" s="5">
        <f>IFERROR(INDEX(Product_Master!$C$2:$C$30,MATCH($H61,Product_Master!$A$2:$A$30,0)),0)</f>
        <v>489.9</v>
      </c>
      <c r="K61" s="5">
        <f>Sales_Data!E58</f>
        <v>12</v>
      </c>
      <c r="L61" s="5">
        <f>Sales_Data!F58</f>
        <v>6088.33</v>
      </c>
      <c r="M61" s="5">
        <f>Sales_Data!G58</f>
        <v>6553.44</v>
      </c>
      <c r="N61" s="5" t="str">
        <f>IFERROR(INDEX(Branch_Master!$B$2:$B$9,MATCH($B61,Branch_Master!$A$2:$A$9,0)),"Not Found")</f>
        <v>Hyderabad</v>
      </c>
      <c r="O61" s="5" t="str">
        <f>IFERROR(INDEX(Branch_Master!$C$2:$C$9,MATCH($B61,Branch_Master!$A$2:$A$9,0)),"Not Found")</f>
        <v>Telangana</v>
      </c>
      <c r="P61" s="5">
        <f>IFERROR(INDEX(Targets!$B$2:$B$9,MATCH($B61,Targets!$A$2:$A$9,0)),0)</f>
        <v>1210000</v>
      </c>
      <c r="Q61" s="5" t="str">
        <f t="shared" si="0"/>
        <v>No</v>
      </c>
      <c r="R61" s="5" t="str">
        <f t="shared" si="1"/>
        <v>Jan</v>
      </c>
    </row>
    <row r="62" spans="1:18" ht="15" customHeight="1" x14ac:dyDescent="0.3">
      <c r="A62" s="5" t="str">
        <f>Sales_Data!A59</f>
        <v>2025-01-22</v>
      </c>
      <c r="B62" s="5" t="str">
        <f>Sales_Data!B59</f>
        <v>Hyderabad Hitech</v>
      </c>
      <c r="C62" s="5" t="str">
        <f>Sales_Data!C59</f>
        <v>E011</v>
      </c>
      <c r="D62" s="5" t="str">
        <f>IFERROR(INDEX(Employee_Master!$B$2:$B$44,MATCH($C62,Employee_Master!$A$2:$A$44,0)),"Not Found")</f>
        <v>Mark Osborne</v>
      </c>
      <c r="E62" s="5" t="str">
        <f>IFERROR(INDEX(Employee_Master!$C$2:$C$44,MATCH($C62,Employee_Master!$A$2:$A$44,0)),"Not Found")</f>
        <v>Marketing</v>
      </c>
      <c r="F62" s="5" t="str">
        <f>IFERROR(INDEX(Employee_Master!$D$2:$D$44,MATCH($C62,Employee_Master!$A$2:$A$44,0)),"Not Found")</f>
        <v>Anna Turner</v>
      </c>
      <c r="G62" s="5" t="str">
        <f>IFERROR(INDEX(Employee_Master!$E$2:$E$44,MATCH($C62,Employee_Master!$A$2:$A$44,0)),"Not Found")</f>
        <v>South</v>
      </c>
      <c r="H62" s="5" t="str">
        <f>Sales_Data!D59</f>
        <v>P026 - Yoga Mat</v>
      </c>
      <c r="I62" s="5" t="str">
        <f>IFERROR(INDEX(Product_Master!$B$2:$B$30,MATCH($H62,Product_Master!$A$2:$A$30,0)),"Invalid Product Code")</f>
        <v>Sports</v>
      </c>
      <c r="J62" s="5">
        <f>IFERROR(INDEX(Product_Master!$C$2:$C$30,MATCH($H62,Product_Master!$A$2:$A$30,0)),0)</f>
        <v>518.76</v>
      </c>
      <c r="K62" s="5">
        <f>Sales_Data!E59</f>
        <v>3</v>
      </c>
      <c r="L62" s="5">
        <f>Sales_Data!F59</f>
        <v>1614.91</v>
      </c>
      <c r="M62" s="5">
        <f>Sales_Data!G59</f>
        <v>1445.83</v>
      </c>
      <c r="N62" s="5" t="str">
        <f>IFERROR(INDEX(Branch_Master!$B$2:$B$9,MATCH($B62,Branch_Master!$A$2:$A$9,0)),"Not Found")</f>
        <v>Hyderabad</v>
      </c>
      <c r="O62" s="5" t="str">
        <f>IFERROR(INDEX(Branch_Master!$C$2:$C$9,MATCH($B62,Branch_Master!$A$2:$A$9,0)),"Not Found")</f>
        <v>Telangana</v>
      </c>
      <c r="P62" s="5">
        <f>IFERROR(INDEX(Targets!$B$2:$B$9,MATCH($B62,Targets!$A$2:$A$9,0)),0)</f>
        <v>1210000</v>
      </c>
      <c r="Q62" s="5" t="str">
        <f t="shared" si="0"/>
        <v>Yes</v>
      </c>
      <c r="R62" s="5" t="str">
        <f t="shared" si="1"/>
        <v>Jan</v>
      </c>
    </row>
    <row r="63" spans="1:18" ht="15" customHeight="1" x14ac:dyDescent="0.3">
      <c r="A63" s="5" t="str">
        <f>Sales_Data!A60</f>
        <v>2025-01-23</v>
      </c>
      <c r="B63" s="5" t="str">
        <f>Sales_Data!B60</f>
        <v>Bangalore North</v>
      </c>
      <c r="C63" s="5" t="str">
        <f>Sales_Data!C60</f>
        <v>E006</v>
      </c>
      <c r="D63" s="5" t="str">
        <f>IFERROR(INDEX(Employee_Master!$B$2:$B$44,MATCH($C63,Employee_Master!$A$2:$A$44,0)),"Not Found")</f>
        <v>Dylan Jones</v>
      </c>
      <c r="E63" s="5" t="str">
        <f>IFERROR(INDEX(Employee_Master!$C$2:$C$44,MATCH($C63,Employee_Master!$A$2:$A$44,0)),"Not Found")</f>
        <v>Sales</v>
      </c>
      <c r="F63" s="5" t="str">
        <f>IFERROR(INDEX(Employee_Master!$D$2:$D$44,MATCH($C63,Employee_Master!$A$2:$A$44,0)),"Not Found")</f>
        <v>Jose Soto</v>
      </c>
      <c r="G63" s="5" t="str">
        <f>IFERROR(INDEX(Employee_Master!$E$2:$E$44,MATCH($C63,Employee_Master!$A$2:$A$44,0)),"Not Found")</f>
        <v>South</v>
      </c>
      <c r="H63" s="5" t="str">
        <f>Sales_Data!D60</f>
        <v>P012 - Non-Stick Pan</v>
      </c>
      <c r="I63" s="5" t="str">
        <f>IFERROR(INDEX(Product_Master!$B$2:$B$30,MATCH($H63,Product_Master!$A$2:$A$30,0)),"Invalid Product Code")</f>
        <v>Home &amp; Kitchen</v>
      </c>
      <c r="J63" s="5">
        <f>IFERROR(INDEX(Product_Master!$C$2:$C$30,MATCH($H63,Product_Master!$A$2:$A$30,0)),0)</f>
        <v>353.18</v>
      </c>
      <c r="K63" s="5">
        <f>Sales_Data!E60</f>
        <v>2</v>
      </c>
      <c r="L63" s="5">
        <f>Sales_Data!F60</f>
        <v>732.52</v>
      </c>
      <c r="M63" s="5">
        <f>Sales_Data!G60</f>
        <v>791.3</v>
      </c>
      <c r="N63" s="5" t="str">
        <f>IFERROR(INDEX(Branch_Master!$B$2:$B$9,MATCH($B63,Branch_Master!$A$2:$A$9,0)),"Not Found")</f>
        <v>Bangalore</v>
      </c>
      <c r="O63" s="5" t="str">
        <f>IFERROR(INDEX(Branch_Master!$C$2:$C$9,MATCH($B63,Branch_Master!$A$2:$A$9,0)),"Not Found")</f>
        <v>Karnataka</v>
      </c>
      <c r="P63" s="5">
        <f>IFERROR(INDEX(Targets!$B$2:$B$9,MATCH($B63,Targets!$A$2:$A$9,0)),0)</f>
        <v>900000</v>
      </c>
      <c r="Q63" s="5" t="str">
        <f t="shared" si="0"/>
        <v>No</v>
      </c>
      <c r="R63" s="5" t="str">
        <f t="shared" si="1"/>
        <v>Jan</v>
      </c>
    </row>
    <row r="64" spans="1:18" ht="15" customHeight="1" x14ac:dyDescent="0.3">
      <c r="A64" s="5" t="str">
        <f>Sales_Data!A61</f>
        <v>2025-01-24</v>
      </c>
      <c r="B64" s="5" t="str">
        <f>Sales_Data!B61</f>
        <v>Delhi NCR</v>
      </c>
      <c r="C64" s="5" t="str">
        <f>Sales_Data!C61</f>
        <v>E013</v>
      </c>
      <c r="D64" s="5" t="str">
        <f>IFERROR(INDEX(Employee_Master!$B$2:$B$44,MATCH($C64,Employee_Master!$A$2:$A$44,0)),"Not Found")</f>
        <v>Norma Wilson</v>
      </c>
      <c r="E64" s="5" t="str">
        <f>IFERROR(INDEX(Employee_Master!$C$2:$C$44,MATCH($C64,Employee_Master!$A$2:$A$44,0)),"Not Found")</f>
        <v>Customer Support</v>
      </c>
      <c r="F64" s="5" t="str">
        <f>IFERROR(INDEX(Employee_Master!$D$2:$D$44,MATCH($C64,Employee_Master!$A$2:$A$44,0)),"Not Found")</f>
        <v>William Oconnell</v>
      </c>
      <c r="G64" s="5" t="str">
        <f>IFERROR(INDEX(Employee_Master!$E$2:$E$44,MATCH($C64,Employee_Master!$A$2:$A$44,0)),"Not Found")</f>
        <v>North</v>
      </c>
      <c r="H64" s="5" t="str">
        <f>Sales_Data!D61</f>
        <v>P019 - Organic Honey</v>
      </c>
      <c r="I64" s="5" t="str">
        <f>IFERROR(INDEX(Product_Master!$B$2:$B$30,MATCH($H64,Product_Master!$A$2:$A$30,0)),"Invalid Product Code")</f>
        <v>Grocery</v>
      </c>
      <c r="J64" s="5">
        <f>IFERROR(INDEX(Product_Master!$C$2:$C$30,MATCH($H64,Product_Master!$A$2:$A$30,0)),0)</f>
        <v>482.15</v>
      </c>
      <c r="K64" s="5">
        <f>Sales_Data!E61</f>
        <v>9</v>
      </c>
      <c r="L64" s="5">
        <f>Sales_Data!F61</f>
        <v>4166.55</v>
      </c>
      <c r="M64" s="5">
        <f>Sales_Data!G61</f>
        <v>4110.82</v>
      </c>
      <c r="N64" s="5" t="str">
        <f>IFERROR(INDEX(Branch_Master!$B$2:$B$9,MATCH($B64,Branch_Master!$A$2:$A$9,0)),"Not Found")</f>
        <v>New Delhi</v>
      </c>
      <c r="O64" s="5" t="str">
        <f>IFERROR(INDEX(Branch_Master!$C$2:$C$9,MATCH($B64,Branch_Master!$A$2:$A$9,0)),"Not Found")</f>
        <v>Delhi</v>
      </c>
      <c r="P64" s="5">
        <f>IFERROR(INDEX(Targets!$B$2:$B$9,MATCH($B64,Targets!$A$2:$A$9,0)),0)</f>
        <v>2070000</v>
      </c>
      <c r="Q64" s="5" t="str">
        <f t="shared" si="0"/>
        <v>Yes</v>
      </c>
      <c r="R64" s="5" t="str">
        <f t="shared" si="1"/>
        <v>Jan</v>
      </c>
    </row>
    <row r="65" spans="1:18" ht="15" customHeight="1" x14ac:dyDescent="0.3">
      <c r="A65" s="5" t="str">
        <f>Sales_Data!A62</f>
        <v>2025-01-24</v>
      </c>
      <c r="B65" s="5" t="str">
        <f>Sales_Data!B62</f>
        <v>Mumbai Central</v>
      </c>
      <c r="C65" s="5" t="str">
        <f>Sales_Data!C62</f>
        <v>E036</v>
      </c>
      <c r="D65" s="5" t="str">
        <f>IFERROR(INDEX(Employee_Master!$B$2:$B$44,MATCH($C65,Employee_Master!$A$2:$A$44,0)),"Not Found")</f>
        <v>Sarah Mendez</v>
      </c>
      <c r="E65" s="5" t="str">
        <f>IFERROR(INDEX(Employee_Master!$C$2:$C$44,MATCH($C65,Employee_Master!$A$2:$A$44,0)),"Not Found")</f>
        <v>Sales</v>
      </c>
      <c r="F65" s="5" t="str">
        <f>IFERROR(INDEX(Employee_Master!$D$2:$D$44,MATCH($C65,Employee_Master!$A$2:$A$44,0)),"Not Found")</f>
        <v>Justin Glass</v>
      </c>
      <c r="G65" s="5" t="str">
        <f>IFERROR(INDEX(Employee_Master!$E$2:$E$44,MATCH($C65,Employee_Master!$A$2:$A$44,0)),"Not Found")</f>
        <v>West</v>
      </c>
      <c r="H65" s="5" t="str">
        <f>Sales_Data!D62</f>
        <v>P019 - Organic Honey</v>
      </c>
      <c r="I65" s="5" t="str">
        <f>IFERROR(INDEX(Product_Master!$B$2:$B$30,MATCH($H65,Product_Master!$A$2:$A$30,0)),"Invalid Product Code")</f>
        <v>Grocery</v>
      </c>
      <c r="J65" s="5">
        <f>IFERROR(INDEX(Product_Master!$C$2:$C$30,MATCH($H65,Product_Master!$A$2:$A$30,0)),0)</f>
        <v>482.15</v>
      </c>
      <c r="K65" s="5">
        <f>Sales_Data!E62</f>
        <v>5</v>
      </c>
      <c r="L65" s="5">
        <f>Sales_Data!F62</f>
        <v>2428.71</v>
      </c>
      <c r="M65" s="5">
        <f>Sales_Data!G62</f>
        <v>2355.39</v>
      </c>
      <c r="N65" s="5" t="str">
        <f>IFERROR(INDEX(Branch_Master!$B$2:$B$9,MATCH($B65,Branch_Master!$A$2:$A$9,0)),"Not Found")</f>
        <v>Mumbai</v>
      </c>
      <c r="O65" s="5" t="str">
        <f>IFERROR(INDEX(Branch_Master!$C$2:$C$9,MATCH($B65,Branch_Master!$A$2:$A$9,0)),"Not Found")</f>
        <v>Maharashtra</v>
      </c>
      <c r="P65" s="5">
        <f>IFERROR(INDEX(Targets!$B$2:$B$9,MATCH($B65,Targets!$A$2:$A$9,0)),0)</f>
        <v>900000</v>
      </c>
      <c r="Q65" s="5" t="str">
        <f t="shared" si="0"/>
        <v>Yes</v>
      </c>
      <c r="R65" s="5" t="str">
        <f t="shared" si="1"/>
        <v>Jan</v>
      </c>
    </row>
    <row r="66" spans="1:18" ht="15" customHeight="1" x14ac:dyDescent="0.3">
      <c r="A66" s="5" t="str">
        <f>Sales_Data!A63</f>
        <v>2025-01-24</v>
      </c>
      <c r="B66" s="5" t="str">
        <f>Sales_Data!B63</f>
        <v>Bangalore North</v>
      </c>
      <c r="C66" s="5" t="str">
        <f>Sales_Data!C63</f>
        <v>E006</v>
      </c>
      <c r="D66" s="5" t="str">
        <f>IFERROR(INDEX(Employee_Master!$B$2:$B$44,MATCH($C66,Employee_Master!$A$2:$A$44,0)),"Not Found")</f>
        <v>Dylan Jones</v>
      </c>
      <c r="E66" s="5" t="str">
        <f>IFERROR(INDEX(Employee_Master!$C$2:$C$44,MATCH($C66,Employee_Master!$A$2:$A$44,0)),"Not Found")</f>
        <v>Sales</v>
      </c>
      <c r="F66" s="5" t="str">
        <f>IFERROR(INDEX(Employee_Master!$D$2:$D$44,MATCH($C66,Employee_Master!$A$2:$A$44,0)),"Not Found")</f>
        <v>Jose Soto</v>
      </c>
      <c r="G66" s="5" t="str">
        <f>IFERROR(INDEX(Employee_Master!$E$2:$E$44,MATCH($C66,Employee_Master!$A$2:$A$44,0)),"Not Found")</f>
        <v>South</v>
      </c>
      <c r="H66" s="5" t="str">
        <f>Sales_Data!D63</f>
        <v>P020 - Green Tea Pack</v>
      </c>
      <c r="I66" s="5" t="str">
        <f>IFERROR(INDEX(Product_Master!$B$2:$B$30,MATCH($H66,Product_Master!$A$2:$A$30,0)),"Invalid Product Code")</f>
        <v>Grocery</v>
      </c>
      <c r="J66" s="5">
        <f>IFERROR(INDEX(Product_Master!$C$2:$C$30,MATCH($H66,Product_Master!$A$2:$A$30,0)),0)</f>
        <v>305.39</v>
      </c>
      <c r="K66" s="5">
        <f>Sales_Data!E63</f>
        <v>1</v>
      </c>
      <c r="L66" s="5">
        <f>Sales_Data!F63</f>
        <v>311.04000000000002</v>
      </c>
      <c r="M66" s="5">
        <f>Sales_Data!G63</f>
        <v>280.64999999999998</v>
      </c>
      <c r="N66" s="5" t="str">
        <f>IFERROR(INDEX(Branch_Master!$B$2:$B$9,MATCH($B66,Branch_Master!$A$2:$A$9,0)),"Not Found")</f>
        <v>Bangalore</v>
      </c>
      <c r="O66" s="5" t="str">
        <f>IFERROR(INDEX(Branch_Master!$C$2:$C$9,MATCH($B66,Branch_Master!$A$2:$A$9,0)),"Not Found")</f>
        <v>Karnataka</v>
      </c>
      <c r="P66" s="5">
        <f>IFERROR(INDEX(Targets!$B$2:$B$9,MATCH($B66,Targets!$A$2:$A$9,0)),0)</f>
        <v>900000</v>
      </c>
      <c r="Q66" s="5" t="str">
        <f t="shared" si="0"/>
        <v>Yes</v>
      </c>
      <c r="R66" s="5" t="str">
        <f t="shared" si="1"/>
        <v>Jan</v>
      </c>
    </row>
    <row r="67" spans="1:18" ht="15" customHeight="1" x14ac:dyDescent="0.3">
      <c r="A67" s="5" t="str">
        <f>Sales_Data!A64</f>
        <v>2025-01-25</v>
      </c>
      <c r="B67" s="5" t="str">
        <f>Sales_Data!B64</f>
        <v>Hyderabad Hitech</v>
      </c>
      <c r="C67" s="5" t="str">
        <f>Sales_Data!C64</f>
        <v>E026</v>
      </c>
      <c r="D67" s="5" t="str">
        <f>IFERROR(INDEX(Employee_Master!$B$2:$B$44,MATCH($C67,Employee_Master!$A$2:$A$44,0)),"Not Found")</f>
        <v>Karen Andrews</v>
      </c>
      <c r="E67" s="5" t="str">
        <f>IFERROR(INDEX(Employee_Master!$C$2:$C$44,MATCH($C67,Employee_Master!$A$2:$A$44,0)),"Not Found")</f>
        <v>Marketing</v>
      </c>
      <c r="F67" s="5" t="str">
        <f>IFERROR(INDEX(Employee_Master!$D$2:$D$44,MATCH($C67,Employee_Master!$A$2:$A$44,0)),"Not Found")</f>
        <v>Anna Turner</v>
      </c>
      <c r="G67" s="5" t="str">
        <f>IFERROR(INDEX(Employee_Master!$E$2:$E$44,MATCH($C67,Employee_Master!$A$2:$A$44,0)),"Not Found")</f>
        <v>South</v>
      </c>
      <c r="H67" s="5" t="str">
        <f>Sales_Data!D64</f>
        <v>P018 - Cooking Oil 1L</v>
      </c>
      <c r="I67" s="5" t="str">
        <f>IFERROR(INDEX(Product_Master!$B$2:$B$30,MATCH($H67,Product_Master!$A$2:$A$30,0)),"Invalid Product Code")</f>
        <v>Grocery</v>
      </c>
      <c r="J67" s="5">
        <f>IFERROR(INDEX(Product_Master!$C$2:$C$30,MATCH($H67,Product_Master!$A$2:$A$30,0)),0)</f>
        <v>1483.63</v>
      </c>
      <c r="K67" s="5">
        <f>Sales_Data!E64</f>
        <v>5</v>
      </c>
      <c r="L67" s="5">
        <f>Sales_Data!F64</f>
        <v>7919.18</v>
      </c>
      <c r="M67" s="5">
        <f>Sales_Data!G64</f>
        <v>6586.53</v>
      </c>
      <c r="N67" s="5" t="str">
        <f>IFERROR(INDEX(Branch_Master!$B$2:$B$9,MATCH($B67,Branch_Master!$A$2:$A$9,0)),"Not Found")</f>
        <v>Hyderabad</v>
      </c>
      <c r="O67" s="5" t="str">
        <f>IFERROR(INDEX(Branch_Master!$C$2:$C$9,MATCH($B67,Branch_Master!$A$2:$A$9,0)),"Not Found")</f>
        <v>Telangana</v>
      </c>
      <c r="P67" s="5">
        <f>IFERROR(INDEX(Targets!$B$2:$B$9,MATCH($B67,Targets!$A$2:$A$9,0)),0)</f>
        <v>1210000</v>
      </c>
      <c r="Q67" s="5" t="str">
        <f t="shared" si="0"/>
        <v>Yes</v>
      </c>
      <c r="R67" s="5" t="str">
        <f t="shared" si="1"/>
        <v>Jan</v>
      </c>
    </row>
    <row r="68" spans="1:18" ht="15" customHeight="1" x14ac:dyDescent="0.3">
      <c r="A68" s="5" t="str">
        <f>Sales_Data!A65</f>
        <v>2025-01-25</v>
      </c>
      <c r="B68" s="5" t="str">
        <f>Sales_Data!B65</f>
        <v>Kolkata Central</v>
      </c>
      <c r="C68" s="5" t="str">
        <f>Sales_Data!C65</f>
        <v>E018</v>
      </c>
      <c r="D68" s="5" t="str">
        <f>IFERROR(INDEX(Employee_Master!$B$2:$B$44,MATCH($C68,Employee_Master!$A$2:$A$44,0)),"Not Found")</f>
        <v>Daniel Nelson</v>
      </c>
      <c r="E68" s="5" t="str">
        <f>IFERROR(INDEX(Employee_Master!$C$2:$C$44,MATCH($C68,Employee_Master!$A$2:$A$44,0)),"Not Found")</f>
        <v>Sales</v>
      </c>
      <c r="F68" s="5" t="str">
        <f>IFERROR(INDEX(Employee_Master!$D$2:$D$44,MATCH($C68,Employee_Master!$A$2:$A$44,0)),"Not Found")</f>
        <v>Lisa Moore</v>
      </c>
      <c r="G68" s="5" t="str">
        <f>IFERROR(INDEX(Employee_Master!$E$2:$E$44,MATCH($C68,Employee_Master!$A$2:$A$44,0)),"Not Found")</f>
        <v>East</v>
      </c>
      <c r="H68" s="5" t="str">
        <f>Sales_Data!D65</f>
        <v>P016 - Dinner Set</v>
      </c>
      <c r="I68" s="5" t="str">
        <f>IFERROR(INDEX(Product_Master!$B$2:$B$30,MATCH($H68,Product_Master!$A$2:$A$30,0)),"Invalid Product Code")</f>
        <v>Home &amp; Kitchen</v>
      </c>
      <c r="J68" s="5">
        <f>IFERROR(INDEX(Product_Master!$C$2:$C$30,MATCH($H68,Product_Master!$A$2:$A$30,0)),0)</f>
        <v>225.06</v>
      </c>
      <c r="K68" s="5">
        <f>Sales_Data!E65</f>
        <v>5</v>
      </c>
      <c r="L68" s="5">
        <f>Sales_Data!F65</f>
        <v>1206.95</v>
      </c>
      <c r="M68" s="5">
        <f>Sales_Data!G65</f>
        <v>1293.54</v>
      </c>
      <c r="N68" s="5" t="str">
        <f>IFERROR(INDEX(Branch_Master!$B$2:$B$9,MATCH($B68,Branch_Master!$A$2:$A$9,0)),"Not Found")</f>
        <v>Kolkata</v>
      </c>
      <c r="O68" s="5" t="str">
        <f>IFERROR(INDEX(Branch_Master!$C$2:$C$9,MATCH($B68,Branch_Master!$A$2:$A$9,0)),"Not Found")</f>
        <v>West Bengal</v>
      </c>
      <c r="P68" s="5">
        <f>IFERROR(INDEX(Targets!$B$2:$B$9,MATCH($B68,Targets!$A$2:$A$9,0)),0)</f>
        <v>1910000</v>
      </c>
      <c r="Q68" s="5" t="str">
        <f t="shared" si="0"/>
        <v>No</v>
      </c>
      <c r="R68" s="5" t="str">
        <f t="shared" si="1"/>
        <v>Jan</v>
      </c>
    </row>
    <row r="69" spans="1:18" ht="15" customHeight="1" x14ac:dyDescent="0.3">
      <c r="A69" s="5" t="str">
        <f>Sales_Data!A66</f>
        <v>2025-01-25</v>
      </c>
      <c r="B69" s="5" t="str">
        <f>Sales_Data!B66</f>
        <v>Bangalore North</v>
      </c>
      <c r="C69" s="5" t="str">
        <f>Sales_Data!C66</f>
        <v>E003</v>
      </c>
      <c r="D69" s="5" t="str">
        <f>IFERROR(INDEX(Employee_Master!$B$2:$B$44,MATCH($C69,Employee_Master!$A$2:$A$44,0)),"Not Found")</f>
        <v>Margaret Porter</v>
      </c>
      <c r="E69" s="5" t="str">
        <f>IFERROR(INDEX(Employee_Master!$C$2:$C$44,MATCH($C69,Employee_Master!$A$2:$A$44,0)),"Not Found")</f>
        <v>Customer Support</v>
      </c>
      <c r="F69" s="5" t="str">
        <f>IFERROR(INDEX(Employee_Master!$D$2:$D$44,MATCH($C69,Employee_Master!$A$2:$A$44,0)),"Not Found")</f>
        <v>Jose Soto</v>
      </c>
      <c r="G69" s="5" t="str">
        <f>IFERROR(INDEX(Employee_Master!$E$2:$E$44,MATCH($C69,Employee_Master!$A$2:$A$44,0)),"Not Found")</f>
        <v>South</v>
      </c>
      <c r="H69" s="5" t="str">
        <f>Sales_Data!D66</f>
        <v>P006 - Laptop Stand</v>
      </c>
      <c r="I69" s="5" t="str">
        <f>IFERROR(INDEX(Product_Master!$B$2:$B$30,MATCH($H69,Product_Master!$A$2:$A$30,0)),"Invalid Product Code")</f>
        <v>Electronics</v>
      </c>
      <c r="J69" s="5">
        <f>IFERROR(INDEX(Product_Master!$C$2:$C$30,MATCH($H69,Product_Master!$A$2:$A$30,0)),0)</f>
        <v>393.96</v>
      </c>
      <c r="K69" s="5">
        <f>Sales_Data!E66</f>
        <v>9</v>
      </c>
      <c r="L69" s="5">
        <f>Sales_Data!F66</f>
        <v>3275.3</v>
      </c>
      <c r="M69" s="5">
        <f>Sales_Data!G66</f>
        <v>3093.21</v>
      </c>
      <c r="N69" s="5" t="str">
        <f>IFERROR(INDEX(Branch_Master!$B$2:$B$9,MATCH($B69,Branch_Master!$A$2:$A$9,0)),"Not Found")</f>
        <v>Bangalore</v>
      </c>
      <c r="O69" s="5" t="str">
        <f>IFERROR(INDEX(Branch_Master!$C$2:$C$9,MATCH($B69,Branch_Master!$A$2:$A$9,0)),"Not Found")</f>
        <v>Karnataka</v>
      </c>
      <c r="P69" s="5">
        <f>IFERROR(INDEX(Targets!$B$2:$B$9,MATCH($B69,Targets!$A$2:$A$9,0)),0)</f>
        <v>900000</v>
      </c>
      <c r="Q69" s="5" t="str">
        <f t="shared" ref="Q69:Q132" si="2">IF(L69&gt;=M69,"Yes","No")</f>
        <v>Yes</v>
      </c>
      <c r="R69" s="5" t="str">
        <f t="shared" ref="R69:R132" si="3">TEXT(A69,"MMM")</f>
        <v>Jan</v>
      </c>
    </row>
    <row r="70" spans="1:18" ht="15" customHeight="1" x14ac:dyDescent="0.3">
      <c r="A70" s="5" t="str">
        <f>Sales_Data!A67</f>
        <v>2025-01-25</v>
      </c>
      <c r="B70" s="5" t="str">
        <f>Sales_Data!B67</f>
        <v>Bangalore North</v>
      </c>
      <c r="C70" s="5" t="str">
        <f>Sales_Data!C67</f>
        <v>E040</v>
      </c>
      <c r="D70" s="5" t="str">
        <f>IFERROR(INDEX(Employee_Master!$B$2:$B$44,MATCH($C70,Employee_Master!$A$2:$A$44,0)),"Not Found")</f>
        <v>Bonnie Cox</v>
      </c>
      <c r="E70" s="5" t="str">
        <f>IFERROR(INDEX(Employee_Master!$C$2:$C$44,MATCH($C70,Employee_Master!$A$2:$A$44,0)),"Not Found")</f>
        <v>Customer Support</v>
      </c>
      <c r="F70" s="5" t="str">
        <f>IFERROR(INDEX(Employee_Master!$D$2:$D$44,MATCH($C70,Employee_Master!$A$2:$A$44,0)),"Not Found")</f>
        <v>Jose Soto</v>
      </c>
      <c r="G70" s="5" t="str">
        <f>IFERROR(INDEX(Employee_Master!$E$2:$E$44,MATCH($C70,Employee_Master!$A$2:$A$44,0)),"Not Found")</f>
        <v>South</v>
      </c>
      <c r="H70" s="5" t="str">
        <f>Sales_Data!D67</f>
        <v>P010 - Running Shoes</v>
      </c>
      <c r="I70" s="5" t="str">
        <f>IFERROR(INDEX(Product_Master!$B$2:$B$30,MATCH($H70,Product_Master!$A$2:$A$30,0)),"Invalid Product Code")</f>
        <v>Apparel</v>
      </c>
      <c r="J70" s="5">
        <f>IFERROR(INDEX(Product_Master!$C$2:$C$30,MATCH($H70,Product_Master!$A$2:$A$30,0)),0)</f>
        <v>233.71</v>
      </c>
      <c r="K70" s="5">
        <f>Sales_Data!E67</f>
        <v>11</v>
      </c>
      <c r="L70" s="5">
        <f>Sales_Data!F67</f>
        <v>2419.64</v>
      </c>
      <c r="M70" s="5">
        <f>Sales_Data!G67</f>
        <v>2453.1799999999998</v>
      </c>
      <c r="N70" s="5" t="str">
        <f>IFERROR(INDEX(Branch_Master!$B$2:$B$9,MATCH($B70,Branch_Master!$A$2:$A$9,0)),"Not Found")</f>
        <v>Bangalore</v>
      </c>
      <c r="O70" s="5" t="str">
        <f>IFERROR(INDEX(Branch_Master!$C$2:$C$9,MATCH($B70,Branch_Master!$A$2:$A$9,0)),"Not Found")</f>
        <v>Karnataka</v>
      </c>
      <c r="P70" s="5">
        <f>IFERROR(INDEX(Targets!$B$2:$B$9,MATCH($B70,Targets!$A$2:$A$9,0)),0)</f>
        <v>900000</v>
      </c>
      <c r="Q70" s="5" t="str">
        <f t="shared" si="2"/>
        <v>No</v>
      </c>
      <c r="R70" s="5" t="str">
        <f t="shared" si="3"/>
        <v>Jan</v>
      </c>
    </row>
    <row r="71" spans="1:18" ht="15" customHeight="1" x14ac:dyDescent="0.3">
      <c r="A71" s="5" t="str">
        <f>Sales_Data!A68</f>
        <v>2025-01-26</v>
      </c>
      <c r="B71" s="5" t="str">
        <f>Sales_Data!B68</f>
        <v>Pune East</v>
      </c>
      <c r="C71" s="5" t="str">
        <f>Sales_Data!C68</f>
        <v>E023</v>
      </c>
      <c r="D71" s="5" t="str">
        <f>IFERROR(INDEX(Employee_Master!$B$2:$B$44,MATCH($C71,Employee_Master!$A$2:$A$44,0)),"Not Found")</f>
        <v>Edward Jones</v>
      </c>
      <c r="E71" s="5" t="str">
        <f>IFERROR(INDEX(Employee_Master!$C$2:$C$44,MATCH($C71,Employee_Master!$A$2:$A$44,0)),"Not Found")</f>
        <v>Operations</v>
      </c>
      <c r="F71" s="5" t="str">
        <f>IFERROR(INDEX(Employee_Master!$D$2:$D$44,MATCH($C71,Employee_Master!$A$2:$A$44,0)),"Not Found")</f>
        <v>Jordan Matthews</v>
      </c>
      <c r="G71" s="5" t="str">
        <f>IFERROR(INDEX(Employee_Master!$E$2:$E$44,MATCH($C71,Employee_Master!$A$2:$A$44,0)),"Not Found")</f>
        <v>West</v>
      </c>
      <c r="H71" s="5" t="str">
        <f>Sales_Data!D68</f>
        <v>P024 - Hair Serum</v>
      </c>
      <c r="I71" s="5" t="str">
        <f>IFERROR(INDEX(Product_Master!$B$2:$B$30,MATCH($H71,Product_Master!$A$2:$A$30,0)),"Invalid Product Code")</f>
        <v>Beauty</v>
      </c>
      <c r="J71" s="5">
        <f>IFERROR(INDEX(Product_Master!$C$2:$C$30,MATCH($H71,Product_Master!$A$2:$A$30,0)),0)</f>
        <v>1457.31</v>
      </c>
      <c r="K71" s="5">
        <f>Sales_Data!E68</f>
        <v>6</v>
      </c>
      <c r="L71" s="5">
        <f>Sales_Data!F68</f>
        <v>9550.67</v>
      </c>
      <c r="M71" s="5">
        <f>Sales_Data!G68</f>
        <v>8150.74</v>
      </c>
      <c r="N71" s="5" t="str">
        <f>IFERROR(INDEX(Branch_Master!$B$2:$B$9,MATCH($B71,Branch_Master!$A$2:$A$9,0)),"Not Found")</f>
        <v>Pune</v>
      </c>
      <c r="O71" s="5" t="str">
        <f>IFERROR(INDEX(Branch_Master!$C$2:$C$9,MATCH($B71,Branch_Master!$A$2:$A$9,0)),"Not Found")</f>
        <v>Maharashtra</v>
      </c>
      <c r="P71" s="5">
        <f>IFERROR(INDEX(Targets!$B$2:$B$9,MATCH($B71,Targets!$A$2:$A$9,0)),0)</f>
        <v>1250000</v>
      </c>
      <c r="Q71" s="5" t="str">
        <f t="shared" si="2"/>
        <v>Yes</v>
      </c>
      <c r="R71" s="5" t="str">
        <f t="shared" si="3"/>
        <v>Jan</v>
      </c>
    </row>
    <row r="72" spans="1:18" ht="15" customHeight="1" x14ac:dyDescent="0.3">
      <c r="A72" s="5" t="str">
        <f>Sales_Data!A69</f>
        <v>2025-01-26</v>
      </c>
      <c r="B72" s="5" t="str">
        <f>Sales_Data!B69</f>
        <v>Hyderabad Hitech</v>
      </c>
      <c r="C72" s="5" t="str">
        <f>Sales_Data!C69</f>
        <v>E030</v>
      </c>
      <c r="D72" s="5" t="str">
        <f>IFERROR(INDEX(Employee_Master!$B$2:$B$44,MATCH($C72,Employee_Master!$A$2:$A$44,0)),"Not Found")</f>
        <v>Travis Khan</v>
      </c>
      <c r="E72" s="5" t="str">
        <f>IFERROR(INDEX(Employee_Master!$C$2:$C$44,MATCH($C72,Employee_Master!$A$2:$A$44,0)),"Not Found")</f>
        <v>Operations</v>
      </c>
      <c r="F72" s="5" t="str">
        <f>IFERROR(INDEX(Employee_Master!$D$2:$D$44,MATCH($C72,Employee_Master!$A$2:$A$44,0)),"Not Found")</f>
        <v>Anna Turner</v>
      </c>
      <c r="G72" s="5" t="str">
        <f>IFERROR(INDEX(Employee_Master!$E$2:$E$44,MATCH($C72,Employee_Master!$A$2:$A$44,0)),"Not Found")</f>
        <v>South</v>
      </c>
      <c r="H72" s="5" t="str">
        <f>Sales_Data!D69</f>
        <v>P027 - Cricket Bat</v>
      </c>
      <c r="I72" s="5" t="str">
        <f>IFERROR(INDEX(Product_Master!$B$2:$B$30,MATCH($H72,Product_Master!$A$2:$A$30,0)),"Invalid Product Code")</f>
        <v>Sports</v>
      </c>
      <c r="J72" s="5">
        <f>IFERROR(INDEX(Product_Master!$C$2:$C$30,MATCH($H72,Product_Master!$A$2:$A$30,0)),0)</f>
        <v>822.7</v>
      </c>
      <c r="K72" s="5">
        <f>Sales_Data!E69</f>
        <v>7</v>
      </c>
      <c r="L72" s="5">
        <f>Sales_Data!F69</f>
        <v>6102.07</v>
      </c>
      <c r="M72" s="5">
        <f>Sales_Data!G69</f>
        <v>5335.01</v>
      </c>
      <c r="N72" s="5" t="str">
        <f>IFERROR(INDEX(Branch_Master!$B$2:$B$9,MATCH($B72,Branch_Master!$A$2:$A$9,0)),"Not Found")</f>
        <v>Hyderabad</v>
      </c>
      <c r="O72" s="5" t="str">
        <f>IFERROR(INDEX(Branch_Master!$C$2:$C$9,MATCH($B72,Branch_Master!$A$2:$A$9,0)),"Not Found")</f>
        <v>Telangana</v>
      </c>
      <c r="P72" s="5">
        <f>IFERROR(INDEX(Targets!$B$2:$B$9,MATCH($B72,Targets!$A$2:$A$9,0)),0)</f>
        <v>1210000</v>
      </c>
      <c r="Q72" s="5" t="str">
        <f t="shared" si="2"/>
        <v>Yes</v>
      </c>
      <c r="R72" s="5" t="str">
        <f t="shared" si="3"/>
        <v>Jan</v>
      </c>
    </row>
    <row r="73" spans="1:18" ht="15" customHeight="1" x14ac:dyDescent="0.3">
      <c r="A73" s="5" t="str">
        <f>Sales_Data!A70</f>
        <v>2025-01-26</v>
      </c>
      <c r="B73" s="5" t="str">
        <f>Sales_Data!B70</f>
        <v>Hyderabad Hitech</v>
      </c>
      <c r="C73" s="5" t="str">
        <f>Sales_Data!C70</f>
        <v>E020</v>
      </c>
      <c r="D73" s="5" t="str">
        <f>IFERROR(INDEX(Employee_Master!$B$2:$B$44,MATCH($C73,Employee_Master!$A$2:$A$44,0)),"Not Found")</f>
        <v>Christine Long</v>
      </c>
      <c r="E73" s="5" t="str">
        <f>IFERROR(INDEX(Employee_Master!$C$2:$C$44,MATCH($C73,Employee_Master!$A$2:$A$44,0)),"Not Found")</f>
        <v>Operations</v>
      </c>
      <c r="F73" s="5" t="str">
        <f>IFERROR(INDEX(Employee_Master!$D$2:$D$44,MATCH($C73,Employee_Master!$A$2:$A$44,0)),"Not Found")</f>
        <v>Anna Turner</v>
      </c>
      <c r="G73" s="5" t="str">
        <f>IFERROR(INDEX(Employee_Master!$E$2:$E$44,MATCH($C73,Employee_Master!$A$2:$A$44,0)),"Not Found")</f>
        <v>South</v>
      </c>
      <c r="H73" s="5" t="str">
        <f>Sales_Data!D70</f>
        <v>P022 - Face Wash</v>
      </c>
      <c r="I73" s="5" t="str">
        <f>IFERROR(INDEX(Product_Master!$B$2:$B$30,MATCH($H73,Product_Master!$A$2:$A$30,0)),"Invalid Product Code")</f>
        <v>Beauty</v>
      </c>
      <c r="J73" s="5">
        <f>IFERROR(INDEX(Product_Master!$C$2:$C$30,MATCH($H73,Product_Master!$A$2:$A$30,0)),0)</f>
        <v>396.75</v>
      </c>
      <c r="K73" s="5">
        <f>Sales_Data!E70</f>
        <v>5</v>
      </c>
      <c r="L73" s="5">
        <f>Sales_Data!F70</f>
        <v>1919.4</v>
      </c>
      <c r="M73" s="5">
        <f>Sales_Data!G70</f>
        <v>2078.83</v>
      </c>
      <c r="N73" s="5" t="str">
        <f>IFERROR(INDEX(Branch_Master!$B$2:$B$9,MATCH($B73,Branch_Master!$A$2:$A$9,0)),"Not Found")</f>
        <v>Hyderabad</v>
      </c>
      <c r="O73" s="5" t="str">
        <f>IFERROR(INDEX(Branch_Master!$C$2:$C$9,MATCH($B73,Branch_Master!$A$2:$A$9,0)),"Not Found")</f>
        <v>Telangana</v>
      </c>
      <c r="P73" s="5">
        <f>IFERROR(INDEX(Targets!$B$2:$B$9,MATCH($B73,Targets!$A$2:$A$9,0)),0)</f>
        <v>1210000</v>
      </c>
      <c r="Q73" s="5" t="str">
        <f t="shared" si="2"/>
        <v>No</v>
      </c>
      <c r="R73" s="5" t="str">
        <f t="shared" si="3"/>
        <v>Jan</v>
      </c>
    </row>
    <row r="74" spans="1:18" ht="15" customHeight="1" x14ac:dyDescent="0.3">
      <c r="A74" s="5" t="str">
        <f>Sales_Data!A71</f>
        <v>2025-01-27</v>
      </c>
      <c r="B74" s="5" t="str">
        <f>Sales_Data!B71</f>
        <v>Delhi NCR</v>
      </c>
      <c r="C74" s="5" t="str">
        <f>Sales_Data!C71</f>
        <v>E013</v>
      </c>
      <c r="D74" s="5" t="str">
        <f>IFERROR(INDEX(Employee_Master!$B$2:$B$44,MATCH($C74,Employee_Master!$A$2:$A$44,0)),"Not Found")</f>
        <v>Norma Wilson</v>
      </c>
      <c r="E74" s="5" t="str">
        <f>IFERROR(INDEX(Employee_Master!$C$2:$C$44,MATCH($C74,Employee_Master!$A$2:$A$44,0)),"Not Found")</f>
        <v>Customer Support</v>
      </c>
      <c r="F74" s="5" t="str">
        <f>IFERROR(INDEX(Employee_Master!$D$2:$D$44,MATCH($C74,Employee_Master!$A$2:$A$44,0)),"Not Found")</f>
        <v>William Oconnell</v>
      </c>
      <c r="G74" s="5" t="str">
        <f>IFERROR(INDEX(Employee_Master!$E$2:$E$44,MATCH($C74,Employee_Master!$A$2:$A$44,0)),"Not Found")</f>
        <v>North</v>
      </c>
      <c r="H74" s="5" t="str">
        <f>Sales_Data!D71</f>
        <v>P004 - Power Bank</v>
      </c>
      <c r="I74" s="5" t="str">
        <f>IFERROR(INDEX(Product_Master!$B$2:$B$30,MATCH($H74,Product_Master!$A$2:$A$30,0)),"Invalid Product Code")</f>
        <v>Electronics</v>
      </c>
      <c r="J74" s="5">
        <f>IFERROR(INDEX(Product_Master!$C$2:$C$30,MATCH($H74,Product_Master!$A$2:$A$30,0)),0)</f>
        <v>76.91</v>
      </c>
      <c r="K74" s="5">
        <f>Sales_Data!E71</f>
        <v>6</v>
      </c>
      <c r="L74" s="5">
        <f>Sales_Data!F71</f>
        <v>456.19</v>
      </c>
      <c r="M74" s="5">
        <f>Sales_Data!G71</f>
        <v>484.7</v>
      </c>
      <c r="N74" s="5" t="str">
        <f>IFERROR(INDEX(Branch_Master!$B$2:$B$9,MATCH($B74,Branch_Master!$A$2:$A$9,0)),"Not Found")</f>
        <v>New Delhi</v>
      </c>
      <c r="O74" s="5" t="str">
        <f>IFERROR(INDEX(Branch_Master!$C$2:$C$9,MATCH($B74,Branch_Master!$A$2:$A$9,0)),"Not Found")</f>
        <v>Delhi</v>
      </c>
      <c r="P74" s="5">
        <f>IFERROR(INDEX(Targets!$B$2:$B$9,MATCH($B74,Targets!$A$2:$A$9,0)),0)</f>
        <v>2070000</v>
      </c>
      <c r="Q74" s="5" t="str">
        <f t="shared" si="2"/>
        <v>No</v>
      </c>
      <c r="R74" s="5" t="str">
        <f t="shared" si="3"/>
        <v>Jan</v>
      </c>
    </row>
    <row r="75" spans="1:18" ht="15" customHeight="1" x14ac:dyDescent="0.3">
      <c r="A75" s="5" t="str">
        <f>Sales_Data!A72</f>
        <v>2025-01-27</v>
      </c>
      <c r="B75" s="5" t="str">
        <f>Sales_Data!B72</f>
        <v>Pune East</v>
      </c>
      <c r="C75" s="5" t="str">
        <f>Sales_Data!C72</f>
        <v>E022</v>
      </c>
      <c r="D75" s="5" t="str">
        <f>IFERROR(INDEX(Employee_Master!$B$2:$B$44,MATCH($C75,Employee_Master!$A$2:$A$44,0)),"Not Found")</f>
        <v>Cindy Green PhD</v>
      </c>
      <c r="E75" s="5" t="str">
        <f>IFERROR(INDEX(Employee_Master!$C$2:$C$44,MATCH($C75,Employee_Master!$A$2:$A$44,0)),"Not Found")</f>
        <v>Customer Support</v>
      </c>
      <c r="F75" s="5" t="str">
        <f>IFERROR(INDEX(Employee_Master!$D$2:$D$44,MATCH($C75,Employee_Master!$A$2:$A$44,0)),"Not Found")</f>
        <v>Jordan Matthews</v>
      </c>
      <c r="G75" s="5" t="str">
        <f>IFERROR(INDEX(Employee_Master!$E$2:$E$44,MATCH($C75,Employee_Master!$A$2:$A$44,0)),"Not Found")</f>
        <v>West</v>
      </c>
      <c r="H75" s="5" t="str">
        <f>Sales_Data!D72</f>
        <v>P022 - Face Wash</v>
      </c>
      <c r="I75" s="5" t="str">
        <f>IFERROR(INDEX(Product_Master!$B$2:$B$30,MATCH($H75,Product_Master!$A$2:$A$30,0)),"Invalid Product Code")</f>
        <v>Beauty</v>
      </c>
      <c r="J75" s="5">
        <f>IFERROR(INDEX(Product_Master!$C$2:$C$30,MATCH($H75,Product_Master!$A$2:$A$30,0)),0)</f>
        <v>396.75</v>
      </c>
      <c r="K75" s="5">
        <f>Sales_Data!E72</f>
        <v>6</v>
      </c>
      <c r="L75" s="5">
        <f>Sales_Data!F72</f>
        <v>2254.38</v>
      </c>
      <c r="M75" s="5">
        <f>Sales_Data!G72</f>
        <v>2464.13</v>
      </c>
      <c r="N75" s="5" t="str">
        <f>IFERROR(INDEX(Branch_Master!$B$2:$B$9,MATCH($B75,Branch_Master!$A$2:$A$9,0)),"Not Found")</f>
        <v>Pune</v>
      </c>
      <c r="O75" s="5" t="str">
        <f>IFERROR(INDEX(Branch_Master!$C$2:$C$9,MATCH($B75,Branch_Master!$A$2:$A$9,0)),"Not Found")</f>
        <v>Maharashtra</v>
      </c>
      <c r="P75" s="5">
        <f>IFERROR(INDEX(Targets!$B$2:$B$9,MATCH($B75,Targets!$A$2:$A$9,0)),0)</f>
        <v>1250000</v>
      </c>
      <c r="Q75" s="5" t="str">
        <f t="shared" si="2"/>
        <v>No</v>
      </c>
      <c r="R75" s="5" t="str">
        <f t="shared" si="3"/>
        <v>Jan</v>
      </c>
    </row>
    <row r="76" spans="1:18" ht="15" customHeight="1" x14ac:dyDescent="0.3">
      <c r="A76" s="5" t="str">
        <f>Sales_Data!A73</f>
        <v>2025-01-27</v>
      </c>
      <c r="B76" s="5" t="str">
        <f>Sales_Data!B73</f>
        <v>Ahmedabad West</v>
      </c>
      <c r="C76" s="5" t="str">
        <f>Sales_Data!C73</f>
        <v>E037</v>
      </c>
      <c r="D76" s="5" t="str">
        <f>IFERROR(INDEX(Employee_Master!$B$2:$B$44,MATCH($C76,Employee_Master!$A$2:$A$44,0)),"Not Found")</f>
        <v>Thomas Harris</v>
      </c>
      <c r="E76" s="5" t="str">
        <f>IFERROR(INDEX(Employee_Master!$C$2:$C$44,MATCH($C76,Employee_Master!$A$2:$A$44,0)),"Not Found")</f>
        <v>Customer Support</v>
      </c>
      <c r="F76" s="5" t="str">
        <f>IFERROR(INDEX(Employee_Master!$D$2:$D$44,MATCH($C76,Employee_Master!$A$2:$A$44,0)),"Not Found")</f>
        <v>Joseph Brown</v>
      </c>
      <c r="G76" s="5" t="str">
        <f>IFERROR(INDEX(Employee_Master!$E$2:$E$44,MATCH($C76,Employee_Master!$A$2:$A$44,0)),"Not Found")</f>
        <v>West</v>
      </c>
      <c r="H76" s="5" t="str">
        <f>Sales_Data!D73</f>
        <v>P004 - Power Bank</v>
      </c>
      <c r="I76" s="5" t="str">
        <f>IFERROR(INDEX(Product_Master!$B$2:$B$30,MATCH($H76,Product_Master!$A$2:$A$30,0)),"Invalid Product Code")</f>
        <v>Electronics</v>
      </c>
      <c r="J76" s="5">
        <f>IFERROR(INDEX(Product_Master!$C$2:$C$30,MATCH($H76,Product_Master!$A$2:$A$30,0)),0)</f>
        <v>76.91</v>
      </c>
      <c r="K76" s="5">
        <f>Sales_Data!E73</f>
        <v>9</v>
      </c>
      <c r="L76" s="5">
        <f>Sales_Data!F73</f>
        <v>748.94</v>
      </c>
      <c r="M76" s="5">
        <f>Sales_Data!G73</f>
        <v>701.53</v>
      </c>
      <c r="N76" s="5" t="str">
        <f>IFERROR(INDEX(Branch_Master!$B$2:$B$9,MATCH($B76,Branch_Master!$A$2:$A$9,0)),"Not Found")</f>
        <v>Ahmedabad</v>
      </c>
      <c r="O76" s="5" t="str">
        <f>IFERROR(INDEX(Branch_Master!$C$2:$C$9,MATCH($B76,Branch_Master!$A$2:$A$9,0)),"Not Found")</f>
        <v>Gujarat</v>
      </c>
      <c r="P76" s="5">
        <f>IFERROR(INDEX(Targets!$B$2:$B$9,MATCH($B76,Targets!$A$2:$A$9,0)),0)</f>
        <v>1590000</v>
      </c>
      <c r="Q76" s="5" t="str">
        <f t="shared" si="2"/>
        <v>Yes</v>
      </c>
      <c r="R76" s="5" t="str">
        <f t="shared" si="3"/>
        <v>Jan</v>
      </c>
    </row>
    <row r="77" spans="1:18" ht="15" customHeight="1" x14ac:dyDescent="0.3">
      <c r="A77" s="5" t="str">
        <f>Sales_Data!A74</f>
        <v>2025-01-27</v>
      </c>
      <c r="B77" s="5" t="str">
        <f>Sales_Data!B74</f>
        <v>Hyderabad Hitech</v>
      </c>
      <c r="C77" s="5" t="str">
        <f>Sales_Data!C74</f>
        <v>E011</v>
      </c>
      <c r="D77" s="5" t="str">
        <f>IFERROR(INDEX(Employee_Master!$B$2:$B$44,MATCH($C77,Employee_Master!$A$2:$A$44,0)),"Not Found")</f>
        <v>Mark Osborne</v>
      </c>
      <c r="E77" s="5" t="str">
        <f>IFERROR(INDEX(Employee_Master!$C$2:$C$44,MATCH($C77,Employee_Master!$A$2:$A$44,0)),"Not Found")</f>
        <v>Marketing</v>
      </c>
      <c r="F77" s="5" t="str">
        <f>IFERROR(INDEX(Employee_Master!$D$2:$D$44,MATCH($C77,Employee_Master!$A$2:$A$44,0)),"Not Found")</f>
        <v>Anna Turner</v>
      </c>
      <c r="G77" s="5" t="str">
        <f>IFERROR(INDEX(Employee_Master!$E$2:$E$44,MATCH($C77,Employee_Master!$A$2:$A$44,0)),"Not Found")</f>
        <v>South</v>
      </c>
      <c r="H77" s="5" t="str">
        <f>Sales_Data!D74</f>
        <v>P019 - Organic Honey</v>
      </c>
      <c r="I77" s="5" t="str">
        <f>IFERROR(INDEX(Product_Master!$B$2:$B$30,MATCH($H77,Product_Master!$A$2:$A$30,0)),"Invalid Product Code")</f>
        <v>Grocery</v>
      </c>
      <c r="J77" s="5">
        <f>IFERROR(INDEX(Product_Master!$C$2:$C$30,MATCH($H77,Product_Master!$A$2:$A$30,0)),0)</f>
        <v>482.15</v>
      </c>
      <c r="K77" s="5">
        <f>Sales_Data!E74</f>
        <v>6</v>
      </c>
      <c r="L77" s="5">
        <f>Sales_Data!F74</f>
        <v>3022.84</v>
      </c>
      <c r="M77" s="5">
        <f>Sales_Data!G74</f>
        <v>2538.1999999999998</v>
      </c>
      <c r="N77" s="5" t="str">
        <f>IFERROR(INDEX(Branch_Master!$B$2:$B$9,MATCH($B77,Branch_Master!$A$2:$A$9,0)),"Not Found")</f>
        <v>Hyderabad</v>
      </c>
      <c r="O77" s="5" t="str">
        <f>IFERROR(INDEX(Branch_Master!$C$2:$C$9,MATCH($B77,Branch_Master!$A$2:$A$9,0)),"Not Found")</f>
        <v>Telangana</v>
      </c>
      <c r="P77" s="5">
        <f>IFERROR(INDEX(Targets!$B$2:$B$9,MATCH($B77,Targets!$A$2:$A$9,0)),0)</f>
        <v>1210000</v>
      </c>
      <c r="Q77" s="5" t="str">
        <f t="shared" si="2"/>
        <v>Yes</v>
      </c>
      <c r="R77" s="5" t="str">
        <f t="shared" si="3"/>
        <v>Jan</v>
      </c>
    </row>
    <row r="78" spans="1:18" ht="15" customHeight="1" x14ac:dyDescent="0.3">
      <c r="A78" s="5" t="str">
        <f>Sales_Data!A75</f>
        <v>2025-01-27</v>
      </c>
      <c r="B78" s="5" t="str">
        <f>Sales_Data!B75</f>
        <v>Pune East</v>
      </c>
      <c r="C78" s="5" t="str">
        <f>Sales_Data!C75</f>
        <v>E022</v>
      </c>
      <c r="D78" s="5" t="str">
        <f>IFERROR(INDEX(Employee_Master!$B$2:$B$44,MATCH($C78,Employee_Master!$A$2:$A$44,0)),"Not Found")</f>
        <v>Cindy Green PhD</v>
      </c>
      <c r="E78" s="5" t="str">
        <f>IFERROR(INDEX(Employee_Master!$C$2:$C$44,MATCH($C78,Employee_Master!$A$2:$A$44,0)),"Not Found")</f>
        <v>Customer Support</v>
      </c>
      <c r="F78" s="5" t="str">
        <f>IFERROR(INDEX(Employee_Master!$D$2:$D$44,MATCH($C78,Employee_Master!$A$2:$A$44,0)),"Not Found")</f>
        <v>Jordan Matthews</v>
      </c>
      <c r="G78" s="5" t="str">
        <f>IFERROR(INDEX(Employee_Master!$E$2:$E$44,MATCH($C78,Employee_Master!$A$2:$A$44,0)),"Not Found")</f>
        <v>West</v>
      </c>
      <c r="H78" s="5" t="str">
        <f>Sales_Data!D75</f>
        <v>P026 - Yoga Mat</v>
      </c>
      <c r="I78" s="5" t="str">
        <f>IFERROR(INDEX(Product_Master!$B$2:$B$30,MATCH($H78,Product_Master!$A$2:$A$30,0)),"Invalid Product Code")</f>
        <v>Sports</v>
      </c>
      <c r="J78" s="5">
        <f>IFERROR(INDEX(Product_Master!$C$2:$C$30,MATCH($H78,Product_Master!$A$2:$A$30,0)),0)</f>
        <v>518.76</v>
      </c>
      <c r="K78" s="5">
        <f>Sales_Data!E75</f>
        <v>10</v>
      </c>
      <c r="L78" s="5">
        <f>Sales_Data!F75</f>
        <v>4968.99</v>
      </c>
      <c r="M78" s="5">
        <f>Sales_Data!G75</f>
        <v>5173.96</v>
      </c>
      <c r="N78" s="5" t="str">
        <f>IFERROR(INDEX(Branch_Master!$B$2:$B$9,MATCH($B78,Branch_Master!$A$2:$A$9,0)),"Not Found")</f>
        <v>Pune</v>
      </c>
      <c r="O78" s="5" t="str">
        <f>IFERROR(INDEX(Branch_Master!$C$2:$C$9,MATCH($B78,Branch_Master!$A$2:$A$9,0)),"Not Found")</f>
        <v>Maharashtra</v>
      </c>
      <c r="P78" s="5">
        <f>IFERROR(INDEX(Targets!$B$2:$B$9,MATCH($B78,Targets!$A$2:$A$9,0)),0)</f>
        <v>1250000</v>
      </c>
      <c r="Q78" s="5" t="str">
        <f t="shared" si="2"/>
        <v>No</v>
      </c>
      <c r="R78" s="5" t="str">
        <f t="shared" si="3"/>
        <v>Jan</v>
      </c>
    </row>
    <row r="79" spans="1:18" ht="15" customHeight="1" x14ac:dyDescent="0.3">
      <c r="A79" s="5" t="str">
        <f>Sales_Data!A76</f>
        <v>2025-01-28</v>
      </c>
      <c r="B79" s="5" t="str">
        <f>Sales_Data!B76</f>
        <v>Mumbai Central</v>
      </c>
      <c r="C79" s="5" t="str">
        <f>Sales_Data!C76</f>
        <v>E027</v>
      </c>
      <c r="D79" s="5" t="str">
        <f>IFERROR(INDEX(Employee_Master!$B$2:$B$44,MATCH($C79,Employee_Master!$A$2:$A$44,0)),"Not Found")</f>
        <v>Catherine Moore</v>
      </c>
      <c r="E79" s="5" t="str">
        <f>IFERROR(INDEX(Employee_Master!$C$2:$C$44,MATCH($C79,Employee_Master!$A$2:$A$44,0)),"Not Found")</f>
        <v>Customer Support</v>
      </c>
      <c r="F79" s="5" t="str">
        <f>IFERROR(INDEX(Employee_Master!$D$2:$D$44,MATCH($C79,Employee_Master!$A$2:$A$44,0)),"Not Found")</f>
        <v>Justin Glass</v>
      </c>
      <c r="G79" s="5" t="str">
        <f>IFERROR(INDEX(Employee_Master!$E$2:$E$44,MATCH($C79,Employee_Master!$A$2:$A$44,0)),"Not Found")</f>
        <v>West</v>
      </c>
      <c r="H79" s="5" t="str">
        <f>Sales_Data!D76</f>
        <v>P020 - Green Tea Pack</v>
      </c>
      <c r="I79" s="5" t="str">
        <f>IFERROR(INDEX(Product_Master!$B$2:$B$30,MATCH($H79,Product_Master!$A$2:$A$30,0)),"Invalid Product Code")</f>
        <v>Grocery</v>
      </c>
      <c r="J79" s="5">
        <f>IFERROR(INDEX(Product_Master!$C$2:$C$30,MATCH($H79,Product_Master!$A$2:$A$30,0)),0)</f>
        <v>305.39</v>
      </c>
      <c r="K79" s="5">
        <f>Sales_Data!E76</f>
        <v>8</v>
      </c>
      <c r="L79" s="5">
        <f>Sales_Data!F76</f>
        <v>2593.66</v>
      </c>
      <c r="M79" s="5">
        <f>Sales_Data!G76</f>
        <v>2780.03</v>
      </c>
      <c r="N79" s="5" t="str">
        <f>IFERROR(INDEX(Branch_Master!$B$2:$B$9,MATCH($B79,Branch_Master!$A$2:$A$9,0)),"Not Found")</f>
        <v>Mumbai</v>
      </c>
      <c r="O79" s="5" t="str">
        <f>IFERROR(INDEX(Branch_Master!$C$2:$C$9,MATCH($B79,Branch_Master!$A$2:$A$9,0)),"Not Found")</f>
        <v>Maharashtra</v>
      </c>
      <c r="P79" s="5">
        <f>IFERROR(INDEX(Targets!$B$2:$B$9,MATCH($B79,Targets!$A$2:$A$9,0)),0)</f>
        <v>900000</v>
      </c>
      <c r="Q79" s="5" t="str">
        <f t="shared" si="2"/>
        <v>No</v>
      </c>
      <c r="R79" s="5" t="str">
        <f t="shared" si="3"/>
        <v>Jan</v>
      </c>
    </row>
    <row r="80" spans="1:18" ht="15" customHeight="1" x14ac:dyDescent="0.3">
      <c r="A80" s="5" t="str">
        <f>Sales_Data!A77</f>
        <v>2025-01-28</v>
      </c>
      <c r="B80" s="5" t="str">
        <f>Sales_Data!B77</f>
        <v>Delhi NCR</v>
      </c>
      <c r="C80" s="5" t="str">
        <f>Sales_Data!C77</f>
        <v>E031</v>
      </c>
      <c r="D80" s="5" t="str">
        <f>IFERROR(INDEX(Employee_Master!$B$2:$B$44,MATCH($C80,Employee_Master!$A$2:$A$44,0)),"Not Found")</f>
        <v>Jennifer Garcia</v>
      </c>
      <c r="E80" s="5" t="str">
        <f>IFERROR(INDEX(Employee_Master!$C$2:$C$44,MATCH($C80,Employee_Master!$A$2:$A$44,0)),"Not Found")</f>
        <v>Sales</v>
      </c>
      <c r="F80" s="5" t="str">
        <f>IFERROR(INDEX(Employee_Master!$D$2:$D$44,MATCH($C80,Employee_Master!$A$2:$A$44,0)),"Not Found")</f>
        <v>William Oconnell</v>
      </c>
      <c r="G80" s="5" t="str">
        <f>IFERROR(INDEX(Employee_Master!$E$2:$E$44,MATCH($C80,Employee_Master!$A$2:$A$44,0)),"Not Found")</f>
        <v>North</v>
      </c>
      <c r="H80" s="5" t="str">
        <f>Sales_Data!D77</f>
        <v>P013 - Mixer Grinder</v>
      </c>
      <c r="I80" s="5" t="str">
        <f>IFERROR(INDEX(Product_Master!$B$2:$B$30,MATCH($H80,Product_Master!$A$2:$A$30,0)),"Invalid Product Code")</f>
        <v>Home &amp; Kitchen</v>
      </c>
      <c r="J80" s="5">
        <f>IFERROR(INDEX(Product_Master!$C$2:$C$30,MATCH($H80,Product_Master!$A$2:$A$30,0)),0)</f>
        <v>798.53</v>
      </c>
      <c r="K80" s="5">
        <f>Sales_Data!E77</f>
        <v>9</v>
      </c>
      <c r="L80" s="5">
        <f>Sales_Data!F77</f>
        <v>7530.97</v>
      </c>
      <c r="M80" s="5">
        <f>Sales_Data!G77</f>
        <v>7604.64</v>
      </c>
      <c r="N80" s="5" t="str">
        <f>IFERROR(INDEX(Branch_Master!$B$2:$B$9,MATCH($B80,Branch_Master!$A$2:$A$9,0)),"Not Found")</f>
        <v>New Delhi</v>
      </c>
      <c r="O80" s="5" t="str">
        <f>IFERROR(INDEX(Branch_Master!$C$2:$C$9,MATCH($B80,Branch_Master!$A$2:$A$9,0)),"Not Found")</f>
        <v>Delhi</v>
      </c>
      <c r="P80" s="5">
        <f>IFERROR(INDEX(Targets!$B$2:$B$9,MATCH($B80,Targets!$A$2:$A$9,0)),0)</f>
        <v>2070000</v>
      </c>
      <c r="Q80" s="5" t="str">
        <f t="shared" si="2"/>
        <v>No</v>
      </c>
      <c r="R80" s="5" t="str">
        <f t="shared" si="3"/>
        <v>Jan</v>
      </c>
    </row>
    <row r="81" spans="1:18" ht="15" customHeight="1" x14ac:dyDescent="0.3">
      <c r="A81" s="5" t="str">
        <f>Sales_Data!A78</f>
        <v>2025-01-28</v>
      </c>
      <c r="B81" s="5" t="str">
        <f>Sales_Data!B78</f>
        <v>Pune East</v>
      </c>
      <c r="C81" s="5" t="str">
        <f>Sales_Data!C78</f>
        <v>E022</v>
      </c>
      <c r="D81" s="5" t="str">
        <f>IFERROR(INDEX(Employee_Master!$B$2:$B$44,MATCH($C81,Employee_Master!$A$2:$A$44,0)),"Not Found")</f>
        <v>Cindy Green PhD</v>
      </c>
      <c r="E81" s="5" t="str">
        <f>IFERROR(INDEX(Employee_Master!$C$2:$C$44,MATCH($C81,Employee_Master!$A$2:$A$44,0)),"Not Found")</f>
        <v>Customer Support</v>
      </c>
      <c r="F81" s="5" t="str">
        <f>IFERROR(INDEX(Employee_Master!$D$2:$D$44,MATCH($C81,Employee_Master!$A$2:$A$44,0)),"Not Found")</f>
        <v>Jordan Matthews</v>
      </c>
      <c r="G81" s="5" t="str">
        <f>IFERROR(INDEX(Employee_Master!$E$2:$E$44,MATCH($C81,Employee_Master!$A$2:$A$44,0)),"Not Found")</f>
        <v>West</v>
      </c>
      <c r="H81" s="5" t="str">
        <f>Sales_Data!D78</f>
        <v>P009 - Formal Shirt</v>
      </c>
      <c r="I81" s="5" t="str">
        <f>IFERROR(INDEX(Product_Master!$B$2:$B$30,MATCH($H81,Product_Master!$A$2:$A$30,0)),"Invalid Product Code")</f>
        <v>Apparel</v>
      </c>
      <c r="J81" s="5">
        <f>IFERROR(INDEX(Product_Master!$C$2:$C$30,MATCH($H81,Product_Master!$A$2:$A$30,0)),0)</f>
        <v>661.65</v>
      </c>
      <c r="K81" s="5">
        <f>Sales_Data!E78</f>
        <v>10</v>
      </c>
      <c r="L81" s="5">
        <f>Sales_Data!F78</f>
        <v>6312.3</v>
      </c>
      <c r="M81" s="5">
        <f>Sales_Data!G78</f>
        <v>7203.35</v>
      </c>
      <c r="N81" s="5" t="str">
        <f>IFERROR(INDEX(Branch_Master!$B$2:$B$9,MATCH($B81,Branch_Master!$A$2:$A$9,0)),"Not Found")</f>
        <v>Pune</v>
      </c>
      <c r="O81" s="5" t="str">
        <f>IFERROR(INDEX(Branch_Master!$C$2:$C$9,MATCH($B81,Branch_Master!$A$2:$A$9,0)),"Not Found")</f>
        <v>Maharashtra</v>
      </c>
      <c r="P81" s="5">
        <f>IFERROR(INDEX(Targets!$B$2:$B$9,MATCH($B81,Targets!$A$2:$A$9,0)),0)</f>
        <v>1250000</v>
      </c>
      <c r="Q81" s="5" t="str">
        <f t="shared" si="2"/>
        <v>No</v>
      </c>
      <c r="R81" s="5" t="str">
        <f t="shared" si="3"/>
        <v>Jan</v>
      </c>
    </row>
    <row r="82" spans="1:18" ht="15" customHeight="1" x14ac:dyDescent="0.3">
      <c r="A82" s="5" t="str">
        <f>Sales_Data!A79</f>
        <v>2025-01-29</v>
      </c>
      <c r="B82" s="5" t="str">
        <f>Sales_Data!B79</f>
        <v>Pune East</v>
      </c>
      <c r="C82" s="5" t="str">
        <f>Sales_Data!C79</f>
        <v>E022</v>
      </c>
      <c r="D82" s="5" t="str">
        <f>IFERROR(INDEX(Employee_Master!$B$2:$B$44,MATCH($C82,Employee_Master!$A$2:$A$44,0)),"Not Found")</f>
        <v>Cindy Green PhD</v>
      </c>
      <c r="E82" s="5" t="str">
        <f>IFERROR(INDEX(Employee_Master!$C$2:$C$44,MATCH($C82,Employee_Master!$A$2:$A$44,0)),"Not Found")</f>
        <v>Customer Support</v>
      </c>
      <c r="F82" s="5" t="str">
        <f>IFERROR(INDEX(Employee_Master!$D$2:$D$44,MATCH($C82,Employee_Master!$A$2:$A$44,0)),"Not Found")</f>
        <v>Jordan Matthews</v>
      </c>
      <c r="G82" s="5" t="str">
        <f>IFERROR(INDEX(Employee_Master!$E$2:$E$44,MATCH($C82,Employee_Master!$A$2:$A$44,0)),"Not Found")</f>
        <v>West</v>
      </c>
      <c r="H82" s="5" t="str">
        <f>Sales_Data!D79</f>
        <v>P009 - Formal Shirt</v>
      </c>
      <c r="I82" s="5" t="str">
        <f>IFERROR(INDEX(Product_Master!$B$2:$B$30,MATCH($H82,Product_Master!$A$2:$A$30,0)),"Invalid Product Code")</f>
        <v>Apparel</v>
      </c>
      <c r="J82" s="5">
        <f>IFERROR(INDEX(Product_Master!$C$2:$C$30,MATCH($H82,Product_Master!$A$2:$A$30,0)),0)</f>
        <v>661.65</v>
      </c>
      <c r="K82" s="5">
        <f>Sales_Data!E79</f>
        <v>8</v>
      </c>
      <c r="L82" s="5">
        <f>Sales_Data!F79</f>
        <v>5499.08</v>
      </c>
      <c r="M82" s="5">
        <f>Sales_Data!G79</f>
        <v>5194.12</v>
      </c>
      <c r="N82" s="5" t="str">
        <f>IFERROR(INDEX(Branch_Master!$B$2:$B$9,MATCH($B82,Branch_Master!$A$2:$A$9,0)),"Not Found")</f>
        <v>Pune</v>
      </c>
      <c r="O82" s="5" t="str">
        <f>IFERROR(INDEX(Branch_Master!$C$2:$C$9,MATCH($B82,Branch_Master!$A$2:$A$9,0)),"Not Found")</f>
        <v>Maharashtra</v>
      </c>
      <c r="P82" s="5">
        <f>IFERROR(INDEX(Targets!$B$2:$B$9,MATCH($B82,Targets!$A$2:$A$9,0)),0)</f>
        <v>1250000</v>
      </c>
      <c r="Q82" s="5" t="str">
        <f t="shared" si="2"/>
        <v>Yes</v>
      </c>
      <c r="R82" s="5" t="str">
        <f t="shared" si="3"/>
        <v>Jan</v>
      </c>
    </row>
    <row r="83" spans="1:18" ht="15" customHeight="1" x14ac:dyDescent="0.3">
      <c r="A83" s="5" t="str">
        <f>Sales_Data!A80</f>
        <v>2025-01-29</v>
      </c>
      <c r="B83" s="5" t="str">
        <f>Sales_Data!B80</f>
        <v>Delhi NCR</v>
      </c>
      <c r="C83" s="5" t="str">
        <f>Sales_Data!C80</f>
        <v>E013</v>
      </c>
      <c r="D83" s="5" t="str">
        <f>IFERROR(INDEX(Employee_Master!$B$2:$B$44,MATCH($C83,Employee_Master!$A$2:$A$44,0)),"Not Found")</f>
        <v>Norma Wilson</v>
      </c>
      <c r="E83" s="5" t="str">
        <f>IFERROR(INDEX(Employee_Master!$C$2:$C$44,MATCH($C83,Employee_Master!$A$2:$A$44,0)),"Not Found")</f>
        <v>Customer Support</v>
      </c>
      <c r="F83" s="5" t="str">
        <f>IFERROR(INDEX(Employee_Master!$D$2:$D$44,MATCH($C83,Employee_Master!$A$2:$A$44,0)),"Not Found")</f>
        <v>William Oconnell</v>
      </c>
      <c r="G83" s="5" t="str">
        <f>IFERROR(INDEX(Employee_Master!$E$2:$E$44,MATCH($C83,Employee_Master!$A$2:$A$44,0)),"Not Found")</f>
        <v>North</v>
      </c>
      <c r="H83" s="5" t="str">
        <f>Sales_Data!D80</f>
        <v>P016 - Dinner Set</v>
      </c>
      <c r="I83" s="5" t="str">
        <f>IFERROR(INDEX(Product_Master!$B$2:$B$30,MATCH($H83,Product_Master!$A$2:$A$30,0)),"Invalid Product Code")</f>
        <v>Home &amp; Kitchen</v>
      </c>
      <c r="J83" s="5">
        <f>IFERROR(INDEX(Product_Master!$C$2:$C$30,MATCH($H83,Product_Master!$A$2:$A$30,0)),0)</f>
        <v>225.06</v>
      </c>
      <c r="K83" s="5">
        <f>Sales_Data!E80</f>
        <v>2</v>
      </c>
      <c r="L83" s="5">
        <f>Sales_Data!F80</f>
        <v>451.58</v>
      </c>
      <c r="M83" s="5">
        <f>Sales_Data!G80</f>
        <v>484.39</v>
      </c>
      <c r="N83" s="5" t="str">
        <f>IFERROR(INDEX(Branch_Master!$B$2:$B$9,MATCH($B83,Branch_Master!$A$2:$A$9,0)),"Not Found")</f>
        <v>New Delhi</v>
      </c>
      <c r="O83" s="5" t="str">
        <f>IFERROR(INDEX(Branch_Master!$C$2:$C$9,MATCH($B83,Branch_Master!$A$2:$A$9,0)),"Not Found")</f>
        <v>Delhi</v>
      </c>
      <c r="P83" s="5">
        <f>IFERROR(INDEX(Targets!$B$2:$B$9,MATCH($B83,Targets!$A$2:$A$9,0)),0)</f>
        <v>2070000</v>
      </c>
      <c r="Q83" s="5" t="str">
        <f t="shared" si="2"/>
        <v>No</v>
      </c>
      <c r="R83" s="5" t="str">
        <f t="shared" si="3"/>
        <v>Jan</v>
      </c>
    </row>
    <row r="84" spans="1:18" ht="15" customHeight="1" x14ac:dyDescent="0.3">
      <c r="A84" s="5" t="str">
        <f>Sales_Data!A81</f>
        <v>2025-01-29</v>
      </c>
      <c r="B84" s="5" t="str">
        <f>Sales_Data!B81</f>
        <v>Hyderabad Hitech</v>
      </c>
      <c r="C84" s="5" t="str">
        <f>Sales_Data!C81</f>
        <v>E026</v>
      </c>
      <c r="D84" s="5" t="str">
        <f>IFERROR(INDEX(Employee_Master!$B$2:$B$44,MATCH($C84,Employee_Master!$A$2:$A$44,0)),"Not Found")</f>
        <v>Karen Andrews</v>
      </c>
      <c r="E84" s="5" t="str">
        <f>IFERROR(INDEX(Employee_Master!$C$2:$C$44,MATCH($C84,Employee_Master!$A$2:$A$44,0)),"Not Found")</f>
        <v>Marketing</v>
      </c>
      <c r="F84" s="5" t="str">
        <f>IFERROR(INDEX(Employee_Master!$D$2:$D$44,MATCH($C84,Employee_Master!$A$2:$A$44,0)),"Not Found")</f>
        <v>Anna Turner</v>
      </c>
      <c r="G84" s="5" t="str">
        <f>IFERROR(INDEX(Employee_Master!$E$2:$E$44,MATCH($C84,Employee_Master!$A$2:$A$44,0)),"Not Found")</f>
        <v>South</v>
      </c>
      <c r="H84" s="5" t="str">
        <f>Sales_Data!D81</f>
        <v>P026 - Yoga Mat</v>
      </c>
      <c r="I84" s="5" t="str">
        <f>IFERROR(INDEX(Product_Master!$B$2:$B$30,MATCH($H84,Product_Master!$A$2:$A$30,0)),"Invalid Product Code")</f>
        <v>Sports</v>
      </c>
      <c r="J84" s="5">
        <f>IFERROR(INDEX(Product_Master!$C$2:$C$30,MATCH($H84,Product_Master!$A$2:$A$30,0)),0)</f>
        <v>518.76</v>
      </c>
      <c r="K84" s="5">
        <f>Sales_Data!E81</f>
        <v>6</v>
      </c>
      <c r="L84" s="5">
        <f>Sales_Data!F81</f>
        <v>3304.64</v>
      </c>
      <c r="M84" s="5">
        <f>Sales_Data!G81</f>
        <v>2724.69</v>
      </c>
      <c r="N84" s="5" t="str">
        <f>IFERROR(INDEX(Branch_Master!$B$2:$B$9,MATCH($B84,Branch_Master!$A$2:$A$9,0)),"Not Found")</f>
        <v>Hyderabad</v>
      </c>
      <c r="O84" s="5" t="str">
        <f>IFERROR(INDEX(Branch_Master!$C$2:$C$9,MATCH($B84,Branch_Master!$A$2:$A$9,0)),"Not Found")</f>
        <v>Telangana</v>
      </c>
      <c r="P84" s="5">
        <f>IFERROR(INDEX(Targets!$B$2:$B$9,MATCH($B84,Targets!$A$2:$A$9,0)),0)</f>
        <v>1210000</v>
      </c>
      <c r="Q84" s="5" t="str">
        <f t="shared" si="2"/>
        <v>Yes</v>
      </c>
      <c r="R84" s="5" t="str">
        <f t="shared" si="3"/>
        <v>Jan</v>
      </c>
    </row>
    <row r="85" spans="1:18" ht="15" customHeight="1" x14ac:dyDescent="0.3">
      <c r="A85" s="5" t="str">
        <f>Sales_Data!A82</f>
        <v>2025-01-29</v>
      </c>
      <c r="B85" s="5" t="str">
        <f>Sales_Data!B82</f>
        <v>Bangalore North</v>
      </c>
      <c r="C85" s="5" t="str">
        <f>Sales_Data!C82</f>
        <v>E003</v>
      </c>
      <c r="D85" s="5" t="str">
        <f>IFERROR(INDEX(Employee_Master!$B$2:$B$44,MATCH($C85,Employee_Master!$A$2:$A$44,0)),"Not Found")</f>
        <v>Margaret Porter</v>
      </c>
      <c r="E85" s="5" t="str">
        <f>IFERROR(INDEX(Employee_Master!$C$2:$C$44,MATCH($C85,Employee_Master!$A$2:$A$44,0)),"Not Found")</f>
        <v>Customer Support</v>
      </c>
      <c r="F85" s="5" t="str">
        <f>IFERROR(INDEX(Employee_Master!$D$2:$D$44,MATCH($C85,Employee_Master!$A$2:$A$44,0)),"Not Found")</f>
        <v>Jose Soto</v>
      </c>
      <c r="G85" s="5" t="str">
        <f>IFERROR(INDEX(Employee_Master!$E$2:$E$44,MATCH($C85,Employee_Master!$A$2:$A$44,0)),"Not Found")</f>
        <v>South</v>
      </c>
      <c r="H85" s="5" t="str">
        <f>Sales_Data!D82</f>
        <v>P015 - Water Bottle</v>
      </c>
      <c r="I85" s="5" t="str">
        <f>IFERROR(INDEX(Product_Master!$B$2:$B$30,MATCH($H85,Product_Master!$A$2:$A$30,0)),"Invalid Product Code")</f>
        <v>Home &amp; Kitchen</v>
      </c>
      <c r="J85" s="5">
        <f>IFERROR(INDEX(Product_Master!$C$2:$C$30,MATCH($H85,Product_Master!$A$2:$A$30,0)),0)</f>
        <v>197.57</v>
      </c>
      <c r="K85" s="5">
        <f>Sales_Data!E82</f>
        <v>12</v>
      </c>
      <c r="L85" s="5">
        <f>Sales_Data!F82</f>
        <v>2560.67</v>
      </c>
      <c r="M85" s="5">
        <f>Sales_Data!G82</f>
        <v>2494.73</v>
      </c>
      <c r="N85" s="5" t="str">
        <f>IFERROR(INDEX(Branch_Master!$B$2:$B$9,MATCH($B85,Branch_Master!$A$2:$A$9,0)),"Not Found")</f>
        <v>Bangalore</v>
      </c>
      <c r="O85" s="5" t="str">
        <f>IFERROR(INDEX(Branch_Master!$C$2:$C$9,MATCH($B85,Branch_Master!$A$2:$A$9,0)),"Not Found")</f>
        <v>Karnataka</v>
      </c>
      <c r="P85" s="5">
        <f>IFERROR(INDEX(Targets!$B$2:$B$9,MATCH($B85,Targets!$A$2:$A$9,0)),0)</f>
        <v>900000</v>
      </c>
      <c r="Q85" s="5" t="str">
        <f t="shared" si="2"/>
        <v>Yes</v>
      </c>
      <c r="R85" s="5" t="str">
        <f t="shared" si="3"/>
        <v>Jan</v>
      </c>
    </row>
    <row r="86" spans="1:18" ht="15" customHeight="1" x14ac:dyDescent="0.3">
      <c r="A86" s="5" t="str">
        <f>Sales_Data!A83</f>
        <v>2025-01-30</v>
      </c>
      <c r="B86" s="5" t="str">
        <f>Sales_Data!B83</f>
        <v>Chennai South</v>
      </c>
      <c r="C86" s="5" t="str">
        <f>Sales_Data!C83</f>
        <v>E032</v>
      </c>
      <c r="D86" s="5" t="str">
        <f>IFERROR(INDEX(Employee_Master!$B$2:$B$44,MATCH($C86,Employee_Master!$A$2:$A$44,0)),"Not Found")</f>
        <v>Victor Allen</v>
      </c>
      <c r="E86" s="5" t="str">
        <f>IFERROR(INDEX(Employee_Master!$C$2:$C$44,MATCH($C86,Employee_Master!$A$2:$A$44,0)),"Not Found")</f>
        <v>Operations</v>
      </c>
      <c r="F86" s="5" t="str">
        <f>IFERROR(INDEX(Employee_Master!$D$2:$D$44,MATCH($C86,Employee_Master!$A$2:$A$44,0)),"Not Found")</f>
        <v>Robert Steele</v>
      </c>
      <c r="G86" s="5" t="str">
        <f>IFERROR(INDEX(Employee_Master!$E$2:$E$44,MATCH($C86,Employee_Master!$A$2:$A$44,0)),"Not Found")</f>
        <v>South</v>
      </c>
      <c r="H86" s="5" t="str">
        <f>Sales_Data!D83</f>
        <v>P015 - Water Bottle</v>
      </c>
      <c r="I86" s="5" t="str">
        <f>IFERROR(INDEX(Product_Master!$B$2:$B$30,MATCH($H86,Product_Master!$A$2:$A$30,0)),"Invalid Product Code")</f>
        <v>Home &amp; Kitchen</v>
      </c>
      <c r="J86" s="5">
        <f>IFERROR(INDEX(Product_Master!$C$2:$C$30,MATCH($H86,Product_Master!$A$2:$A$30,0)),0)</f>
        <v>197.57</v>
      </c>
      <c r="K86" s="5">
        <f>Sales_Data!E83</f>
        <v>2</v>
      </c>
      <c r="L86" s="5">
        <f>Sales_Data!F83</f>
        <v>406.73</v>
      </c>
      <c r="M86" s="5">
        <f>Sales_Data!G83</f>
        <v>353.23</v>
      </c>
      <c r="N86" s="5" t="str">
        <f>IFERROR(INDEX(Branch_Master!$B$2:$B$9,MATCH($B86,Branch_Master!$A$2:$A$9,0)),"Not Found")</f>
        <v>Chennai</v>
      </c>
      <c r="O86" s="5" t="str">
        <f>IFERROR(INDEX(Branch_Master!$C$2:$C$9,MATCH($B86,Branch_Master!$A$2:$A$9,0)),"Not Found")</f>
        <v>Tamil Nadu</v>
      </c>
      <c r="P86" s="5">
        <f>IFERROR(INDEX(Targets!$B$2:$B$9,MATCH($B86,Targets!$A$2:$A$9,0)),0)</f>
        <v>1910000</v>
      </c>
      <c r="Q86" s="5" t="str">
        <f t="shared" si="2"/>
        <v>Yes</v>
      </c>
      <c r="R86" s="5" t="str">
        <f t="shared" si="3"/>
        <v>Jan</v>
      </c>
    </row>
    <row r="87" spans="1:18" ht="15" customHeight="1" x14ac:dyDescent="0.3">
      <c r="A87" s="5" t="str">
        <f>Sales_Data!A84</f>
        <v>2025-01-30</v>
      </c>
      <c r="B87" s="5" t="str">
        <f>Sales_Data!B84</f>
        <v>Delhi NCR</v>
      </c>
      <c r="C87" s="5" t="str">
        <f>Sales_Data!C84</f>
        <v>E013</v>
      </c>
      <c r="D87" s="5" t="str">
        <f>IFERROR(INDEX(Employee_Master!$B$2:$B$44,MATCH($C87,Employee_Master!$A$2:$A$44,0)),"Not Found")</f>
        <v>Norma Wilson</v>
      </c>
      <c r="E87" s="5" t="str">
        <f>IFERROR(INDEX(Employee_Master!$C$2:$C$44,MATCH($C87,Employee_Master!$A$2:$A$44,0)),"Not Found")</f>
        <v>Customer Support</v>
      </c>
      <c r="F87" s="5" t="str">
        <f>IFERROR(INDEX(Employee_Master!$D$2:$D$44,MATCH($C87,Employee_Master!$A$2:$A$44,0)),"Not Found")</f>
        <v>William Oconnell</v>
      </c>
      <c r="G87" s="5" t="str">
        <f>IFERROR(INDEX(Employee_Master!$E$2:$E$44,MATCH($C87,Employee_Master!$A$2:$A$44,0)),"Not Found")</f>
        <v>North</v>
      </c>
      <c r="H87" s="5" t="str">
        <f>Sales_Data!D84</f>
        <v>P009 - Formal Shirt</v>
      </c>
      <c r="I87" s="5" t="str">
        <f>IFERROR(INDEX(Product_Master!$B$2:$B$30,MATCH($H87,Product_Master!$A$2:$A$30,0)),"Invalid Product Code")</f>
        <v>Apparel</v>
      </c>
      <c r="J87" s="5">
        <f>IFERROR(INDEX(Product_Master!$C$2:$C$30,MATCH($H87,Product_Master!$A$2:$A$30,0)),0)</f>
        <v>661.65</v>
      </c>
      <c r="K87" s="5">
        <f>Sales_Data!E84</f>
        <v>4</v>
      </c>
      <c r="L87" s="5">
        <f>Sales_Data!F84</f>
        <v>2658.54</v>
      </c>
      <c r="M87" s="5">
        <f>Sales_Data!G84</f>
        <v>2636.95</v>
      </c>
      <c r="N87" s="5" t="str">
        <f>IFERROR(INDEX(Branch_Master!$B$2:$B$9,MATCH($B87,Branch_Master!$A$2:$A$9,0)),"Not Found")</f>
        <v>New Delhi</v>
      </c>
      <c r="O87" s="5" t="str">
        <f>IFERROR(INDEX(Branch_Master!$C$2:$C$9,MATCH($B87,Branch_Master!$A$2:$A$9,0)),"Not Found")</f>
        <v>Delhi</v>
      </c>
      <c r="P87" s="5">
        <f>IFERROR(INDEX(Targets!$B$2:$B$9,MATCH($B87,Targets!$A$2:$A$9,0)),0)</f>
        <v>2070000</v>
      </c>
      <c r="Q87" s="5" t="str">
        <f t="shared" si="2"/>
        <v>Yes</v>
      </c>
      <c r="R87" s="5" t="str">
        <f t="shared" si="3"/>
        <v>Jan</v>
      </c>
    </row>
    <row r="88" spans="1:18" ht="15" customHeight="1" x14ac:dyDescent="0.3">
      <c r="A88" s="5" t="str">
        <f>Sales_Data!A85</f>
        <v>2025-01-30</v>
      </c>
      <c r="B88" s="5" t="str">
        <f>Sales_Data!B85</f>
        <v>Hyderabad Hitech</v>
      </c>
      <c r="C88" s="5" t="str">
        <f>Sales_Data!C85</f>
        <v>E030</v>
      </c>
      <c r="D88" s="5" t="str">
        <f>IFERROR(INDEX(Employee_Master!$B$2:$B$44,MATCH($C88,Employee_Master!$A$2:$A$44,0)),"Not Found")</f>
        <v>Travis Khan</v>
      </c>
      <c r="E88" s="5" t="str">
        <f>IFERROR(INDEX(Employee_Master!$C$2:$C$44,MATCH($C88,Employee_Master!$A$2:$A$44,0)),"Not Found")</f>
        <v>Operations</v>
      </c>
      <c r="F88" s="5" t="str">
        <f>IFERROR(INDEX(Employee_Master!$D$2:$D$44,MATCH($C88,Employee_Master!$A$2:$A$44,0)),"Not Found")</f>
        <v>Anna Turner</v>
      </c>
      <c r="G88" s="5" t="str">
        <f>IFERROR(INDEX(Employee_Master!$E$2:$E$44,MATCH($C88,Employee_Master!$A$2:$A$44,0)),"Not Found")</f>
        <v>South</v>
      </c>
      <c r="H88" s="5" t="str">
        <f>Sales_Data!D85</f>
        <v>P020 - Green Tea Pack</v>
      </c>
      <c r="I88" s="5" t="str">
        <f>IFERROR(INDEX(Product_Master!$B$2:$B$30,MATCH($H88,Product_Master!$A$2:$A$30,0)),"Invalid Product Code")</f>
        <v>Grocery</v>
      </c>
      <c r="J88" s="5">
        <f>IFERROR(INDEX(Product_Master!$C$2:$C$30,MATCH($H88,Product_Master!$A$2:$A$30,0)),0)</f>
        <v>305.39</v>
      </c>
      <c r="K88" s="5">
        <f>Sales_Data!E85</f>
        <v>11</v>
      </c>
      <c r="L88" s="5">
        <f>Sales_Data!F85</f>
        <v>3579.07</v>
      </c>
      <c r="M88" s="5">
        <f>Sales_Data!G85</f>
        <v>3109.8</v>
      </c>
      <c r="N88" s="5" t="str">
        <f>IFERROR(INDEX(Branch_Master!$B$2:$B$9,MATCH($B88,Branch_Master!$A$2:$A$9,0)),"Not Found")</f>
        <v>Hyderabad</v>
      </c>
      <c r="O88" s="5" t="str">
        <f>IFERROR(INDEX(Branch_Master!$C$2:$C$9,MATCH($B88,Branch_Master!$A$2:$A$9,0)),"Not Found")</f>
        <v>Telangana</v>
      </c>
      <c r="P88" s="5">
        <f>IFERROR(INDEX(Targets!$B$2:$B$9,MATCH($B88,Targets!$A$2:$A$9,0)),0)</f>
        <v>1210000</v>
      </c>
      <c r="Q88" s="5" t="str">
        <f t="shared" si="2"/>
        <v>Yes</v>
      </c>
      <c r="R88" s="5" t="str">
        <f t="shared" si="3"/>
        <v>Jan</v>
      </c>
    </row>
    <row r="89" spans="1:18" ht="15" customHeight="1" x14ac:dyDescent="0.3">
      <c r="A89" s="5" t="str">
        <f>Sales_Data!A86</f>
        <v>2025-01-31</v>
      </c>
      <c r="B89" s="5" t="str">
        <f>Sales_Data!B86</f>
        <v>Mumbai Central</v>
      </c>
      <c r="C89" s="5" t="str">
        <f>Sales_Data!C86</f>
        <v>E025</v>
      </c>
      <c r="D89" s="5" t="str">
        <f>IFERROR(INDEX(Employee_Master!$B$2:$B$44,MATCH($C89,Employee_Master!$A$2:$A$44,0)),"Not Found")</f>
        <v>Jacqueline Chavez</v>
      </c>
      <c r="E89" s="5" t="str">
        <f>IFERROR(INDEX(Employee_Master!$C$2:$C$44,MATCH($C89,Employee_Master!$A$2:$A$44,0)),"Not Found")</f>
        <v>Sales</v>
      </c>
      <c r="F89" s="5" t="str">
        <f>IFERROR(INDEX(Employee_Master!$D$2:$D$44,MATCH($C89,Employee_Master!$A$2:$A$44,0)),"Not Found")</f>
        <v>Justin Glass</v>
      </c>
      <c r="G89" s="5" t="str">
        <f>IFERROR(INDEX(Employee_Master!$E$2:$E$44,MATCH($C89,Employee_Master!$A$2:$A$44,0)),"Not Found")</f>
        <v>West</v>
      </c>
      <c r="H89" s="5" t="str">
        <f>Sales_Data!D86</f>
        <v>P002 - Smart Watch</v>
      </c>
      <c r="I89" s="5" t="str">
        <f>IFERROR(INDEX(Product_Master!$B$2:$B$30,MATCH($H89,Product_Master!$A$2:$A$30,0)),"Invalid Product Code")</f>
        <v>Electronics</v>
      </c>
      <c r="J89" s="5">
        <f>IFERROR(INDEX(Product_Master!$C$2:$C$30,MATCH($H89,Product_Master!$A$2:$A$30,0)),0)</f>
        <v>403.33</v>
      </c>
      <c r="K89" s="5">
        <f>Sales_Data!E86</f>
        <v>9</v>
      </c>
      <c r="L89" s="5">
        <f>Sales_Data!F86</f>
        <v>3797.4</v>
      </c>
      <c r="M89" s="5">
        <f>Sales_Data!G86</f>
        <v>3616.82</v>
      </c>
      <c r="N89" s="5" t="str">
        <f>IFERROR(INDEX(Branch_Master!$B$2:$B$9,MATCH($B89,Branch_Master!$A$2:$A$9,0)),"Not Found")</f>
        <v>Mumbai</v>
      </c>
      <c r="O89" s="5" t="str">
        <f>IFERROR(INDEX(Branch_Master!$C$2:$C$9,MATCH($B89,Branch_Master!$A$2:$A$9,0)),"Not Found")</f>
        <v>Maharashtra</v>
      </c>
      <c r="P89" s="5">
        <f>IFERROR(INDEX(Targets!$B$2:$B$9,MATCH($B89,Targets!$A$2:$A$9,0)),0)</f>
        <v>900000</v>
      </c>
      <c r="Q89" s="5" t="str">
        <f t="shared" si="2"/>
        <v>Yes</v>
      </c>
      <c r="R89" s="5" t="str">
        <f t="shared" si="3"/>
        <v>Jan</v>
      </c>
    </row>
    <row r="90" spans="1:18" ht="15" customHeight="1" x14ac:dyDescent="0.3">
      <c r="A90" s="5" t="str">
        <f>Sales_Data!A87</f>
        <v>2025-01-31</v>
      </c>
      <c r="B90" s="5" t="str">
        <f>Sales_Data!B87</f>
        <v>Kolkata Central</v>
      </c>
      <c r="C90" s="5" t="str">
        <f>Sales_Data!C87</f>
        <v>E024</v>
      </c>
      <c r="D90" s="5" t="str">
        <f>IFERROR(INDEX(Employee_Master!$B$2:$B$44,MATCH($C90,Employee_Master!$A$2:$A$44,0)),"Not Found")</f>
        <v>Kevin Sanchez</v>
      </c>
      <c r="E90" s="5" t="str">
        <f>IFERROR(INDEX(Employee_Master!$C$2:$C$44,MATCH($C90,Employee_Master!$A$2:$A$44,0)),"Not Found")</f>
        <v>Sales</v>
      </c>
      <c r="F90" s="5" t="str">
        <f>IFERROR(INDEX(Employee_Master!$D$2:$D$44,MATCH($C90,Employee_Master!$A$2:$A$44,0)),"Not Found")</f>
        <v>Lisa Moore</v>
      </c>
      <c r="G90" s="5" t="str">
        <f>IFERROR(INDEX(Employee_Master!$E$2:$E$44,MATCH($C90,Employee_Master!$A$2:$A$44,0)),"Not Found")</f>
        <v>East</v>
      </c>
      <c r="H90" s="5" t="str">
        <f>Sales_Data!D87</f>
        <v>P015 - Water Bottle</v>
      </c>
      <c r="I90" s="5" t="str">
        <f>IFERROR(INDEX(Product_Master!$B$2:$B$30,MATCH($H90,Product_Master!$A$2:$A$30,0)),"Invalid Product Code")</f>
        <v>Home &amp; Kitchen</v>
      </c>
      <c r="J90" s="5">
        <f>IFERROR(INDEX(Product_Master!$C$2:$C$30,MATCH($H90,Product_Master!$A$2:$A$30,0)),0)</f>
        <v>197.57</v>
      </c>
      <c r="K90" s="5">
        <f>Sales_Data!E87</f>
        <v>3</v>
      </c>
      <c r="L90" s="5">
        <f>Sales_Data!F87</f>
        <v>535.22</v>
      </c>
      <c r="M90" s="5">
        <f>Sales_Data!G87</f>
        <v>539.33000000000004</v>
      </c>
      <c r="N90" s="5" t="str">
        <f>IFERROR(INDEX(Branch_Master!$B$2:$B$9,MATCH($B90,Branch_Master!$A$2:$A$9,0)),"Not Found")</f>
        <v>Kolkata</v>
      </c>
      <c r="O90" s="5" t="str">
        <f>IFERROR(INDEX(Branch_Master!$C$2:$C$9,MATCH($B90,Branch_Master!$A$2:$A$9,0)),"Not Found")</f>
        <v>West Bengal</v>
      </c>
      <c r="P90" s="5">
        <f>IFERROR(INDEX(Targets!$B$2:$B$9,MATCH($B90,Targets!$A$2:$A$9,0)),0)</f>
        <v>1910000</v>
      </c>
      <c r="Q90" s="5" t="str">
        <f t="shared" si="2"/>
        <v>No</v>
      </c>
      <c r="R90" s="5" t="str">
        <f t="shared" si="3"/>
        <v>Jan</v>
      </c>
    </row>
    <row r="91" spans="1:18" ht="15" customHeight="1" x14ac:dyDescent="0.3">
      <c r="A91" s="5" t="str">
        <f>Sales_Data!A88</f>
        <v>2025-02-01</v>
      </c>
      <c r="B91" s="5" t="str">
        <f>Sales_Data!B88</f>
        <v>Kolkata Central</v>
      </c>
      <c r="C91" s="5" t="str">
        <f>Sales_Data!C88</f>
        <v>E018</v>
      </c>
      <c r="D91" s="5" t="str">
        <f>IFERROR(INDEX(Employee_Master!$B$2:$B$44,MATCH($C91,Employee_Master!$A$2:$A$44,0)),"Not Found")</f>
        <v>Daniel Nelson</v>
      </c>
      <c r="E91" s="5" t="str">
        <f>IFERROR(INDEX(Employee_Master!$C$2:$C$44,MATCH($C91,Employee_Master!$A$2:$A$44,0)),"Not Found")</f>
        <v>Sales</v>
      </c>
      <c r="F91" s="5" t="str">
        <f>IFERROR(INDEX(Employee_Master!$D$2:$D$44,MATCH($C91,Employee_Master!$A$2:$A$44,0)),"Not Found")</f>
        <v>Lisa Moore</v>
      </c>
      <c r="G91" s="5" t="str">
        <f>IFERROR(INDEX(Employee_Master!$E$2:$E$44,MATCH($C91,Employee_Master!$A$2:$A$44,0)),"Not Found")</f>
        <v>East</v>
      </c>
      <c r="H91" s="5" t="str">
        <f>Sales_Data!D88</f>
        <v>P016 - Dinner Set</v>
      </c>
      <c r="I91" s="5" t="str">
        <f>IFERROR(INDEX(Product_Master!$B$2:$B$30,MATCH($H91,Product_Master!$A$2:$A$30,0)),"Invalid Product Code")</f>
        <v>Home &amp; Kitchen</v>
      </c>
      <c r="J91" s="5">
        <f>IFERROR(INDEX(Product_Master!$C$2:$C$30,MATCH($H91,Product_Master!$A$2:$A$30,0)),0)</f>
        <v>225.06</v>
      </c>
      <c r="K91" s="5">
        <f>Sales_Data!E88</f>
        <v>4</v>
      </c>
      <c r="L91" s="5">
        <f>Sales_Data!F88</f>
        <v>982.11</v>
      </c>
      <c r="M91" s="5">
        <f>Sales_Data!G88</f>
        <v>1005.15</v>
      </c>
      <c r="N91" s="5" t="str">
        <f>IFERROR(INDEX(Branch_Master!$B$2:$B$9,MATCH($B91,Branch_Master!$A$2:$A$9,0)),"Not Found")</f>
        <v>Kolkata</v>
      </c>
      <c r="O91" s="5" t="str">
        <f>IFERROR(INDEX(Branch_Master!$C$2:$C$9,MATCH($B91,Branch_Master!$A$2:$A$9,0)),"Not Found")</f>
        <v>West Bengal</v>
      </c>
      <c r="P91" s="5">
        <f>IFERROR(INDEX(Targets!$B$2:$B$9,MATCH($B91,Targets!$A$2:$A$9,0)),0)</f>
        <v>1910000</v>
      </c>
      <c r="Q91" s="5" t="str">
        <f t="shared" si="2"/>
        <v>No</v>
      </c>
      <c r="R91" s="5" t="str">
        <f t="shared" si="3"/>
        <v>Feb</v>
      </c>
    </row>
    <row r="92" spans="1:18" ht="15" customHeight="1" x14ac:dyDescent="0.3">
      <c r="A92" s="5" t="str">
        <f>Sales_Data!A89</f>
        <v>2025-02-02</v>
      </c>
      <c r="B92" s="5" t="str">
        <f>Sales_Data!B89</f>
        <v>Kolkata Central</v>
      </c>
      <c r="C92" s="5" t="str">
        <f>Sales_Data!C89</f>
        <v>E018</v>
      </c>
      <c r="D92" s="5" t="str">
        <f>IFERROR(INDEX(Employee_Master!$B$2:$B$44,MATCH($C92,Employee_Master!$A$2:$A$44,0)),"Not Found")</f>
        <v>Daniel Nelson</v>
      </c>
      <c r="E92" s="5" t="str">
        <f>IFERROR(INDEX(Employee_Master!$C$2:$C$44,MATCH($C92,Employee_Master!$A$2:$A$44,0)),"Not Found")</f>
        <v>Sales</v>
      </c>
      <c r="F92" s="5" t="str">
        <f>IFERROR(INDEX(Employee_Master!$D$2:$D$44,MATCH($C92,Employee_Master!$A$2:$A$44,0)),"Not Found")</f>
        <v>Lisa Moore</v>
      </c>
      <c r="G92" s="5" t="str">
        <f>IFERROR(INDEX(Employee_Master!$E$2:$E$44,MATCH($C92,Employee_Master!$A$2:$A$44,0)),"Not Found")</f>
        <v>East</v>
      </c>
      <c r="H92" s="5" t="str">
        <f>Sales_Data!D89</f>
        <v>P006 - Laptop Stand</v>
      </c>
      <c r="I92" s="5" t="str">
        <f>IFERROR(INDEX(Product_Master!$B$2:$B$30,MATCH($H92,Product_Master!$A$2:$A$30,0)),"Invalid Product Code")</f>
        <v>Electronics</v>
      </c>
      <c r="J92" s="5">
        <f>IFERROR(INDEX(Product_Master!$C$2:$C$30,MATCH($H92,Product_Master!$A$2:$A$30,0)),0)</f>
        <v>393.96</v>
      </c>
      <c r="K92" s="5">
        <f>Sales_Data!E89</f>
        <v>9</v>
      </c>
      <c r="L92" s="5">
        <f>Sales_Data!F89</f>
        <v>3428.64</v>
      </c>
      <c r="M92" s="5">
        <f>Sales_Data!G89</f>
        <v>3851.88</v>
      </c>
      <c r="N92" s="5" t="str">
        <f>IFERROR(INDEX(Branch_Master!$B$2:$B$9,MATCH($B92,Branch_Master!$A$2:$A$9,0)),"Not Found")</f>
        <v>Kolkata</v>
      </c>
      <c r="O92" s="5" t="str">
        <f>IFERROR(INDEX(Branch_Master!$C$2:$C$9,MATCH($B92,Branch_Master!$A$2:$A$9,0)),"Not Found")</f>
        <v>West Bengal</v>
      </c>
      <c r="P92" s="5">
        <f>IFERROR(INDEX(Targets!$B$2:$B$9,MATCH($B92,Targets!$A$2:$A$9,0)),0)</f>
        <v>1910000</v>
      </c>
      <c r="Q92" s="5" t="str">
        <f t="shared" si="2"/>
        <v>No</v>
      </c>
      <c r="R92" s="5" t="str">
        <f t="shared" si="3"/>
        <v>Feb</v>
      </c>
    </row>
    <row r="93" spans="1:18" ht="15" customHeight="1" x14ac:dyDescent="0.3">
      <c r="A93" s="5" t="str">
        <f>Sales_Data!A90</f>
        <v>2025-02-02</v>
      </c>
      <c r="B93" s="5" t="str">
        <f>Sales_Data!B90</f>
        <v>Chennai South</v>
      </c>
      <c r="C93" s="5" t="str">
        <f>Sales_Data!C90</f>
        <v>E019</v>
      </c>
      <c r="D93" s="5" t="str">
        <f>IFERROR(INDEX(Employee_Master!$B$2:$B$44,MATCH($C93,Employee_Master!$A$2:$A$44,0)),"Not Found")</f>
        <v>Regina Torres</v>
      </c>
      <c r="E93" s="5" t="str">
        <f>IFERROR(INDEX(Employee_Master!$C$2:$C$44,MATCH($C93,Employee_Master!$A$2:$A$44,0)),"Not Found")</f>
        <v>Operations</v>
      </c>
      <c r="F93" s="5" t="str">
        <f>IFERROR(INDEX(Employee_Master!$D$2:$D$44,MATCH($C93,Employee_Master!$A$2:$A$44,0)),"Not Found")</f>
        <v>Robert Steele</v>
      </c>
      <c r="G93" s="5" t="str">
        <f>IFERROR(INDEX(Employee_Master!$E$2:$E$44,MATCH($C93,Employee_Master!$A$2:$A$44,0)),"Not Found")</f>
        <v>South</v>
      </c>
      <c r="H93" s="5" t="str">
        <f>Sales_Data!D90</f>
        <v>P008 - Denim Jeans</v>
      </c>
      <c r="I93" s="5" t="str">
        <f>IFERROR(INDEX(Product_Master!$B$2:$B$30,MATCH($H93,Product_Master!$A$2:$A$30,0)),"Invalid Product Code")</f>
        <v>Apparel</v>
      </c>
      <c r="J93" s="5">
        <f>IFERROR(INDEX(Product_Master!$C$2:$C$30,MATCH($H93,Product_Master!$A$2:$A$30,0)),0)</f>
        <v>614.48</v>
      </c>
      <c r="K93" s="5">
        <f>Sales_Data!E90</f>
        <v>12</v>
      </c>
      <c r="L93" s="5">
        <f>Sales_Data!F90</f>
        <v>6951.02</v>
      </c>
      <c r="M93" s="5">
        <f>Sales_Data!G90</f>
        <v>8276.4699999999993</v>
      </c>
      <c r="N93" s="5" t="str">
        <f>IFERROR(INDEX(Branch_Master!$B$2:$B$9,MATCH($B93,Branch_Master!$A$2:$A$9,0)),"Not Found")</f>
        <v>Chennai</v>
      </c>
      <c r="O93" s="5" t="str">
        <f>IFERROR(INDEX(Branch_Master!$C$2:$C$9,MATCH($B93,Branch_Master!$A$2:$A$9,0)),"Not Found")</f>
        <v>Tamil Nadu</v>
      </c>
      <c r="P93" s="5">
        <f>IFERROR(INDEX(Targets!$B$2:$B$9,MATCH($B93,Targets!$A$2:$A$9,0)),0)</f>
        <v>1910000</v>
      </c>
      <c r="Q93" s="5" t="str">
        <f t="shared" si="2"/>
        <v>No</v>
      </c>
      <c r="R93" s="5" t="str">
        <f t="shared" si="3"/>
        <v>Feb</v>
      </c>
    </row>
    <row r="94" spans="1:18" ht="15" customHeight="1" x14ac:dyDescent="0.3">
      <c r="A94" s="5" t="str">
        <f>Sales_Data!A91</f>
        <v>2025-02-02</v>
      </c>
      <c r="B94" s="5" t="str">
        <f>Sales_Data!B91</f>
        <v>Bangalore North</v>
      </c>
      <c r="C94" s="5" t="str">
        <f>Sales_Data!C91</f>
        <v>E040</v>
      </c>
      <c r="D94" s="5" t="str">
        <f>IFERROR(INDEX(Employee_Master!$B$2:$B$44,MATCH($C94,Employee_Master!$A$2:$A$44,0)),"Not Found")</f>
        <v>Bonnie Cox</v>
      </c>
      <c r="E94" s="5" t="str">
        <f>IFERROR(INDEX(Employee_Master!$C$2:$C$44,MATCH($C94,Employee_Master!$A$2:$A$44,0)),"Not Found")</f>
        <v>Customer Support</v>
      </c>
      <c r="F94" s="5" t="str">
        <f>IFERROR(INDEX(Employee_Master!$D$2:$D$44,MATCH($C94,Employee_Master!$A$2:$A$44,0)),"Not Found")</f>
        <v>Jose Soto</v>
      </c>
      <c r="G94" s="5" t="str">
        <f>IFERROR(INDEX(Employee_Master!$E$2:$E$44,MATCH($C94,Employee_Master!$A$2:$A$44,0)),"Not Found")</f>
        <v>South</v>
      </c>
      <c r="H94" s="5" t="str">
        <f>Sales_Data!D91</f>
        <v>P012 - Non-Stick Pan</v>
      </c>
      <c r="I94" s="5" t="str">
        <f>IFERROR(INDEX(Product_Master!$B$2:$B$30,MATCH($H94,Product_Master!$A$2:$A$30,0)),"Invalid Product Code")</f>
        <v>Home &amp; Kitchen</v>
      </c>
      <c r="J94" s="5">
        <f>IFERROR(INDEX(Product_Master!$C$2:$C$30,MATCH($H94,Product_Master!$A$2:$A$30,0)),0)</f>
        <v>353.18</v>
      </c>
      <c r="K94" s="5">
        <f>Sales_Data!E91</f>
        <v>3</v>
      </c>
      <c r="L94" s="5">
        <f>Sales_Data!F91</f>
        <v>973.33</v>
      </c>
      <c r="M94" s="5">
        <f>Sales_Data!G91</f>
        <v>1123.3</v>
      </c>
      <c r="N94" s="5" t="str">
        <f>IFERROR(INDEX(Branch_Master!$B$2:$B$9,MATCH($B94,Branch_Master!$A$2:$A$9,0)),"Not Found")</f>
        <v>Bangalore</v>
      </c>
      <c r="O94" s="5" t="str">
        <f>IFERROR(INDEX(Branch_Master!$C$2:$C$9,MATCH($B94,Branch_Master!$A$2:$A$9,0)),"Not Found")</f>
        <v>Karnataka</v>
      </c>
      <c r="P94" s="5">
        <f>IFERROR(INDEX(Targets!$B$2:$B$9,MATCH($B94,Targets!$A$2:$A$9,0)),0)</f>
        <v>900000</v>
      </c>
      <c r="Q94" s="5" t="str">
        <f t="shared" si="2"/>
        <v>No</v>
      </c>
      <c r="R94" s="5" t="str">
        <f t="shared" si="3"/>
        <v>Feb</v>
      </c>
    </row>
    <row r="95" spans="1:18" ht="15" customHeight="1" x14ac:dyDescent="0.3">
      <c r="A95" s="5" t="str">
        <f>Sales_Data!A92</f>
        <v>2025-02-02</v>
      </c>
      <c r="B95" s="5" t="str">
        <f>Sales_Data!B92</f>
        <v>Bangalore North</v>
      </c>
      <c r="C95" s="5" t="str">
        <f>Sales_Data!C92</f>
        <v>E004</v>
      </c>
      <c r="D95" s="5" t="str">
        <f>IFERROR(INDEX(Employee_Master!$B$2:$B$44,MATCH($C95,Employee_Master!$A$2:$A$44,0)),"Not Found")</f>
        <v>Judith Ramirez</v>
      </c>
      <c r="E95" s="5" t="str">
        <f>IFERROR(INDEX(Employee_Master!$C$2:$C$44,MATCH($C95,Employee_Master!$A$2:$A$44,0)),"Not Found")</f>
        <v>Sales</v>
      </c>
      <c r="F95" s="5" t="str">
        <f>IFERROR(INDEX(Employee_Master!$D$2:$D$44,MATCH($C95,Employee_Master!$A$2:$A$44,0)),"Not Found")</f>
        <v>Jose Soto</v>
      </c>
      <c r="G95" s="5" t="str">
        <f>IFERROR(INDEX(Employee_Master!$E$2:$E$44,MATCH($C95,Employee_Master!$A$2:$A$44,0)),"Not Found")</f>
        <v>South</v>
      </c>
      <c r="H95" s="5" t="str">
        <f>Sales_Data!D92</f>
        <v>P011 - Winter Jacket</v>
      </c>
      <c r="I95" s="5" t="str">
        <f>IFERROR(INDEX(Product_Master!$B$2:$B$30,MATCH($H95,Product_Master!$A$2:$A$30,0)),"Invalid Product Code")</f>
        <v>Apparel</v>
      </c>
      <c r="J95" s="5">
        <f>IFERROR(INDEX(Product_Master!$C$2:$C$30,MATCH($H95,Product_Master!$A$2:$A$30,0)),0)</f>
        <v>264.97000000000003</v>
      </c>
      <c r="K95" s="5">
        <f>Sales_Data!E92</f>
        <v>8</v>
      </c>
      <c r="L95" s="5">
        <f>Sales_Data!F92</f>
        <v>1985.43</v>
      </c>
      <c r="M95" s="5">
        <f>Sales_Data!G92</f>
        <v>2425.6799999999998</v>
      </c>
      <c r="N95" s="5" t="str">
        <f>IFERROR(INDEX(Branch_Master!$B$2:$B$9,MATCH($B95,Branch_Master!$A$2:$A$9,0)),"Not Found")</f>
        <v>Bangalore</v>
      </c>
      <c r="O95" s="5" t="str">
        <f>IFERROR(INDEX(Branch_Master!$C$2:$C$9,MATCH($B95,Branch_Master!$A$2:$A$9,0)),"Not Found")</f>
        <v>Karnataka</v>
      </c>
      <c r="P95" s="5">
        <f>IFERROR(INDEX(Targets!$B$2:$B$9,MATCH($B95,Targets!$A$2:$A$9,0)),0)</f>
        <v>900000</v>
      </c>
      <c r="Q95" s="5" t="str">
        <f t="shared" si="2"/>
        <v>No</v>
      </c>
      <c r="R95" s="5" t="str">
        <f t="shared" si="3"/>
        <v>Feb</v>
      </c>
    </row>
    <row r="96" spans="1:18" ht="15" customHeight="1" x14ac:dyDescent="0.3">
      <c r="A96" s="5" t="str">
        <f>Sales_Data!A93</f>
        <v>2025-02-03</v>
      </c>
      <c r="B96" s="5" t="str">
        <f>Sales_Data!B93</f>
        <v>Kolkata Central</v>
      </c>
      <c r="C96" s="5" t="str">
        <f>Sales_Data!C93</f>
        <v>E024</v>
      </c>
      <c r="D96" s="5" t="str">
        <f>IFERROR(INDEX(Employee_Master!$B$2:$B$44,MATCH($C96,Employee_Master!$A$2:$A$44,0)),"Not Found")</f>
        <v>Kevin Sanchez</v>
      </c>
      <c r="E96" s="5" t="str">
        <f>IFERROR(INDEX(Employee_Master!$C$2:$C$44,MATCH($C96,Employee_Master!$A$2:$A$44,0)),"Not Found")</f>
        <v>Sales</v>
      </c>
      <c r="F96" s="5" t="str">
        <f>IFERROR(INDEX(Employee_Master!$D$2:$D$44,MATCH($C96,Employee_Master!$A$2:$A$44,0)),"Not Found")</f>
        <v>Lisa Moore</v>
      </c>
      <c r="G96" s="5" t="str">
        <f>IFERROR(INDEX(Employee_Master!$E$2:$E$44,MATCH($C96,Employee_Master!$A$2:$A$44,0)),"Not Found")</f>
        <v>East</v>
      </c>
      <c r="H96" s="5" t="str">
        <f>Sales_Data!D93</f>
        <v>P005 - LED Monitor</v>
      </c>
      <c r="I96" s="5" t="str">
        <f>IFERROR(INDEX(Product_Master!$B$2:$B$30,MATCH($H96,Product_Master!$A$2:$A$30,0)),"Invalid Product Code")</f>
        <v>Electronics</v>
      </c>
      <c r="J96" s="5">
        <f>IFERROR(INDEX(Product_Master!$C$2:$C$30,MATCH($H96,Product_Master!$A$2:$A$30,0)),0)</f>
        <v>489.9</v>
      </c>
      <c r="K96" s="5">
        <f>Sales_Data!E93</f>
        <v>2</v>
      </c>
      <c r="L96" s="5">
        <f>Sales_Data!F93</f>
        <v>922.11</v>
      </c>
      <c r="M96" s="5">
        <f>Sales_Data!G93</f>
        <v>1090.95</v>
      </c>
      <c r="N96" s="5" t="str">
        <f>IFERROR(INDEX(Branch_Master!$B$2:$B$9,MATCH($B96,Branch_Master!$A$2:$A$9,0)),"Not Found")</f>
        <v>Kolkata</v>
      </c>
      <c r="O96" s="5" t="str">
        <f>IFERROR(INDEX(Branch_Master!$C$2:$C$9,MATCH($B96,Branch_Master!$A$2:$A$9,0)),"Not Found")</f>
        <v>West Bengal</v>
      </c>
      <c r="P96" s="5">
        <f>IFERROR(INDEX(Targets!$B$2:$B$9,MATCH($B96,Targets!$A$2:$A$9,0)),0)</f>
        <v>1910000</v>
      </c>
      <c r="Q96" s="5" t="str">
        <f t="shared" si="2"/>
        <v>No</v>
      </c>
      <c r="R96" s="5" t="str">
        <f t="shared" si="3"/>
        <v>Feb</v>
      </c>
    </row>
    <row r="97" spans="1:18" ht="15" customHeight="1" x14ac:dyDescent="0.3">
      <c r="A97" s="5" t="str">
        <f>Sales_Data!A94</f>
        <v>2025-02-03</v>
      </c>
      <c r="B97" s="5" t="str">
        <f>Sales_Data!B94</f>
        <v>Bangalore North</v>
      </c>
      <c r="C97" s="5" t="str">
        <f>Sales_Data!C94</f>
        <v>E038</v>
      </c>
      <c r="D97" s="5" t="str">
        <f>IFERROR(INDEX(Employee_Master!$B$2:$B$44,MATCH($C97,Employee_Master!$A$2:$A$44,0)),"Not Found")</f>
        <v>Derrick Griffin</v>
      </c>
      <c r="E97" s="5" t="str">
        <f>IFERROR(INDEX(Employee_Master!$C$2:$C$44,MATCH($C97,Employee_Master!$A$2:$A$44,0)),"Not Found")</f>
        <v>Marketing</v>
      </c>
      <c r="F97" s="5" t="str">
        <f>IFERROR(INDEX(Employee_Master!$D$2:$D$44,MATCH($C97,Employee_Master!$A$2:$A$44,0)),"Not Found")</f>
        <v>Jose Soto</v>
      </c>
      <c r="G97" s="5" t="str">
        <f>IFERROR(INDEX(Employee_Master!$E$2:$E$44,MATCH($C97,Employee_Master!$A$2:$A$44,0)),"Not Found")</f>
        <v>South</v>
      </c>
      <c r="H97" s="5" t="str">
        <f>Sales_Data!D94</f>
        <v>P017 - Basmati Rice 5kg</v>
      </c>
      <c r="I97" s="5" t="str">
        <f>IFERROR(INDEX(Product_Master!$B$2:$B$30,MATCH($H97,Product_Master!$A$2:$A$30,0)),"Invalid Product Code")</f>
        <v>Grocery</v>
      </c>
      <c r="J97" s="5">
        <f>IFERROR(INDEX(Product_Master!$C$2:$C$30,MATCH($H97,Product_Master!$A$2:$A$30,0)),0)</f>
        <v>825.33</v>
      </c>
      <c r="K97" s="5">
        <f>Sales_Data!E94</f>
        <v>8</v>
      </c>
      <c r="L97" s="5">
        <f>Sales_Data!F94</f>
        <v>6453.06</v>
      </c>
      <c r="M97" s="5">
        <f>Sales_Data!G94</f>
        <v>5845.07</v>
      </c>
      <c r="N97" s="5" t="str">
        <f>IFERROR(INDEX(Branch_Master!$B$2:$B$9,MATCH($B97,Branch_Master!$A$2:$A$9,0)),"Not Found")</f>
        <v>Bangalore</v>
      </c>
      <c r="O97" s="5" t="str">
        <f>IFERROR(INDEX(Branch_Master!$C$2:$C$9,MATCH($B97,Branch_Master!$A$2:$A$9,0)),"Not Found")</f>
        <v>Karnataka</v>
      </c>
      <c r="P97" s="5">
        <f>IFERROR(INDEX(Targets!$B$2:$B$9,MATCH($B97,Targets!$A$2:$A$9,0)),0)</f>
        <v>900000</v>
      </c>
      <c r="Q97" s="5" t="str">
        <f t="shared" si="2"/>
        <v>Yes</v>
      </c>
      <c r="R97" s="5" t="str">
        <f t="shared" si="3"/>
        <v>Feb</v>
      </c>
    </row>
    <row r="98" spans="1:18" ht="15" customHeight="1" x14ac:dyDescent="0.3">
      <c r="A98" s="5" t="str">
        <f>Sales_Data!A95</f>
        <v>2025-02-03</v>
      </c>
      <c r="B98" s="5" t="str">
        <f>Sales_Data!B95</f>
        <v>Hyderabad Hitech</v>
      </c>
      <c r="C98" s="5" t="str">
        <f>Sales_Data!C95</f>
        <v>E035</v>
      </c>
      <c r="D98" s="5" t="str">
        <f>IFERROR(INDEX(Employee_Master!$B$2:$B$44,MATCH($C98,Employee_Master!$A$2:$A$44,0)),"Not Found")</f>
        <v>Andrea Perez</v>
      </c>
      <c r="E98" s="5" t="str">
        <f>IFERROR(INDEX(Employee_Master!$C$2:$C$44,MATCH($C98,Employee_Master!$A$2:$A$44,0)),"Not Found")</f>
        <v>Sales</v>
      </c>
      <c r="F98" s="5" t="str">
        <f>IFERROR(INDEX(Employee_Master!$D$2:$D$44,MATCH($C98,Employee_Master!$A$2:$A$44,0)),"Not Found")</f>
        <v>Anna Turner</v>
      </c>
      <c r="G98" s="5" t="str">
        <f>IFERROR(INDEX(Employee_Master!$E$2:$E$44,MATCH($C98,Employee_Master!$A$2:$A$44,0)),"Not Found")</f>
        <v>South</v>
      </c>
      <c r="H98" s="5" t="str">
        <f>Sales_Data!D95</f>
        <v>P005 - LED Monitor</v>
      </c>
      <c r="I98" s="5" t="str">
        <f>IFERROR(INDEX(Product_Master!$B$2:$B$30,MATCH($H98,Product_Master!$A$2:$A$30,0)),"Invalid Product Code")</f>
        <v>Electronics</v>
      </c>
      <c r="J98" s="5">
        <f>IFERROR(INDEX(Product_Master!$C$2:$C$30,MATCH($H98,Product_Master!$A$2:$A$30,0)),0)</f>
        <v>489.9</v>
      </c>
      <c r="K98" s="5">
        <f>Sales_Data!E95</f>
        <v>11</v>
      </c>
      <c r="L98" s="5">
        <f>Sales_Data!F95</f>
        <v>5515.14</v>
      </c>
      <c r="M98" s="5">
        <f>Sales_Data!G95</f>
        <v>5140.88</v>
      </c>
      <c r="N98" s="5" t="str">
        <f>IFERROR(INDEX(Branch_Master!$B$2:$B$9,MATCH($B98,Branch_Master!$A$2:$A$9,0)),"Not Found")</f>
        <v>Hyderabad</v>
      </c>
      <c r="O98" s="5" t="str">
        <f>IFERROR(INDEX(Branch_Master!$C$2:$C$9,MATCH($B98,Branch_Master!$A$2:$A$9,0)),"Not Found")</f>
        <v>Telangana</v>
      </c>
      <c r="P98" s="5">
        <f>IFERROR(INDEX(Targets!$B$2:$B$9,MATCH($B98,Targets!$A$2:$A$9,0)),0)</f>
        <v>1210000</v>
      </c>
      <c r="Q98" s="5" t="str">
        <f t="shared" si="2"/>
        <v>Yes</v>
      </c>
      <c r="R98" s="5" t="str">
        <f t="shared" si="3"/>
        <v>Feb</v>
      </c>
    </row>
    <row r="99" spans="1:18" ht="15" customHeight="1" x14ac:dyDescent="0.3">
      <c r="A99" s="5" t="str">
        <f>Sales_Data!A96</f>
        <v>2025-02-03</v>
      </c>
      <c r="B99" s="5" t="str">
        <f>Sales_Data!B96</f>
        <v>Chennai South</v>
      </c>
      <c r="C99" s="5" t="str">
        <f>Sales_Data!C96</f>
        <v>E015</v>
      </c>
      <c r="D99" s="5" t="str">
        <f>IFERROR(INDEX(Employee_Master!$B$2:$B$44,MATCH($C99,Employee_Master!$A$2:$A$44,0)),"Not Found")</f>
        <v>Cassandra Hansen</v>
      </c>
      <c r="E99" s="5" t="str">
        <f>IFERROR(INDEX(Employee_Master!$C$2:$C$44,MATCH($C99,Employee_Master!$A$2:$A$44,0)),"Not Found")</f>
        <v>Customer Support</v>
      </c>
      <c r="F99" s="5" t="str">
        <f>IFERROR(INDEX(Employee_Master!$D$2:$D$44,MATCH($C99,Employee_Master!$A$2:$A$44,0)),"Not Found")</f>
        <v>Robert Steele</v>
      </c>
      <c r="G99" s="5" t="str">
        <f>IFERROR(INDEX(Employee_Master!$E$2:$E$44,MATCH($C99,Employee_Master!$A$2:$A$44,0)),"Not Found")</f>
        <v>South</v>
      </c>
      <c r="H99" s="5" t="str">
        <f>Sales_Data!D96</f>
        <v>P023 - Sunscreen SPF50</v>
      </c>
      <c r="I99" s="5" t="str">
        <f>IFERROR(INDEX(Product_Master!$B$2:$B$30,MATCH($H99,Product_Master!$A$2:$A$30,0)),"Invalid Product Code")</f>
        <v>Beauty</v>
      </c>
      <c r="J99" s="5">
        <f>IFERROR(INDEX(Product_Master!$C$2:$C$30,MATCH($H99,Product_Master!$A$2:$A$30,0)),0)</f>
        <v>818.95</v>
      </c>
      <c r="K99" s="5">
        <f>Sales_Data!E96</f>
        <v>4</v>
      </c>
      <c r="L99" s="5">
        <f>Sales_Data!F96</f>
        <v>3197.81</v>
      </c>
      <c r="M99" s="5">
        <f>Sales_Data!G96</f>
        <v>3704.07</v>
      </c>
      <c r="N99" s="5" t="str">
        <f>IFERROR(INDEX(Branch_Master!$B$2:$B$9,MATCH($B99,Branch_Master!$A$2:$A$9,0)),"Not Found")</f>
        <v>Chennai</v>
      </c>
      <c r="O99" s="5" t="str">
        <f>IFERROR(INDEX(Branch_Master!$C$2:$C$9,MATCH($B99,Branch_Master!$A$2:$A$9,0)),"Not Found")</f>
        <v>Tamil Nadu</v>
      </c>
      <c r="P99" s="5">
        <f>IFERROR(INDEX(Targets!$B$2:$B$9,MATCH($B99,Targets!$A$2:$A$9,0)),0)</f>
        <v>1910000</v>
      </c>
      <c r="Q99" s="5" t="str">
        <f t="shared" si="2"/>
        <v>No</v>
      </c>
      <c r="R99" s="5" t="str">
        <f t="shared" si="3"/>
        <v>Feb</v>
      </c>
    </row>
    <row r="100" spans="1:18" ht="15" customHeight="1" x14ac:dyDescent="0.3">
      <c r="A100" s="5" t="str">
        <f>Sales_Data!A97</f>
        <v>2025-02-04</v>
      </c>
      <c r="B100" s="5" t="str">
        <f>Sales_Data!B97</f>
        <v>Bangalore North</v>
      </c>
      <c r="C100" s="5" t="str">
        <f>Sales_Data!C97</f>
        <v>E006</v>
      </c>
      <c r="D100" s="5" t="str">
        <f>IFERROR(INDEX(Employee_Master!$B$2:$B$44,MATCH($C100,Employee_Master!$A$2:$A$44,0)),"Not Found")</f>
        <v>Dylan Jones</v>
      </c>
      <c r="E100" s="5" t="str">
        <f>IFERROR(INDEX(Employee_Master!$C$2:$C$44,MATCH($C100,Employee_Master!$A$2:$A$44,0)),"Not Found")</f>
        <v>Sales</v>
      </c>
      <c r="F100" s="5" t="str">
        <f>IFERROR(INDEX(Employee_Master!$D$2:$D$44,MATCH($C100,Employee_Master!$A$2:$A$44,0)),"Not Found")</f>
        <v>Jose Soto</v>
      </c>
      <c r="G100" s="5" t="str">
        <f>IFERROR(INDEX(Employee_Master!$E$2:$E$44,MATCH($C100,Employee_Master!$A$2:$A$44,0)),"Not Found")</f>
        <v>South</v>
      </c>
      <c r="H100" s="5" t="str">
        <f>Sales_Data!D97</f>
        <v>P007 - Cotton T-Shirt</v>
      </c>
      <c r="I100" s="5" t="str">
        <f>IFERROR(INDEX(Product_Master!$B$2:$B$30,MATCH($H100,Product_Master!$A$2:$A$30,0)),"Invalid Product Code")</f>
        <v>Apparel</v>
      </c>
      <c r="J100" s="5">
        <f>IFERROR(INDEX(Product_Master!$C$2:$C$30,MATCH($H100,Product_Master!$A$2:$A$30,0)),0)</f>
        <v>338.44</v>
      </c>
      <c r="K100" s="5">
        <f>Sales_Data!E97</f>
        <v>3</v>
      </c>
      <c r="L100" s="5">
        <f>Sales_Data!F97</f>
        <v>918.04</v>
      </c>
      <c r="M100" s="5">
        <f>Sales_Data!G97</f>
        <v>1135.2</v>
      </c>
      <c r="N100" s="5" t="str">
        <f>IFERROR(INDEX(Branch_Master!$B$2:$B$9,MATCH($B100,Branch_Master!$A$2:$A$9,0)),"Not Found")</f>
        <v>Bangalore</v>
      </c>
      <c r="O100" s="5" t="str">
        <f>IFERROR(INDEX(Branch_Master!$C$2:$C$9,MATCH($B100,Branch_Master!$A$2:$A$9,0)),"Not Found")</f>
        <v>Karnataka</v>
      </c>
      <c r="P100" s="5">
        <f>IFERROR(INDEX(Targets!$B$2:$B$9,MATCH($B100,Targets!$A$2:$A$9,0)),0)</f>
        <v>900000</v>
      </c>
      <c r="Q100" s="5" t="str">
        <f t="shared" si="2"/>
        <v>No</v>
      </c>
      <c r="R100" s="5" t="str">
        <f t="shared" si="3"/>
        <v>Feb</v>
      </c>
    </row>
    <row r="101" spans="1:18" ht="15" customHeight="1" x14ac:dyDescent="0.3">
      <c r="A101" s="5" t="str">
        <f>Sales_Data!A98</f>
        <v>2025-02-04</v>
      </c>
      <c r="B101" s="5" t="str">
        <f>Sales_Data!B98</f>
        <v>Delhi NCR</v>
      </c>
      <c r="C101" s="5" t="str">
        <f>Sales_Data!C98</f>
        <v>E013</v>
      </c>
      <c r="D101" s="5" t="str">
        <f>IFERROR(INDEX(Employee_Master!$B$2:$B$44,MATCH($C101,Employee_Master!$A$2:$A$44,0)),"Not Found")</f>
        <v>Norma Wilson</v>
      </c>
      <c r="E101" s="5" t="str">
        <f>IFERROR(INDEX(Employee_Master!$C$2:$C$44,MATCH($C101,Employee_Master!$A$2:$A$44,0)),"Not Found")</f>
        <v>Customer Support</v>
      </c>
      <c r="F101" s="5" t="str">
        <f>IFERROR(INDEX(Employee_Master!$D$2:$D$44,MATCH($C101,Employee_Master!$A$2:$A$44,0)),"Not Found")</f>
        <v>William Oconnell</v>
      </c>
      <c r="G101" s="5" t="str">
        <f>IFERROR(INDEX(Employee_Master!$E$2:$E$44,MATCH($C101,Employee_Master!$A$2:$A$44,0)),"Not Found")</f>
        <v>North</v>
      </c>
      <c r="H101" s="5" t="str">
        <f>Sales_Data!D98</f>
        <v>P009 - Formal Shirt</v>
      </c>
      <c r="I101" s="5" t="str">
        <f>IFERROR(INDEX(Product_Master!$B$2:$B$30,MATCH($H101,Product_Master!$A$2:$A$30,0)),"Invalid Product Code")</f>
        <v>Apparel</v>
      </c>
      <c r="J101" s="5">
        <f>IFERROR(INDEX(Product_Master!$C$2:$C$30,MATCH($H101,Product_Master!$A$2:$A$30,0)),0)</f>
        <v>661.65</v>
      </c>
      <c r="K101" s="5">
        <f>Sales_Data!E98</f>
        <v>6</v>
      </c>
      <c r="L101" s="5">
        <f>Sales_Data!F98</f>
        <v>3742.51</v>
      </c>
      <c r="M101" s="5">
        <f>Sales_Data!G98</f>
        <v>3588.89</v>
      </c>
      <c r="N101" s="5" t="str">
        <f>IFERROR(INDEX(Branch_Master!$B$2:$B$9,MATCH($B101,Branch_Master!$A$2:$A$9,0)),"Not Found")</f>
        <v>New Delhi</v>
      </c>
      <c r="O101" s="5" t="str">
        <f>IFERROR(INDEX(Branch_Master!$C$2:$C$9,MATCH($B101,Branch_Master!$A$2:$A$9,0)),"Not Found")</f>
        <v>Delhi</v>
      </c>
      <c r="P101" s="5">
        <f>IFERROR(INDEX(Targets!$B$2:$B$9,MATCH($B101,Targets!$A$2:$A$9,0)),0)</f>
        <v>2070000</v>
      </c>
      <c r="Q101" s="5" t="str">
        <f t="shared" si="2"/>
        <v>Yes</v>
      </c>
      <c r="R101" s="5" t="str">
        <f t="shared" si="3"/>
        <v>Feb</v>
      </c>
    </row>
    <row r="102" spans="1:18" ht="15" customHeight="1" x14ac:dyDescent="0.3">
      <c r="A102" s="5" t="str">
        <f>Sales_Data!A99</f>
        <v>2025-02-04</v>
      </c>
      <c r="B102" s="5" t="str">
        <f>Sales_Data!B99</f>
        <v>Ahmedabad West</v>
      </c>
      <c r="C102" s="5" t="str">
        <f>Sales_Data!C99</f>
        <v>E008</v>
      </c>
      <c r="D102" s="5" t="str">
        <f>IFERROR(INDEX(Employee_Master!$B$2:$B$44,MATCH($C102,Employee_Master!$A$2:$A$44,0)),"Not Found")</f>
        <v>Tyler Boone</v>
      </c>
      <c r="E102" s="5" t="str">
        <f>IFERROR(INDEX(Employee_Master!$C$2:$C$44,MATCH($C102,Employee_Master!$A$2:$A$44,0)),"Not Found")</f>
        <v>Marketing</v>
      </c>
      <c r="F102" s="5" t="str">
        <f>IFERROR(INDEX(Employee_Master!$D$2:$D$44,MATCH($C102,Employee_Master!$A$2:$A$44,0)),"Not Found")</f>
        <v>Joseph Brown</v>
      </c>
      <c r="G102" s="5" t="str">
        <f>IFERROR(INDEX(Employee_Master!$E$2:$E$44,MATCH($C102,Employee_Master!$A$2:$A$44,0)),"Not Found")</f>
        <v>West</v>
      </c>
      <c r="H102" s="5" t="str">
        <f>Sales_Data!D99</f>
        <v>P013 - Mixer Grinder</v>
      </c>
      <c r="I102" s="5" t="str">
        <f>IFERROR(INDEX(Product_Master!$B$2:$B$30,MATCH($H102,Product_Master!$A$2:$A$30,0)),"Invalid Product Code")</f>
        <v>Home &amp; Kitchen</v>
      </c>
      <c r="J102" s="5">
        <f>IFERROR(INDEX(Product_Master!$C$2:$C$30,MATCH($H102,Product_Master!$A$2:$A$30,0)),0)</f>
        <v>798.53</v>
      </c>
      <c r="K102" s="5">
        <f>Sales_Data!E99</f>
        <v>7</v>
      </c>
      <c r="L102" s="5">
        <f>Sales_Data!F99</f>
        <v>5073.37</v>
      </c>
      <c r="M102" s="5">
        <f>Sales_Data!G99</f>
        <v>4979.0600000000004</v>
      </c>
      <c r="N102" s="5" t="str">
        <f>IFERROR(INDEX(Branch_Master!$B$2:$B$9,MATCH($B102,Branch_Master!$A$2:$A$9,0)),"Not Found")</f>
        <v>Ahmedabad</v>
      </c>
      <c r="O102" s="5" t="str">
        <f>IFERROR(INDEX(Branch_Master!$C$2:$C$9,MATCH($B102,Branch_Master!$A$2:$A$9,0)),"Not Found")</f>
        <v>Gujarat</v>
      </c>
      <c r="P102" s="5">
        <f>IFERROR(INDEX(Targets!$B$2:$B$9,MATCH($B102,Targets!$A$2:$A$9,0)),0)</f>
        <v>1590000</v>
      </c>
      <c r="Q102" s="5" t="str">
        <f t="shared" si="2"/>
        <v>Yes</v>
      </c>
      <c r="R102" s="5" t="str">
        <f t="shared" si="3"/>
        <v>Feb</v>
      </c>
    </row>
    <row r="103" spans="1:18" ht="15" customHeight="1" x14ac:dyDescent="0.3">
      <c r="A103" s="5" t="str">
        <f>Sales_Data!A100</f>
        <v>2025-02-05</v>
      </c>
      <c r="B103" s="5" t="str">
        <f>Sales_Data!B100</f>
        <v>Delhi NCR</v>
      </c>
      <c r="C103" s="5" t="str">
        <f>Sales_Data!C100</f>
        <v>E013</v>
      </c>
      <c r="D103" s="5" t="str">
        <f>IFERROR(INDEX(Employee_Master!$B$2:$B$44,MATCH($C103,Employee_Master!$A$2:$A$44,0)),"Not Found")</f>
        <v>Norma Wilson</v>
      </c>
      <c r="E103" s="5" t="str">
        <f>IFERROR(INDEX(Employee_Master!$C$2:$C$44,MATCH($C103,Employee_Master!$A$2:$A$44,0)),"Not Found")</f>
        <v>Customer Support</v>
      </c>
      <c r="F103" s="5" t="str">
        <f>IFERROR(INDEX(Employee_Master!$D$2:$D$44,MATCH($C103,Employee_Master!$A$2:$A$44,0)),"Not Found")</f>
        <v>William Oconnell</v>
      </c>
      <c r="G103" s="5" t="str">
        <f>IFERROR(INDEX(Employee_Master!$E$2:$E$44,MATCH($C103,Employee_Master!$A$2:$A$44,0)),"Not Found")</f>
        <v>North</v>
      </c>
      <c r="H103" s="5" t="str">
        <f>Sales_Data!D100</f>
        <v>P013 - Mixer Grinder</v>
      </c>
      <c r="I103" s="5" t="str">
        <f>IFERROR(INDEX(Product_Master!$B$2:$B$30,MATCH($H103,Product_Master!$A$2:$A$30,0)),"Invalid Product Code")</f>
        <v>Home &amp; Kitchen</v>
      </c>
      <c r="J103" s="5">
        <f>IFERROR(INDEX(Product_Master!$C$2:$C$30,MATCH($H103,Product_Master!$A$2:$A$30,0)),0)</f>
        <v>798.53</v>
      </c>
      <c r="K103" s="5">
        <f>Sales_Data!E100</f>
        <v>9</v>
      </c>
      <c r="L103" s="5">
        <f>Sales_Data!F100</f>
        <v>7475.36</v>
      </c>
      <c r="M103" s="5">
        <f>Sales_Data!G100</f>
        <v>7370.93</v>
      </c>
      <c r="N103" s="5" t="str">
        <f>IFERROR(INDEX(Branch_Master!$B$2:$B$9,MATCH($B103,Branch_Master!$A$2:$A$9,0)),"Not Found")</f>
        <v>New Delhi</v>
      </c>
      <c r="O103" s="5" t="str">
        <f>IFERROR(INDEX(Branch_Master!$C$2:$C$9,MATCH($B103,Branch_Master!$A$2:$A$9,0)),"Not Found")</f>
        <v>Delhi</v>
      </c>
      <c r="P103" s="5">
        <f>IFERROR(INDEX(Targets!$B$2:$B$9,MATCH($B103,Targets!$A$2:$A$9,0)),0)</f>
        <v>2070000</v>
      </c>
      <c r="Q103" s="5" t="str">
        <f t="shared" si="2"/>
        <v>Yes</v>
      </c>
      <c r="R103" s="5" t="str">
        <f t="shared" si="3"/>
        <v>Feb</v>
      </c>
    </row>
    <row r="104" spans="1:18" ht="15" customHeight="1" x14ac:dyDescent="0.3">
      <c r="A104" s="5" t="str">
        <f>Sales_Data!A101</f>
        <v>2025-02-05</v>
      </c>
      <c r="B104" s="5" t="str">
        <f>Sales_Data!B101</f>
        <v>Delhi NCR</v>
      </c>
      <c r="C104" s="5" t="str">
        <f>Sales_Data!C101</f>
        <v>E013</v>
      </c>
      <c r="D104" s="5" t="str">
        <f>IFERROR(INDEX(Employee_Master!$B$2:$B$44,MATCH($C104,Employee_Master!$A$2:$A$44,0)),"Not Found")</f>
        <v>Norma Wilson</v>
      </c>
      <c r="E104" s="5" t="str">
        <f>IFERROR(INDEX(Employee_Master!$C$2:$C$44,MATCH($C104,Employee_Master!$A$2:$A$44,0)),"Not Found")</f>
        <v>Customer Support</v>
      </c>
      <c r="F104" s="5" t="str">
        <f>IFERROR(INDEX(Employee_Master!$D$2:$D$44,MATCH($C104,Employee_Master!$A$2:$A$44,0)),"Not Found")</f>
        <v>William Oconnell</v>
      </c>
      <c r="G104" s="5" t="str">
        <f>IFERROR(INDEX(Employee_Master!$E$2:$E$44,MATCH($C104,Employee_Master!$A$2:$A$44,0)),"Not Found")</f>
        <v>North</v>
      </c>
      <c r="H104" s="5" t="str">
        <f>Sales_Data!D101</f>
        <v>P012 - Non-Stick Pan</v>
      </c>
      <c r="I104" s="5" t="str">
        <f>IFERROR(INDEX(Product_Master!$B$2:$B$30,MATCH($H104,Product_Master!$A$2:$A$30,0)),"Invalid Product Code")</f>
        <v>Home &amp; Kitchen</v>
      </c>
      <c r="J104" s="5">
        <f>IFERROR(INDEX(Product_Master!$C$2:$C$30,MATCH($H104,Product_Master!$A$2:$A$30,0)),0)</f>
        <v>353.18</v>
      </c>
      <c r="K104" s="5">
        <f>Sales_Data!E101</f>
        <v>5</v>
      </c>
      <c r="L104" s="5">
        <f>Sales_Data!F101</f>
        <v>1775.41</v>
      </c>
      <c r="M104" s="5">
        <f>Sales_Data!G101</f>
        <v>2003.72</v>
      </c>
      <c r="N104" s="5" t="str">
        <f>IFERROR(INDEX(Branch_Master!$B$2:$B$9,MATCH($B104,Branch_Master!$A$2:$A$9,0)),"Not Found")</f>
        <v>New Delhi</v>
      </c>
      <c r="O104" s="5" t="str">
        <f>IFERROR(INDEX(Branch_Master!$C$2:$C$9,MATCH($B104,Branch_Master!$A$2:$A$9,0)),"Not Found")</f>
        <v>Delhi</v>
      </c>
      <c r="P104" s="5">
        <f>IFERROR(INDEX(Targets!$B$2:$B$9,MATCH($B104,Targets!$A$2:$A$9,0)),0)</f>
        <v>2070000</v>
      </c>
      <c r="Q104" s="5" t="str">
        <f t="shared" si="2"/>
        <v>No</v>
      </c>
      <c r="R104" s="5" t="str">
        <f t="shared" si="3"/>
        <v>Feb</v>
      </c>
    </row>
    <row r="105" spans="1:18" ht="15" customHeight="1" x14ac:dyDescent="0.3">
      <c r="A105" s="5" t="str">
        <f>Sales_Data!A102</f>
        <v>2025-02-05</v>
      </c>
      <c r="B105" s="5" t="str">
        <f>Sales_Data!B102</f>
        <v>Bangalore North</v>
      </c>
      <c r="C105" s="5" t="str">
        <f>Sales_Data!C102</f>
        <v>E004</v>
      </c>
      <c r="D105" s="5" t="str">
        <f>IFERROR(INDEX(Employee_Master!$B$2:$B$44,MATCH($C105,Employee_Master!$A$2:$A$44,0)),"Not Found")</f>
        <v>Judith Ramirez</v>
      </c>
      <c r="E105" s="5" t="str">
        <f>IFERROR(INDEX(Employee_Master!$C$2:$C$44,MATCH($C105,Employee_Master!$A$2:$A$44,0)),"Not Found")</f>
        <v>Sales</v>
      </c>
      <c r="F105" s="5" t="str">
        <f>IFERROR(INDEX(Employee_Master!$D$2:$D$44,MATCH($C105,Employee_Master!$A$2:$A$44,0)),"Not Found")</f>
        <v>Jose Soto</v>
      </c>
      <c r="G105" s="5" t="str">
        <f>IFERROR(INDEX(Employee_Master!$E$2:$E$44,MATCH($C105,Employee_Master!$A$2:$A$44,0)),"Not Found")</f>
        <v>South</v>
      </c>
      <c r="H105" s="5" t="str">
        <f>Sales_Data!D102</f>
        <v>P016 - Dinner Set</v>
      </c>
      <c r="I105" s="5" t="str">
        <f>IFERROR(INDEX(Product_Master!$B$2:$B$30,MATCH($H105,Product_Master!$A$2:$A$30,0)),"Invalid Product Code")</f>
        <v>Home &amp; Kitchen</v>
      </c>
      <c r="J105" s="5">
        <f>IFERROR(INDEX(Product_Master!$C$2:$C$30,MATCH($H105,Product_Master!$A$2:$A$30,0)),0)</f>
        <v>225.06</v>
      </c>
      <c r="K105" s="5">
        <f>Sales_Data!E102</f>
        <v>9</v>
      </c>
      <c r="L105" s="5">
        <f>Sales_Data!F102</f>
        <v>2087.73</v>
      </c>
      <c r="M105" s="5">
        <f>Sales_Data!G102</f>
        <v>2095.9499999999998</v>
      </c>
      <c r="N105" s="5" t="str">
        <f>IFERROR(INDEX(Branch_Master!$B$2:$B$9,MATCH($B105,Branch_Master!$A$2:$A$9,0)),"Not Found")</f>
        <v>Bangalore</v>
      </c>
      <c r="O105" s="5" t="str">
        <f>IFERROR(INDEX(Branch_Master!$C$2:$C$9,MATCH($B105,Branch_Master!$A$2:$A$9,0)),"Not Found")</f>
        <v>Karnataka</v>
      </c>
      <c r="P105" s="5">
        <f>IFERROR(INDEX(Targets!$B$2:$B$9,MATCH($B105,Targets!$A$2:$A$9,0)),0)</f>
        <v>900000</v>
      </c>
      <c r="Q105" s="5" t="str">
        <f t="shared" si="2"/>
        <v>No</v>
      </c>
      <c r="R105" s="5" t="str">
        <f t="shared" si="3"/>
        <v>Feb</v>
      </c>
    </row>
    <row r="106" spans="1:18" ht="15" customHeight="1" x14ac:dyDescent="0.3">
      <c r="A106" s="5" t="str">
        <f>Sales_Data!A103</f>
        <v>2025-02-06</v>
      </c>
      <c r="B106" s="5" t="str">
        <f>Sales_Data!B103</f>
        <v>Chennai South</v>
      </c>
      <c r="C106" s="5" t="str">
        <f>Sales_Data!C103</f>
        <v>E032</v>
      </c>
      <c r="D106" s="5" t="str">
        <f>IFERROR(INDEX(Employee_Master!$B$2:$B$44,MATCH($C106,Employee_Master!$A$2:$A$44,0)),"Not Found")</f>
        <v>Victor Allen</v>
      </c>
      <c r="E106" s="5" t="str">
        <f>IFERROR(INDEX(Employee_Master!$C$2:$C$44,MATCH($C106,Employee_Master!$A$2:$A$44,0)),"Not Found")</f>
        <v>Operations</v>
      </c>
      <c r="F106" s="5" t="str">
        <f>IFERROR(INDEX(Employee_Master!$D$2:$D$44,MATCH($C106,Employee_Master!$A$2:$A$44,0)),"Not Found")</f>
        <v>Robert Steele</v>
      </c>
      <c r="G106" s="5" t="str">
        <f>IFERROR(INDEX(Employee_Master!$E$2:$E$44,MATCH($C106,Employee_Master!$A$2:$A$44,0)),"Not Found")</f>
        <v>South</v>
      </c>
      <c r="H106" s="5" t="str">
        <f>Sales_Data!D103</f>
        <v>P019 - Organic Honey</v>
      </c>
      <c r="I106" s="5" t="str">
        <f>IFERROR(INDEX(Product_Master!$B$2:$B$30,MATCH($H106,Product_Master!$A$2:$A$30,0)),"Invalid Product Code")</f>
        <v>Grocery</v>
      </c>
      <c r="J106" s="5">
        <f>IFERROR(INDEX(Product_Master!$C$2:$C$30,MATCH($H106,Product_Master!$A$2:$A$30,0)),0)</f>
        <v>482.15</v>
      </c>
      <c r="K106" s="5">
        <f>Sales_Data!E103</f>
        <v>2</v>
      </c>
      <c r="L106" s="5">
        <f>Sales_Data!F103</f>
        <v>977.25</v>
      </c>
      <c r="M106" s="5">
        <f>Sales_Data!G103</f>
        <v>1072.51</v>
      </c>
      <c r="N106" s="5" t="str">
        <f>IFERROR(INDEX(Branch_Master!$B$2:$B$9,MATCH($B106,Branch_Master!$A$2:$A$9,0)),"Not Found")</f>
        <v>Chennai</v>
      </c>
      <c r="O106" s="5" t="str">
        <f>IFERROR(INDEX(Branch_Master!$C$2:$C$9,MATCH($B106,Branch_Master!$A$2:$A$9,0)),"Not Found")</f>
        <v>Tamil Nadu</v>
      </c>
      <c r="P106" s="5">
        <f>IFERROR(INDEX(Targets!$B$2:$B$9,MATCH($B106,Targets!$A$2:$A$9,0)),0)</f>
        <v>1910000</v>
      </c>
      <c r="Q106" s="5" t="str">
        <f t="shared" si="2"/>
        <v>No</v>
      </c>
      <c r="R106" s="5" t="str">
        <f t="shared" si="3"/>
        <v>Feb</v>
      </c>
    </row>
    <row r="107" spans="1:18" ht="15" customHeight="1" x14ac:dyDescent="0.3">
      <c r="A107" s="5" t="str">
        <f>Sales_Data!A104</f>
        <v>2025-02-06</v>
      </c>
      <c r="B107" s="5" t="str">
        <f>Sales_Data!B104</f>
        <v>Bangalore North</v>
      </c>
      <c r="C107" s="5" t="str">
        <f>Sales_Data!C104</f>
        <v>E006</v>
      </c>
      <c r="D107" s="5" t="str">
        <f>IFERROR(INDEX(Employee_Master!$B$2:$B$44,MATCH($C107,Employee_Master!$A$2:$A$44,0)),"Not Found")</f>
        <v>Dylan Jones</v>
      </c>
      <c r="E107" s="5" t="str">
        <f>IFERROR(INDEX(Employee_Master!$C$2:$C$44,MATCH($C107,Employee_Master!$A$2:$A$44,0)),"Not Found")</f>
        <v>Sales</v>
      </c>
      <c r="F107" s="5" t="str">
        <f>IFERROR(INDEX(Employee_Master!$D$2:$D$44,MATCH($C107,Employee_Master!$A$2:$A$44,0)),"Not Found")</f>
        <v>Jose Soto</v>
      </c>
      <c r="G107" s="5" t="str">
        <f>IFERROR(INDEX(Employee_Master!$E$2:$E$44,MATCH($C107,Employee_Master!$A$2:$A$44,0)),"Not Found")</f>
        <v>South</v>
      </c>
      <c r="H107" s="5" t="str">
        <f>Sales_Data!D104</f>
        <v>P022 - Face Wash</v>
      </c>
      <c r="I107" s="5" t="str">
        <f>IFERROR(INDEX(Product_Master!$B$2:$B$30,MATCH($H107,Product_Master!$A$2:$A$30,0)),"Invalid Product Code")</f>
        <v>Beauty</v>
      </c>
      <c r="J107" s="5">
        <f>IFERROR(INDEX(Product_Master!$C$2:$C$30,MATCH($H107,Product_Master!$A$2:$A$30,0)),0)</f>
        <v>396.75</v>
      </c>
      <c r="K107" s="5">
        <f>Sales_Data!E104</f>
        <v>1</v>
      </c>
      <c r="L107" s="5">
        <f>Sales_Data!F104</f>
        <v>366.85</v>
      </c>
      <c r="M107" s="5">
        <f>Sales_Data!G104</f>
        <v>375.48</v>
      </c>
      <c r="N107" s="5" t="str">
        <f>IFERROR(INDEX(Branch_Master!$B$2:$B$9,MATCH($B107,Branch_Master!$A$2:$A$9,0)),"Not Found")</f>
        <v>Bangalore</v>
      </c>
      <c r="O107" s="5" t="str">
        <f>IFERROR(INDEX(Branch_Master!$C$2:$C$9,MATCH($B107,Branch_Master!$A$2:$A$9,0)),"Not Found")</f>
        <v>Karnataka</v>
      </c>
      <c r="P107" s="5">
        <f>IFERROR(INDEX(Targets!$B$2:$B$9,MATCH($B107,Targets!$A$2:$A$9,0)),0)</f>
        <v>900000</v>
      </c>
      <c r="Q107" s="5" t="str">
        <f t="shared" si="2"/>
        <v>No</v>
      </c>
      <c r="R107" s="5" t="str">
        <f t="shared" si="3"/>
        <v>Feb</v>
      </c>
    </row>
    <row r="108" spans="1:18" ht="15" customHeight="1" x14ac:dyDescent="0.3">
      <c r="A108" s="5" t="str">
        <f>Sales_Data!A105</f>
        <v>2025-02-07</v>
      </c>
      <c r="B108" s="5" t="str">
        <f>Sales_Data!B105</f>
        <v>Chennai South</v>
      </c>
      <c r="C108" s="5" t="str">
        <f>Sales_Data!C105</f>
        <v>E015</v>
      </c>
      <c r="D108" s="5" t="str">
        <f>IFERROR(INDEX(Employee_Master!$B$2:$B$44,MATCH($C108,Employee_Master!$A$2:$A$44,0)),"Not Found")</f>
        <v>Cassandra Hansen</v>
      </c>
      <c r="E108" s="5" t="str">
        <f>IFERROR(INDEX(Employee_Master!$C$2:$C$44,MATCH($C108,Employee_Master!$A$2:$A$44,0)),"Not Found")</f>
        <v>Customer Support</v>
      </c>
      <c r="F108" s="5" t="str">
        <f>IFERROR(INDEX(Employee_Master!$D$2:$D$44,MATCH($C108,Employee_Master!$A$2:$A$44,0)),"Not Found")</f>
        <v>Robert Steele</v>
      </c>
      <c r="G108" s="5" t="str">
        <f>IFERROR(INDEX(Employee_Master!$E$2:$E$44,MATCH($C108,Employee_Master!$A$2:$A$44,0)),"Not Found")</f>
        <v>South</v>
      </c>
      <c r="H108" s="5" t="str">
        <f>Sales_Data!D105</f>
        <v>P007 - Cotton T-Shirt</v>
      </c>
      <c r="I108" s="5" t="str">
        <f>IFERROR(INDEX(Product_Master!$B$2:$B$30,MATCH($H108,Product_Master!$A$2:$A$30,0)),"Invalid Product Code")</f>
        <v>Apparel</v>
      </c>
      <c r="J108" s="5">
        <f>IFERROR(INDEX(Product_Master!$C$2:$C$30,MATCH($H108,Product_Master!$A$2:$A$30,0)),0)</f>
        <v>338.44</v>
      </c>
      <c r="K108" s="5">
        <f>Sales_Data!E105</f>
        <v>12</v>
      </c>
      <c r="L108" s="5">
        <f>Sales_Data!F105</f>
        <v>3668.61</v>
      </c>
      <c r="M108" s="5">
        <f>Sales_Data!G105</f>
        <v>3780.07</v>
      </c>
      <c r="N108" s="5" t="str">
        <f>IFERROR(INDEX(Branch_Master!$B$2:$B$9,MATCH($B108,Branch_Master!$A$2:$A$9,0)),"Not Found")</f>
        <v>Chennai</v>
      </c>
      <c r="O108" s="5" t="str">
        <f>IFERROR(INDEX(Branch_Master!$C$2:$C$9,MATCH($B108,Branch_Master!$A$2:$A$9,0)),"Not Found")</f>
        <v>Tamil Nadu</v>
      </c>
      <c r="P108" s="5">
        <f>IFERROR(INDEX(Targets!$B$2:$B$9,MATCH($B108,Targets!$A$2:$A$9,0)),0)</f>
        <v>1910000</v>
      </c>
      <c r="Q108" s="5" t="str">
        <f t="shared" si="2"/>
        <v>No</v>
      </c>
      <c r="R108" s="5" t="str">
        <f t="shared" si="3"/>
        <v>Feb</v>
      </c>
    </row>
    <row r="109" spans="1:18" ht="15" customHeight="1" x14ac:dyDescent="0.3">
      <c r="A109" s="5" t="str">
        <f>Sales_Data!A106</f>
        <v>2025-02-07</v>
      </c>
      <c r="B109" s="5" t="str">
        <f>Sales_Data!B106</f>
        <v>Hyderabad Hitech</v>
      </c>
      <c r="C109" s="5" t="str">
        <f>Sales_Data!C106</f>
        <v>E020</v>
      </c>
      <c r="D109" s="5" t="str">
        <f>IFERROR(INDEX(Employee_Master!$B$2:$B$44,MATCH($C109,Employee_Master!$A$2:$A$44,0)),"Not Found")</f>
        <v>Christine Long</v>
      </c>
      <c r="E109" s="5" t="str">
        <f>IFERROR(INDEX(Employee_Master!$C$2:$C$44,MATCH($C109,Employee_Master!$A$2:$A$44,0)),"Not Found")</f>
        <v>Operations</v>
      </c>
      <c r="F109" s="5" t="str">
        <f>IFERROR(INDEX(Employee_Master!$D$2:$D$44,MATCH($C109,Employee_Master!$A$2:$A$44,0)),"Not Found")</f>
        <v>Anna Turner</v>
      </c>
      <c r="G109" s="5" t="str">
        <f>IFERROR(INDEX(Employee_Master!$E$2:$E$44,MATCH($C109,Employee_Master!$A$2:$A$44,0)),"Not Found")</f>
        <v>South</v>
      </c>
      <c r="H109" s="5" t="str">
        <f>Sales_Data!D106</f>
        <v>P011 - Winter Jacket</v>
      </c>
      <c r="I109" s="5" t="str">
        <f>IFERROR(INDEX(Product_Master!$B$2:$B$30,MATCH($H109,Product_Master!$A$2:$A$30,0)),"Invalid Product Code")</f>
        <v>Apparel</v>
      </c>
      <c r="J109" s="5">
        <f>IFERROR(INDEX(Product_Master!$C$2:$C$30,MATCH($H109,Product_Master!$A$2:$A$30,0)),0)</f>
        <v>264.97000000000003</v>
      </c>
      <c r="K109" s="5">
        <f>Sales_Data!E106</f>
        <v>3</v>
      </c>
      <c r="L109" s="5">
        <f>Sales_Data!F106</f>
        <v>867.69</v>
      </c>
      <c r="M109" s="5">
        <f>Sales_Data!G106</f>
        <v>808.92</v>
      </c>
      <c r="N109" s="5" t="str">
        <f>IFERROR(INDEX(Branch_Master!$B$2:$B$9,MATCH($B109,Branch_Master!$A$2:$A$9,0)),"Not Found")</f>
        <v>Hyderabad</v>
      </c>
      <c r="O109" s="5" t="str">
        <f>IFERROR(INDEX(Branch_Master!$C$2:$C$9,MATCH($B109,Branch_Master!$A$2:$A$9,0)),"Not Found")</f>
        <v>Telangana</v>
      </c>
      <c r="P109" s="5">
        <f>IFERROR(INDEX(Targets!$B$2:$B$9,MATCH($B109,Targets!$A$2:$A$9,0)),0)</f>
        <v>1210000</v>
      </c>
      <c r="Q109" s="5" t="str">
        <f t="shared" si="2"/>
        <v>Yes</v>
      </c>
      <c r="R109" s="5" t="str">
        <f t="shared" si="3"/>
        <v>Feb</v>
      </c>
    </row>
    <row r="110" spans="1:18" ht="15" customHeight="1" x14ac:dyDescent="0.3">
      <c r="A110" s="5" t="str">
        <f>Sales_Data!A107</f>
        <v>2025-02-08</v>
      </c>
      <c r="B110" s="5" t="str">
        <f>Sales_Data!B107</f>
        <v>Pune East</v>
      </c>
      <c r="C110" s="5" t="str">
        <f>Sales_Data!C107</f>
        <v>E023</v>
      </c>
      <c r="D110" s="5" t="str">
        <f>IFERROR(INDEX(Employee_Master!$B$2:$B$44,MATCH($C110,Employee_Master!$A$2:$A$44,0)),"Not Found")</f>
        <v>Edward Jones</v>
      </c>
      <c r="E110" s="5" t="str">
        <f>IFERROR(INDEX(Employee_Master!$C$2:$C$44,MATCH($C110,Employee_Master!$A$2:$A$44,0)),"Not Found")</f>
        <v>Operations</v>
      </c>
      <c r="F110" s="5" t="str">
        <f>IFERROR(INDEX(Employee_Master!$D$2:$D$44,MATCH($C110,Employee_Master!$A$2:$A$44,0)),"Not Found")</f>
        <v>Jordan Matthews</v>
      </c>
      <c r="G110" s="5" t="str">
        <f>IFERROR(INDEX(Employee_Master!$E$2:$E$44,MATCH($C110,Employee_Master!$A$2:$A$44,0)),"Not Found")</f>
        <v>West</v>
      </c>
      <c r="H110" s="5" t="str">
        <f>Sales_Data!D107</f>
        <v>P021 - Assorted Spices Kit</v>
      </c>
      <c r="I110" s="5" t="str">
        <f>IFERROR(INDEX(Product_Master!$B$2:$B$30,MATCH($H110,Product_Master!$A$2:$A$30,0)),"Invalid Product Code")</f>
        <v>Grocery</v>
      </c>
      <c r="J110" s="5">
        <f>IFERROR(INDEX(Product_Master!$C$2:$C$30,MATCH($H110,Product_Master!$A$2:$A$30,0)),0)</f>
        <v>1060.97</v>
      </c>
      <c r="K110" s="5">
        <f>Sales_Data!E107</f>
        <v>6</v>
      </c>
      <c r="L110" s="5">
        <f>Sales_Data!F107</f>
        <v>5803.28</v>
      </c>
      <c r="M110" s="5">
        <f>Sales_Data!G107</f>
        <v>6534.16</v>
      </c>
      <c r="N110" s="5" t="str">
        <f>IFERROR(INDEX(Branch_Master!$B$2:$B$9,MATCH($B110,Branch_Master!$A$2:$A$9,0)),"Not Found")</f>
        <v>Pune</v>
      </c>
      <c r="O110" s="5" t="str">
        <f>IFERROR(INDEX(Branch_Master!$C$2:$C$9,MATCH($B110,Branch_Master!$A$2:$A$9,0)),"Not Found")</f>
        <v>Maharashtra</v>
      </c>
      <c r="P110" s="5">
        <f>IFERROR(INDEX(Targets!$B$2:$B$9,MATCH($B110,Targets!$A$2:$A$9,0)),0)</f>
        <v>1250000</v>
      </c>
      <c r="Q110" s="5" t="str">
        <f t="shared" si="2"/>
        <v>No</v>
      </c>
      <c r="R110" s="5" t="str">
        <f t="shared" si="3"/>
        <v>Feb</v>
      </c>
    </row>
    <row r="111" spans="1:18" ht="15" customHeight="1" x14ac:dyDescent="0.3">
      <c r="A111" s="5" t="str">
        <f>Sales_Data!A108</f>
        <v>2025-02-08</v>
      </c>
      <c r="B111" s="5" t="str">
        <f>Sales_Data!B108</f>
        <v>Delhi NCR</v>
      </c>
      <c r="C111" s="5" t="str">
        <f>Sales_Data!C108</f>
        <v>E013</v>
      </c>
      <c r="D111" s="5" t="str">
        <f>IFERROR(INDEX(Employee_Master!$B$2:$B$44,MATCH($C111,Employee_Master!$A$2:$A$44,0)),"Not Found")</f>
        <v>Norma Wilson</v>
      </c>
      <c r="E111" s="5" t="str">
        <f>IFERROR(INDEX(Employee_Master!$C$2:$C$44,MATCH($C111,Employee_Master!$A$2:$A$44,0)),"Not Found")</f>
        <v>Customer Support</v>
      </c>
      <c r="F111" s="5" t="str">
        <f>IFERROR(INDEX(Employee_Master!$D$2:$D$44,MATCH($C111,Employee_Master!$A$2:$A$44,0)),"Not Found")</f>
        <v>William Oconnell</v>
      </c>
      <c r="G111" s="5" t="str">
        <f>IFERROR(INDEX(Employee_Master!$E$2:$E$44,MATCH($C111,Employee_Master!$A$2:$A$44,0)),"Not Found")</f>
        <v>North</v>
      </c>
      <c r="H111" s="5" t="str">
        <f>Sales_Data!D108</f>
        <v>P021 - Assorted Spices Kit</v>
      </c>
      <c r="I111" s="5" t="str">
        <f>IFERROR(INDEX(Product_Master!$B$2:$B$30,MATCH($H111,Product_Master!$A$2:$A$30,0)),"Invalid Product Code")</f>
        <v>Grocery</v>
      </c>
      <c r="J111" s="5">
        <f>IFERROR(INDEX(Product_Master!$C$2:$C$30,MATCH($H111,Product_Master!$A$2:$A$30,0)),0)</f>
        <v>1060.97</v>
      </c>
      <c r="K111" s="5">
        <f>Sales_Data!E108</f>
        <v>1</v>
      </c>
      <c r="L111" s="5">
        <f>Sales_Data!F108</f>
        <v>1035.8800000000001</v>
      </c>
      <c r="M111" s="5">
        <f>Sales_Data!G108</f>
        <v>940.97</v>
      </c>
      <c r="N111" s="5" t="str">
        <f>IFERROR(INDEX(Branch_Master!$B$2:$B$9,MATCH($B111,Branch_Master!$A$2:$A$9,0)),"Not Found")</f>
        <v>New Delhi</v>
      </c>
      <c r="O111" s="5" t="str">
        <f>IFERROR(INDEX(Branch_Master!$C$2:$C$9,MATCH($B111,Branch_Master!$A$2:$A$9,0)),"Not Found")</f>
        <v>Delhi</v>
      </c>
      <c r="P111" s="5">
        <f>IFERROR(INDEX(Targets!$B$2:$B$9,MATCH($B111,Targets!$A$2:$A$9,0)),0)</f>
        <v>2070000</v>
      </c>
      <c r="Q111" s="5" t="str">
        <f t="shared" si="2"/>
        <v>Yes</v>
      </c>
      <c r="R111" s="5" t="str">
        <f t="shared" si="3"/>
        <v>Feb</v>
      </c>
    </row>
    <row r="112" spans="1:18" ht="15" customHeight="1" x14ac:dyDescent="0.3">
      <c r="A112" s="5" t="str">
        <f>Sales_Data!A109</f>
        <v>2025-02-08</v>
      </c>
      <c r="B112" s="5" t="str">
        <f>Sales_Data!B109</f>
        <v>Pune East</v>
      </c>
      <c r="C112" s="5" t="str">
        <f>Sales_Data!C109</f>
        <v>E023</v>
      </c>
      <c r="D112" s="5" t="str">
        <f>IFERROR(INDEX(Employee_Master!$B$2:$B$44,MATCH($C112,Employee_Master!$A$2:$A$44,0)),"Not Found")</f>
        <v>Edward Jones</v>
      </c>
      <c r="E112" s="5" t="str">
        <f>IFERROR(INDEX(Employee_Master!$C$2:$C$44,MATCH($C112,Employee_Master!$A$2:$A$44,0)),"Not Found")</f>
        <v>Operations</v>
      </c>
      <c r="F112" s="5" t="str">
        <f>IFERROR(INDEX(Employee_Master!$D$2:$D$44,MATCH($C112,Employee_Master!$A$2:$A$44,0)),"Not Found")</f>
        <v>Jordan Matthews</v>
      </c>
      <c r="G112" s="5" t="str">
        <f>IFERROR(INDEX(Employee_Master!$E$2:$E$44,MATCH($C112,Employee_Master!$A$2:$A$44,0)),"Not Found")</f>
        <v>West</v>
      </c>
      <c r="H112" s="5" t="str">
        <f>Sales_Data!D109</f>
        <v>P026 - Yoga Mat</v>
      </c>
      <c r="I112" s="5" t="str">
        <f>IFERROR(INDEX(Product_Master!$B$2:$B$30,MATCH($H112,Product_Master!$A$2:$A$30,0)),"Invalid Product Code")</f>
        <v>Sports</v>
      </c>
      <c r="J112" s="5">
        <f>IFERROR(INDEX(Product_Master!$C$2:$C$30,MATCH($H112,Product_Master!$A$2:$A$30,0)),0)</f>
        <v>518.76</v>
      </c>
      <c r="K112" s="5">
        <f>Sales_Data!E109</f>
        <v>10</v>
      </c>
      <c r="L112" s="5">
        <f>Sales_Data!F109</f>
        <v>5538.27</v>
      </c>
      <c r="M112" s="5">
        <f>Sales_Data!G109</f>
        <v>5606.14</v>
      </c>
      <c r="N112" s="5" t="str">
        <f>IFERROR(INDEX(Branch_Master!$B$2:$B$9,MATCH($B112,Branch_Master!$A$2:$A$9,0)),"Not Found")</f>
        <v>Pune</v>
      </c>
      <c r="O112" s="5" t="str">
        <f>IFERROR(INDEX(Branch_Master!$C$2:$C$9,MATCH($B112,Branch_Master!$A$2:$A$9,0)),"Not Found")</f>
        <v>Maharashtra</v>
      </c>
      <c r="P112" s="5">
        <f>IFERROR(INDEX(Targets!$B$2:$B$9,MATCH($B112,Targets!$A$2:$A$9,0)),0)</f>
        <v>1250000</v>
      </c>
      <c r="Q112" s="5" t="str">
        <f t="shared" si="2"/>
        <v>No</v>
      </c>
      <c r="R112" s="5" t="str">
        <f t="shared" si="3"/>
        <v>Feb</v>
      </c>
    </row>
    <row r="113" spans="1:18" ht="15" customHeight="1" x14ac:dyDescent="0.3">
      <c r="A113" s="5" t="str">
        <f>Sales_Data!A110</f>
        <v>2025-02-08</v>
      </c>
      <c r="B113" s="5" t="str">
        <f>Sales_Data!B110</f>
        <v>Pune East</v>
      </c>
      <c r="C113" s="5" t="str">
        <f>Sales_Data!C110</f>
        <v>E034</v>
      </c>
      <c r="D113" s="5" t="str">
        <f>IFERROR(INDEX(Employee_Master!$B$2:$B$44,MATCH($C113,Employee_Master!$A$2:$A$44,0)),"Not Found")</f>
        <v>Elaine Thompson</v>
      </c>
      <c r="E113" s="5" t="str">
        <f>IFERROR(INDEX(Employee_Master!$C$2:$C$44,MATCH($C113,Employee_Master!$A$2:$A$44,0)),"Not Found")</f>
        <v>Marketing</v>
      </c>
      <c r="F113" s="5" t="str">
        <f>IFERROR(INDEX(Employee_Master!$D$2:$D$44,MATCH($C113,Employee_Master!$A$2:$A$44,0)),"Not Found")</f>
        <v>Jordan Matthews</v>
      </c>
      <c r="G113" s="5" t="str">
        <f>IFERROR(INDEX(Employee_Master!$E$2:$E$44,MATCH($C113,Employee_Master!$A$2:$A$44,0)),"Not Found")</f>
        <v>West</v>
      </c>
      <c r="H113" s="5" t="str">
        <f>Sales_Data!D110</f>
        <v>P009 - Formal Shirt</v>
      </c>
      <c r="I113" s="5" t="str">
        <f>IFERROR(INDEX(Product_Master!$B$2:$B$30,MATCH($H113,Product_Master!$A$2:$A$30,0)),"Invalid Product Code")</f>
        <v>Apparel</v>
      </c>
      <c r="J113" s="5">
        <f>IFERROR(INDEX(Product_Master!$C$2:$C$30,MATCH($H113,Product_Master!$A$2:$A$30,0)),0)</f>
        <v>661.65</v>
      </c>
      <c r="K113" s="5">
        <f>Sales_Data!E110</f>
        <v>1</v>
      </c>
      <c r="L113" s="5">
        <f>Sales_Data!F110</f>
        <v>682.1</v>
      </c>
      <c r="M113" s="5">
        <f>Sales_Data!G110</f>
        <v>593.14</v>
      </c>
      <c r="N113" s="5" t="str">
        <f>IFERROR(INDEX(Branch_Master!$B$2:$B$9,MATCH($B113,Branch_Master!$A$2:$A$9,0)),"Not Found")</f>
        <v>Pune</v>
      </c>
      <c r="O113" s="5" t="str">
        <f>IFERROR(INDEX(Branch_Master!$C$2:$C$9,MATCH($B113,Branch_Master!$A$2:$A$9,0)),"Not Found")</f>
        <v>Maharashtra</v>
      </c>
      <c r="P113" s="5">
        <f>IFERROR(INDEX(Targets!$B$2:$B$9,MATCH($B113,Targets!$A$2:$A$9,0)),0)</f>
        <v>1250000</v>
      </c>
      <c r="Q113" s="5" t="str">
        <f t="shared" si="2"/>
        <v>Yes</v>
      </c>
      <c r="R113" s="5" t="str">
        <f t="shared" si="3"/>
        <v>Feb</v>
      </c>
    </row>
    <row r="114" spans="1:18" ht="15" customHeight="1" x14ac:dyDescent="0.3">
      <c r="A114" s="5" t="str">
        <f>Sales_Data!A111</f>
        <v>2025-02-08</v>
      </c>
      <c r="B114" s="5" t="str">
        <f>Sales_Data!B111</f>
        <v>Pune East</v>
      </c>
      <c r="C114" s="5" t="str">
        <f>Sales_Data!C111</f>
        <v>E022</v>
      </c>
      <c r="D114" s="5" t="str">
        <f>IFERROR(INDEX(Employee_Master!$B$2:$B$44,MATCH($C114,Employee_Master!$A$2:$A$44,0)),"Not Found")</f>
        <v>Cindy Green PhD</v>
      </c>
      <c r="E114" s="5" t="str">
        <f>IFERROR(INDEX(Employee_Master!$C$2:$C$44,MATCH($C114,Employee_Master!$A$2:$A$44,0)),"Not Found")</f>
        <v>Customer Support</v>
      </c>
      <c r="F114" s="5" t="str">
        <f>IFERROR(INDEX(Employee_Master!$D$2:$D$44,MATCH($C114,Employee_Master!$A$2:$A$44,0)),"Not Found")</f>
        <v>Jordan Matthews</v>
      </c>
      <c r="G114" s="5" t="str">
        <f>IFERROR(INDEX(Employee_Master!$E$2:$E$44,MATCH($C114,Employee_Master!$A$2:$A$44,0)),"Not Found")</f>
        <v>West</v>
      </c>
      <c r="H114" s="5" t="str">
        <f>Sales_Data!D111</f>
        <v>P028 - Football</v>
      </c>
      <c r="I114" s="5" t="str">
        <f>IFERROR(INDEX(Product_Master!$B$2:$B$30,MATCH($H114,Product_Master!$A$2:$A$30,0)),"Invalid Product Code")</f>
        <v>Sports</v>
      </c>
      <c r="J114" s="5">
        <f>IFERROR(INDEX(Product_Master!$C$2:$C$30,MATCH($H114,Product_Master!$A$2:$A$30,0)),0)</f>
        <v>314.25</v>
      </c>
      <c r="K114" s="5">
        <f>Sales_Data!E111</f>
        <v>3</v>
      </c>
      <c r="L114" s="5">
        <f>Sales_Data!F111</f>
        <v>999.05</v>
      </c>
      <c r="M114" s="5">
        <f>Sales_Data!G111</f>
        <v>1003.52</v>
      </c>
      <c r="N114" s="5" t="str">
        <f>IFERROR(INDEX(Branch_Master!$B$2:$B$9,MATCH($B114,Branch_Master!$A$2:$A$9,0)),"Not Found")</f>
        <v>Pune</v>
      </c>
      <c r="O114" s="5" t="str">
        <f>IFERROR(INDEX(Branch_Master!$C$2:$C$9,MATCH($B114,Branch_Master!$A$2:$A$9,0)),"Not Found")</f>
        <v>Maharashtra</v>
      </c>
      <c r="P114" s="5">
        <f>IFERROR(INDEX(Targets!$B$2:$B$9,MATCH($B114,Targets!$A$2:$A$9,0)),0)</f>
        <v>1250000</v>
      </c>
      <c r="Q114" s="5" t="str">
        <f t="shared" si="2"/>
        <v>No</v>
      </c>
      <c r="R114" s="5" t="str">
        <f t="shared" si="3"/>
        <v>Feb</v>
      </c>
    </row>
    <row r="115" spans="1:18" ht="15" customHeight="1" x14ac:dyDescent="0.3">
      <c r="A115" s="5" t="str">
        <f>Sales_Data!A112</f>
        <v>2025-02-08</v>
      </c>
      <c r="B115" s="5" t="str">
        <f>Sales_Data!B112</f>
        <v>Bangalore North</v>
      </c>
      <c r="C115" s="5" t="str">
        <f>Sales_Data!C112</f>
        <v>E003</v>
      </c>
      <c r="D115" s="5" t="str">
        <f>IFERROR(INDEX(Employee_Master!$B$2:$B$44,MATCH($C115,Employee_Master!$A$2:$A$44,0)),"Not Found")</f>
        <v>Margaret Porter</v>
      </c>
      <c r="E115" s="5" t="str">
        <f>IFERROR(INDEX(Employee_Master!$C$2:$C$44,MATCH($C115,Employee_Master!$A$2:$A$44,0)),"Not Found")</f>
        <v>Customer Support</v>
      </c>
      <c r="F115" s="5" t="str">
        <f>IFERROR(INDEX(Employee_Master!$D$2:$D$44,MATCH($C115,Employee_Master!$A$2:$A$44,0)),"Not Found")</f>
        <v>Jose Soto</v>
      </c>
      <c r="G115" s="5" t="str">
        <f>IFERROR(INDEX(Employee_Master!$E$2:$E$44,MATCH($C115,Employee_Master!$A$2:$A$44,0)),"Not Found")</f>
        <v>South</v>
      </c>
      <c r="H115" s="5" t="str">
        <f>Sales_Data!D112</f>
        <v>P015 - Water Bottle</v>
      </c>
      <c r="I115" s="5" t="str">
        <f>IFERROR(INDEX(Product_Master!$B$2:$B$30,MATCH($H115,Product_Master!$A$2:$A$30,0)),"Invalid Product Code")</f>
        <v>Home &amp; Kitchen</v>
      </c>
      <c r="J115" s="5">
        <f>IFERROR(INDEX(Product_Master!$C$2:$C$30,MATCH($H115,Product_Master!$A$2:$A$30,0)),0)</f>
        <v>197.57</v>
      </c>
      <c r="K115" s="5">
        <f>Sales_Data!E112</f>
        <v>11</v>
      </c>
      <c r="L115" s="5">
        <f>Sales_Data!F112</f>
        <v>2282.61</v>
      </c>
      <c r="M115" s="5">
        <f>Sales_Data!G112</f>
        <v>2093.62</v>
      </c>
      <c r="N115" s="5" t="str">
        <f>IFERROR(INDEX(Branch_Master!$B$2:$B$9,MATCH($B115,Branch_Master!$A$2:$A$9,0)),"Not Found")</f>
        <v>Bangalore</v>
      </c>
      <c r="O115" s="5" t="str">
        <f>IFERROR(INDEX(Branch_Master!$C$2:$C$9,MATCH($B115,Branch_Master!$A$2:$A$9,0)),"Not Found")</f>
        <v>Karnataka</v>
      </c>
      <c r="P115" s="5">
        <f>IFERROR(INDEX(Targets!$B$2:$B$9,MATCH($B115,Targets!$A$2:$A$9,0)),0)</f>
        <v>900000</v>
      </c>
      <c r="Q115" s="5" t="str">
        <f t="shared" si="2"/>
        <v>Yes</v>
      </c>
      <c r="R115" s="5" t="str">
        <f t="shared" si="3"/>
        <v>Feb</v>
      </c>
    </row>
    <row r="116" spans="1:18" ht="15" customHeight="1" x14ac:dyDescent="0.3">
      <c r="A116" s="5" t="str">
        <f>Sales_Data!A113</f>
        <v>2025-02-08</v>
      </c>
      <c r="B116" s="5" t="str">
        <f>Sales_Data!B113</f>
        <v>Chennai South</v>
      </c>
      <c r="C116" s="5" t="str">
        <f>Sales_Data!C113</f>
        <v>E015</v>
      </c>
      <c r="D116" s="5" t="str">
        <f>IFERROR(INDEX(Employee_Master!$B$2:$B$44,MATCH($C116,Employee_Master!$A$2:$A$44,0)),"Not Found")</f>
        <v>Cassandra Hansen</v>
      </c>
      <c r="E116" s="5" t="str">
        <f>IFERROR(INDEX(Employee_Master!$C$2:$C$44,MATCH($C116,Employee_Master!$A$2:$A$44,0)),"Not Found")</f>
        <v>Customer Support</v>
      </c>
      <c r="F116" s="5" t="str">
        <f>IFERROR(INDEX(Employee_Master!$D$2:$D$44,MATCH($C116,Employee_Master!$A$2:$A$44,0)),"Not Found")</f>
        <v>Robert Steele</v>
      </c>
      <c r="G116" s="5" t="str">
        <f>IFERROR(INDEX(Employee_Master!$E$2:$E$44,MATCH($C116,Employee_Master!$A$2:$A$44,0)),"Not Found")</f>
        <v>South</v>
      </c>
      <c r="H116" s="5" t="str">
        <f>Sales_Data!D113</f>
        <v>P022 - Face Wash</v>
      </c>
      <c r="I116" s="5" t="str">
        <f>IFERROR(INDEX(Product_Master!$B$2:$B$30,MATCH($H116,Product_Master!$A$2:$A$30,0)),"Invalid Product Code")</f>
        <v>Beauty</v>
      </c>
      <c r="J116" s="5">
        <f>IFERROR(INDEX(Product_Master!$C$2:$C$30,MATCH($H116,Product_Master!$A$2:$A$30,0)),0)</f>
        <v>396.75</v>
      </c>
      <c r="K116" s="5">
        <f>Sales_Data!E113</f>
        <v>10</v>
      </c>
      <c r="L116" s="5">
        <f>Sales_Data!F113</f>
        <v>3635.59</v>
      </c>
      <c r="M116" s="5">
        <f>Sales_Data!G113</f>
        <v>3733.98</v>
      </c>
      <c r="N116" s="5" t="str">
        <f>IFERROR(INDEX(Branch_Master!$B$2:$B$9,MATCH($B116,Branch_Master!$A$2:$A$9,0)),"Not Found")</f>
        <v>Chennai</v>
      </c>
      <c r="O116" s="5" t="str">
        <f>IFERROR(INDEX(Branch_Master!$C$2:$C$9,MATCH($B116,Branch_Master!$A$2:$A$9,0)),"Not Found")</f>
        <v>Tamil Nadu</v>
      </c>
      <c r="P116" s="5">
        <f>IFERROR(INDEX(Targets!$B$2:$B$9,MATCH($B116,Targets!$A$2:$A$9,0)),0)</f>
        <v>1910000</v>
      </c>
      <c r="Q116" s="5" t="str">
        <f t="shared" si="2"/>
        <v>No</v>
      </c>
      <c r="R116" s="5" t="str">
        <f t="shared" si="3"/>
        <v>Feb</v>
      </c>
    </row>
    <row r="117" spans="1:18" ht="15" customHeight="1" x14ac:dyDescent="0.3">
      <c r="A117" s="5" t="str">
        <f>Sales_Data!A114</f>
        <v>2025-02-08</v>
      </c>
      <c r="B117" s="5" t="str">
        <f>Sales_Data!B114</f>
        <v>Mumbai Central</v>
      </c>
      <c r="C117" s="5" t="str">
        <f>Sales_Data!C114</f>
        <v>E036</v>
      </c>
      <c r="D117" s="5" t="str">
        <f>IFERROR(INDEX(Employee_Master!$B$2:$B$44,MATCH($C117,Employee_Master!$A$2:$A$44,0)),"Not Found")</f>
        <v>Sarah Mendez</v>
      </c>
      <c r="E117" s="5" t="str">
        <f>IFERROR(INDEX(Employee_Master!$C$2:$C$44,MATCH($C117,Employee_Master!$A$2:$A$44,0)),"Not Found")</f>
        <v>Sales</v>
      </c>
      <c r="F117" s="5" t="str">
        <f>IFERROR(INDEX(Employee_Master!$D$2:$D$44,MATCH($C117,Employee_Master!$A$2:$A$44,0)),"Not Found")</f>
        <v>Justin Glass</v>
      </c>
      <c r="G117" s="5" t="str">
        <f>IFERROR(INDEX(Employee_Master!$E$2:$E$44,MATCH($C117,Employee_Master!$A$2:$A$44,0)),"Not Found")</f>
        <v>West</v>
      </c>
      <c r="H117" s="5" t="str">
        <f>Sales_Data!D114</f>
        <v>P018 - Cooking Oil 1L</v>
      </c>
      <c r="I117" s="5" t="str">
        <f>IFERROR(INDEX(Product_Master!$B$2:$B$30,MATCH($H117,Product_Master!$A$2:$A$30,0)),"Invalid Product Code")</f>
        <v>Grocery</v>
      </c>
      <c r="J117" s="5">
        <f>IFERROR(INDEX(Product_Master!$C$2:$C$30,MATCH($H117,Product_Master!$A$2:$A$30,0)),0)</f>
        <v>1483.63</v>
      </c>
      <c r="K117" s="5">
        <f>Sales_Data!E114</f>
        <v>7</v>
      </c>
      <c r="L117" s="5">
        <f>Sales_Data!F114</f>
        <v>10619.73</v>
      </c>
      <c r="M117" s="5">
        <f>Sales_Data!G114</f>
        <v>9025.84</v>
      </c>
      <c r="N117" s="5" t="str">
        <f>IFERROR(INDEX(Branch_Master!$B$2:$B$9,MATCH($B117,Branch_Master!$A$2:$A$9,0)),"Not Found")</f>
        <v>Mumbai</v>
      </c>
      <c r="O117" s="5" t="str">
        <f>IFERROR(INDEX(Branch_Master!$C$2:$C$9,MATCH($B117,Branch_Master!$A$2:$A$9,0)),"Not Found")</f>
        <v>Maharashtra</v>
      </c>
      <c r="P117" s="5">
        <f>IFERROR(INDEX(Targets!$B$2:$B$9,MATCH($B117,Targets!$A$2:$A$9,0)),0)</f>
        <v>900000</v>
      </c>
      <c r="Q117" s="5" t="str">
        <f t="shared" si="2"/>
        <v>Yes</v>
      </c>
      <c r="R117" s="5" t="str">
        <f t="shared" si="3"/>
        <v>Feb</v>
      </c>
    </row>
    <row r="118" spans="1:18" ht="15" customHeight="1" x14ac:dyDescent="0.3">
      <c r="A118" s="5" t="str">
        <f>Sales_Data!A115</f>
        <v>2025-02-09</v>
      </c>
      <c r="B118" s="5" t="str">
        <f>Sales_Data!B115</f>
        <v>Hyderabad Hitech</v>
      </c>
      <c r="C118" s="5" t="str">
        <f>Sales_Data!C115</f>
        <v>E030</v>
      </c>
      <c r="D118" s="5" t="str">
        <f>IFERROR(INDEX(Employee_Master!$B$2:$B$44,MATCH($C118,Employee_Master!$A$2:$A$44,0)),"Not Found")</f>
        <v>Travis Khan</v>
      </c>
      <c r="E118" s="5" t="str">
        <f>IFERROR(INDEX(Employee_Master!$C$2:$C$44,MATCH($C118,Employee_Master!$A$2:$A$44,0)),"Not Found")</f>
        <v>Operations</v>
      </c>
      <c r="F118" s="5" t="str">
        <f>IFERROR(INDEX(Employee_Master!$D$2:$D$44,MATCH($C118,Employee_Master!$A$2:$A$44,0)),"Not Found")</f>
        <v>Anna Turner</v>
      </c>
      <c r="G118" s="5" t="str">
        <f>IFERROR(INDEX(Employee_Master!$E$2:$E$44,MATCH($C118,Employee_Master!$A$2:$A$44,0)),"Not Found")</f>
        <v>South</v>
      </c>
      <c r="H118" s="5" t="str">
        <f>Sales_Data!D115</f>
        <v>P003 - Bluetooth Speaker</v>
      </c>
      <c r="I118" s="5" t="str">
        <f>IFERROR(INDEX(Product_Master!$B$2:$B$30,MATCH($H118,Product_Master!$A$2:$A$30,0)),"Invalid Product Code")</f>
        <v>Electronics</v>
      </c>
      <c r="J118" s="5">
        <f>IFERROR(INDEX(Product_Master!$C$2:$C$30,MATCH($H118,Product_Master!$A$2:$A$30,0)),0)</f>
        <v>351.01</v>
      </c>
      <c r="K118" s="5">
        <f>Sales_Data!E115</f>
        <v>1</v>
      </c>
      <c r="L118" s="5">
        <f>Sales_Data!F115</f>
        <v>324.44</v>
      </c>
      <c r="M118" s="5">
        <f>Sales_Data!G115</f>
        <v>398.39</v>
      </c>
      <c r="N118" s="5" t="str">
        <f>IFERROR(INDEX(Branch_Master!$B$2:$B$9,MATCH($B118,Branch_Master!$A$2:$A$9,0)),"Not Found")</f>
        <v>Hyderabad</v>
      </c>
      <c r="O118" s="5" t="str">
        <f>IFERROR(INDEX(Branch_Master!$C$2:$C$9,MATCH($B118,Branch_Master!$A$2:$A$9,0)),"Not Found")</f>
        <v>Telangana</v>
      </c>
      <c r="P118" s="5">
        <f>IFERROR(INDEX(Targets!$B$2:$B$9,MATCH($B118,Targets!$A$2:$A$9,0)),0)</f>
        <v>1210000</v>
      </c>
      <c r="Q118" s="5" t="str">
        <f t="shared" si="2"/>
        <v>No</v>
      </c>
      <c r="R118" s="5" t="str">
        <f t="shared" si="3"/>
        <v>Feb</v>
      </c>
    </row>
    <row r="119" spans="1:18" ht="15" customHeight="1" x14ac:dyDescent="0.3">
      <c r="A119" s="5" t="str">
        <f>Sales_Data!A116</f>
        <v>2025-02-09</v>
      </c>
      <c r="B119" s="5" t="str">
        <f>Sales_Data!B116</f>
        <v>Bangalore North</v>
      </c>
      <c r="C119" s="5" t="str">
        <f>Sales_Data!C116</f>
        <v>E038</v>
      </c>
      <c r="D119" s="5" t="str">
        <f>IFERROR(INDEX(Employee_Master!$B$2:$B$44,MATCH($C119,Employee_Master!$A$2:$A$44,0)),"Not Found")</f>
        <v>Derrick Griffin</v>
      </c>
      <c r="E119" s="5" t="str">
        <f>IFERROR(INDEX(Employee_Master!$C$2:$C$44,MATCH($C119,Employee_Master!$A$2:$A$44,0)),"Not Found")</f>
        <v>Marketing</v>
      </c>
      <c r="F119" s="5" t="str">
        <f>IFERROR(INDEX(Employee_Master!$D$2:$D$44,MATCH($C119,Employee_Master!$A$2:$A$44,0)),"Not Found")</f>
        <v>Jose Soto</v>
      </c>
      <c r="G119" s="5" t="str">
        <f>IFERROR(INDEX(Employee_Master!$E$2:$E$44,MATCH($C119,Employee_Master!$A$2:$A$44,0)),"Not Found")</f>
        <v>South</v>
      </c>
      <c r="H119" s="5" t="str">
        <f>Sales_Data!D116</f>
        <v>P006 - Laptop Stand</v>
      </c>
      <c r="I119" s="5" t="str">
        <f>IFERROR(INDEX(Product_Master!$B$2:$B$30,MATCH($H119,Product_Master!$A$2:$A$30,0)),"Invalid Product Code")</f>
        <v>Electronics</v>
      </c>
      <c r="J119" s="5">
        <f>IFERROR(INDEX(Product_Master!$C$2:$C$30,MATCH($H119,Product_Master!$A$2:$A$30,0)),0)</f>
        <v>393.96</v>
      </c>
      <c r="K119" s="5">
        <f>Sales_Data!E116</f>
        <v>8</v>
      </c>
      <c r="L119" s="5">
        <f>Sales_Data!F116</f>
        <v>2867.33</v>
      </c>
      <c r="M119" s="5">
        <f>Sales_Data!G116</f>
        <v>3329.59</v>
      </c>
      <c r="N119" s="5" t="str">
        <f>IFERROR(INDEX(Branch_Master!$B$2:$B$9,MATCH($B119,Branch_Master!$A$2:$A$9,0)),"Not Found")</f>
        <v>Bangalore</v>
      </c>
      <c r="O119" s="5" t="str">
        <f>IFERROR(INDEX(Branch_Master!$C$2:$C$9,MATCH($B119,Branch_Master!$A$2:$A$9,0)),"Not Found")</f>
        <v>Karnataka</v>
      </c>
      <c r="P119" s="5">
        <f>IFERROR(INDEX(Targets!$B$2:$B$9,MATCH($B119,Targets!$A$2:$A$9,0)),0)</f>
        <v>900000</v>
      </c>
      <c r="Q119" s="5" t="str">
        <f t="shared" si="2"/>
        <v>No</v>
      </c>
      <c r="R119" s="5" t="str">
        <f t="shared" si="3"/>
        <v>Feb</v>
      </c>
    </row>
    <row r="120" spans="1:18" ht="15" customHeight="1" x14ac:dyDescent="0.3">
      <c r="A120" s="5" t="str">
        <f>Sales_Data!A117</f>
        <v>2025-02-10</v>
      </c>
      <c r="B120" s="5" t="str">
        <f>Sales_Data!B117</f>
        <v>Mumbai Central</v>
      </c>
      <c r="C120" s="5" t="str">
        <f>Sales_Data!C117</f>
        <v>E010</v>
      </c>
      <c r="D120" s="5" t="str">
        <f>IFERROR(INDEX(Employee_Master!$B$2:$B$44,MATCH($C120,Employee_Master!$A$2:$A$44,0)),"Not Found")</f>
        <v>William Sanders</v>
      </c>
      <c r="E120" s="5" t="str">
        <f>IFERROR(INDEX(Employee_Master!$C$2:$C$44,MATCH($C120,Employee_Master!$A$2:$A$44,0)),"Not Found")</f>
        <v>Sales</v>
      </c>
      <c r="F120" s="5" t="str">
        <f>IFERROR(INDEX(Employee_Master!$D$2:$D$44,MATCH($C120,Employee_Master!$A$2:$A$44,0)),"Not Found")</f>
        <v>Justin Glass</v>
      </c>
      <c r="G120" s="5" t="str">
        <f>IFERROR(INDEX(Employee_Master!$E$2:$E$44,MATCH($C120,Employee_Master!$A$2:$A$44,0)),"Not Found")</f>
        <v>West</v>
      </c>
      <c r="H120" s="5" t="str">
        <f>Sales_Data!D117</f>
        <v>P011 - Winter Jacket</v>
      </c>
      <c r="I120" s="5" t="str">
        <f>IFERROR(INDEX(Product_Master!$B$2:$B$30,MATCH($H120,Product_Master!$A$2:$A$30,0)),"Invalid Product Code")</f>
        <v>Apparel</v>
      </c>
      <c r="J120" s="5">
        <f>IFERROR(INDEX(Product_Master!$C$2:$C$30,MATCH($H120,Product_Master!$A$2:$A$30,0)),0)</f>
        <v>264.97000000000003</v>
      </c>
      <c r="K120" s="5">
        <f>Sales_Data!E117</f>
        <v>8</v>
      </c>
      <c r="L120" s="5">
        <f>Sales_Data!F117</f>
        <v>1967.02</v>
      </c>
      <c r="M120" s="5">
        <f>Sales_Data!G117</f>
        <v>2303.58</v>
      </c>
      <c r="N120" s="5" t="str">
        <f>IFERROR(INDEX(Branch_Master!$B$2:$B$9,MATCH($B120,Branch_Master!$A$2:$A$9,0)),"Not Found")</f>
        <v>Mumbai</v>
      </c>
      <c r="O120" s="5" t="str">
        <f>IFERROR(INDEX(Branch_Master!$C$2:$C$9,MATCH($B120,Branch_Master!$A$2:$A$9,0)),"Not Found")</f>
        <v>Maharashtra</v>
      </c>
      <c r="P120" s="5">
        <f>IFERROR(INDEX(Targets!$B$2:$B$9,MATCH($B120,Targets!$A$2:$A$9,0)),0)</f>
        <v>900000</v>
      </c>
      <c r="Q120" s="5" t="str">
        <f t="shared" si="2"/>
        <v>No</v>
      </c>
      <c r="R120" s="5" t="str">
        <f t="shared" si="3"/>
        <v>Feb</v>
      </c>
    </row>
    <row r="121" spans="1:18" ht="15" customHeight="1" x14ac:dyDescent="0.3">
      <c r="A121" s="5" t="str">
        <f>Sales_Data!A118</f>
        <v>2025-02-10</v>
      </c>
      <c r="B121" s="5" t="str">
        <f>Sales_Data!B118</f>
        <v>Pune East</v>
      </c>
      <c r="C121" s="5" t="str">
        <f>Sales_Data!C118</f>
        <v>E023</v>
      </c>
      <c r="D121" s="5" t="str">
        <f>IFERROR(INDEX(Employee_Master!$B$2:$B$44,MATCH($C121,Employee_Master!$A$2:$A$44,0)),"Not Found")</f>
        <v>Edward Jones</v>
      </c>
      <c r="E121" s="5" t="str">
        <f>IFERROR(INDEX(Employee_Master!$C$2:$C$44,MATCH($C121,Employee_Master!$A$2:$A$44,0)),"Not Found")</f>
        <v>Operations</v>
      </c>
      <c r="F121" s="5" t="str">
        <f>IFERROR(INDEX(Employee_Master!$D$2:$D$44,MATCH($C121,Employee_Master!$A$2:$A$44,0)),"Not Found")</f>
        <v>Jordan Matthews</v>
      </c>
      <c r="G121" s="5" t="str">
        <f>IFERROR(INDEX(Employee_Master!$E$2:$E$44,MATCH($C121,Employee_Master!$A$2:$A$44,0)),"Not Found")</f>
        <v>West</v>
      </c>
      <c r="H121" s="5" t="str">
        <f>Sales_Data!D118</f>
        <v>P014 - Air Fryer</v>
      </c>
      <c r="I121" s="5" t="str">
        <f>IFERROR(INDEX(Product_Master!$B$2:$B$30,MATCH($H121,Product_Master!$A$2:$A$30,0)),"Invalid Product Code")</f>
        <v>Home &amp; Kitchen</v>
      </c>
      <c r="J121" s="5">
        <f>IFERROR(INDEX(Product_Master!$C$2:$C$30,MATCH($H121,Product_Master!$A$2:$A$30,0)),0)</f>
        <v>729.85</v>
      </c>
      <c r="K121" s="5">
        <f>Sales_Data!E118</f>
        <v>8</v>
      </c>
      <c r="L121" s="5">
        <f>Sales_Data!F118</f>
        <v>6055.58</v>
      </c>
      <c r="M121" s="5">
        <f>Sales_Data!G118</f>
        <v>6298.47</v>
      </c>
      <c r="N121" s="5" t="str">
        <f>IFERROR(INDEX(Branch_Master!$B$2:$B$9,MATCH($B121,Branch_Master!$A$2:$A$9,0)),"Not Found")</f>
        <v>Pune</v>
      </c>
      <c r="O121" s="5" t="str">
        <f>IFERROR(INDEX(Branch_Master!$C$2:$C$9,MATCH($B121,Branch_Master!$A$2:$A$9,0)),"Not Found")</f>
        <v>Maharashtra</v>
      </c>
      <c r="P121" s="5">
        <f>IFERROR(INDEX(Targets!$B$2:$B$9,MATCH($B121,Targets!$A$2:$A$9,0)),0)</f>
        <v>1250000</v>
      </c>
      <c r="Q121" s="5" t="str">
        <f t="shared" si="2"/>
        <v>No</v>
      </c>
      <c r="R121" s="5" t="str">
        <f t="shared" si="3"/>
        <v>Feb</v>
      </c>
    </row>
    <row r="122" spans="1:18" ht="15" customHeight="1" x14ac:dyDescent="0.3">
      <c r="A122" s="5" t="str">
        <f>Sales_Data!A119</f>
        <v>2025-02-10</v>
      </c>
      <c r="B122" s="5" t="str">
        <f>Sales_Data!B119</f>
        <v>Delhi NCR</v>
      </c>
      <c r="C122" s="5" t="str">
        <f>Sales_Data!C119</f>
        <v>E031</v>
      </c>
      <c r="D122" s="5" t="str">
        <f>IFERROR(INDEX(Employee_Master!$B$2:$B$44,MATCH($C122,Employee_Master!$A$2:$A$44,0)),"Not Found")</f>
        <v>Jennifer Garcia</v>
      </c>
      <c r="E122" s="5" t="str">
        <f>IFERROR(INDEX(Employee_Master!$C$2:$C$44,MATCH($C122,Employee_Master!$A$2:$A$44,0)),"Not Found")</f>
        <v>Sales</v>
      </c>
      <c r="F122" s="5" t="str">
        <f>IFERROR(INDEX(Employee_Master!$D$2:$D$44,MATCH($C122,Employee_Master!$A$2:$A$44,0)),"Not Found")</f>
        <v>William Oconnell</v>
      </c>
      <c r="G122" s="5" t="str">
        <f>IFERROR(INDEX(Employee_Master!$E$2:$E$44,MATCH($C122,Employee_Master!$A$2:$A$44,0)),"Not Found")</f>
        <v>North</v>
      </c>
      <c r="H122" s="5" t="str">
        <f>Sales_Data!D119</f>
        <v>P027 - Cricket Bat</v>
      </c>
      <c r="I122" s="5" t="str">
        <f>IFERROR(INDEX(Product_Master!$B$2:$B$30,MATCH($H122,Product_Master!$A$2:$A$30,0)),"Invalid Product Code")</f>
        <v>Sports</v>
      </c>
      <c r="J122" s="5">
        <f>IFERROR(INDEX(Product_Master!$C$2:$C$30,MATCH($H122,Product_Master!$A$2:$A$30,0)),0)</f>
        <v>822.7</v>
      </c>
      <c r="K122" s="5">
        <f>Sales_Data!E119</f>
        <v>12</v>
      </c>
      <c r="L122" s="5">
        <f>Sales_Data!F119</f>
        <v>10294.11</v>
      </c>
      <c r="M122" s="5">
        <f>Sales_Data!G119</f>
        <v>10895.32</v>
      </c>
      <c r="N122" s="5" t="str">
        <f>IFERROR(INDEX(Branch_Master!$B$2:$B$9,MATCH($B122,Branch_Master!$A$2:$A$9,0)),"Not Found")</f>
        <v>New Delhi</v>
      </c>
      <c r="O122" s="5" t="str">
        <f>IFERROR(INDEX(Branch_Master!$C$2:$C$9,MATCH($B122,Branch_Master!$A$2:$A$9,0)),"Not Found")</f>
        <v>Delhi</v>
      </c>
      <c r="P122" s="5">
        <f>IFERROR(INDEX(Targets!$B$2:$B$9,MATCH($B122,Targets!$A$2:$A$9,0)),0)</f>
        <v>2070000</v>
      </c>
      <c r="Q122" s="5" t="str">
        <f t="shared" si="2"/>
        <v>No</v>
      </c>
      <c r="R122" s="5" t="str">
        <f t="shared" si="3"/>
        <v>Feb</v>
      </c>
    </row>
    <row r="123" spans="1:18" ht="15" customHeight="1" x14ac:dyDescent="0.3">
      <c r="A123" s="5" t="str">
        <f>Sales_Data!A120</f>
        <v>2025-02-10</v>
      </c>
      <c r="B123" s="5" t="str">
        <f>Sales_Data!B120</f>
        <v>Hyderabad Hitech</v>
      </c>
      <c r="C123" s="5" t="str">
        <f>Sales_Data!C120</f>
        <v>E026</v>
      </c>
      <c r="D123" s="5" t="str">
        <f>IFERROR(INDEX(Employee_Master!$B$2:$B$44,MATCH($C123,Employee_Master!$A$2:$A$44,0)),"Not Found")</f>
        <v>Karen Andrews</v>
      </c>
      <c r="E123" s="5" t="str">
        <f>IFERROR(INDEX(Employee_Master!$C$2:$C$44,MATCH($C123,Employee_Master!$A$2:$A$44,0)),"Not Found")</f>
        <v>Marketing</v>
      </c>
      <c r="F123" s="5" t="str">
        <f>IFERROR(INDEX(Employee_Master!$D$2:$D$44,MATCH($C123,Employee_Master!$A$2:$A$44,0)),"Not Found")</f>
        <v>Anna Turner</v>
      </c>
      <c r="G123" s="5" t="str">
        <f>IFERROR(INDEX(Employee_Master!$E$2:$E$44,MATCH($C123,Employee_Master!$A$2:$A$44,0)),"Not Found")</f>
        <v>South</v>
      </c>
      <c r="H123" s="5" t="str">
        <f>Sales_Data!D120</f>
        <v>P007 - Cotton T-Shirt</v>
      </c>
      <c r="I123" s="5" t="str">
        <f>IFERROR(INDEX(Product_Master!$B$2:$B$30,MATCH($H123,Product_Master!$A$2:$A$30,0)),"Invalid Product Code")</f>
        <v>Apparel</v>
      </c>
      <c r="J123" s="5">
        <f>IFERROR(INDEX(Product_Master!$C$2:$C$30,MATCH($H123,Product_Master!$A$2:$A$30,0)),0)</f>
        <v>338.44</v>
      </c>
      <c r="K123" s="5">
        <f>Sales_Data!E120</f>
        <v>1</v>
      </c>
      <c r="L123" s="5">
        <f>Sales_Data!F120</f>
        <v>332.64</v>
      </c>
      <c r="M123" s="5">
        <f>Sales_Data!G120</f>
        <v>388.17</v>
      </c>
      <c r="N123" s="5" t="str">
        <f>IFERROR(INDEX(Branch_Master!$B$2:$B$9,MATCH($B123,Branch_Master!$A$2:$A$9,0)),"Not Found")</f>
        <v>Hyderabad</v>
      </c>
      <c r="O123" s="5" t="str">
        <f>IFERROR(INDEX(Branch_Master!$C$2:$C$9,MATCH($B123,Branch_Master!$A$2:$A$9,0)),"Not Found")</f>
        <v>Telangana</v>
      </c>
      <c r="P123" s="5">
        <f>IFERROR(INDEX(Targets!$B$2:$B$9,MATCH($B123,Targets!$A$2:$A$9,0)),0)</f>
        <v>1210000</v>
      </c>
      <c r="Q123" s="5" t="str">
        <f t="shared" si="2"/>
        <v>No</v>
      </c>
      <c r="R123" s="5" t="str">
        <f t="shared" si="3"/>
        <v>Feb</v>
      </c>
    </row>
    <row r="124" spans="1:18" ht="15" customHeight="1" x14ac:dyDescent="0.3">
      <c r="A124" s="5" t="str">
        <f>Sales_Data!A121</f>
        <v>2025-02-11</v>
      </c>
      <c r="B124" s="5" t="str">
        <f>Sales_Data!B121</f>
        <v>Kolkata Central</v>
      </c>
      <c r="C124" s="5" t="str">
        <f>Sales_Data!C121</f>
        <v>E029</v>
      </c>
      <c r="D124" s="5" t="str">
        <f>IFERROR(INDEX(Employee_Master!$B$2:$B$44,MATCH($C124,Employee_Master!$A$2:$A$44,0)),"Not Found")</f>
        <v>Patrick Shepard</v>
      </c>
      <c r="E124" s="5" t="str">
        <f>IFERROR(INDEX(Employee_Master!$C$2:$C$44,MATCH($C124,Employee_Master!$A$2:$A$44,0)),"Not Found")</f>
        <v>Sales</v>
      </c>
      <c r="F124" s="5" t="str">
        <f>IFERROR(INDEX(Employee_Master!$D$2:$D$44,MATCH($C124,Employee_Master!$A$2:$A$44,0)),"Not Found")</f>
        <v>Lisa Moore</v>
      </c>
      <c r="G124" s="5" t="str">
        <f>IFERROR(INDEX(Employee_Master!$E$2:$E$44,MATCH($C124,Employee_Master!$A$2:$A$44,0)),"Not Found")</f>
        <v>East</v>
      </c>
      <c r="H124" s="5" t="str">
        <f>Sales_Data!D121</f>
        <v>P027 - Cricket Bat</v>
      </c>
      <c r="I124" s="5" t="str">
        <f>IFERROR(INDEX(Product_Master!$B$2:$B$30,MATCH($H124,Product_Master!$A$2:$A$30,0)),"Invalid Product Code")</f>
        <v>Sports</v>
      </c>
      <c r="J124" s="5">
        <f>IFERROR(INDEX(Product_Master!$C$2:$C$30,MATCH($H124,Product_Master!$A$2:$A$30,0)),0)</f>
        <v>822.7</v>
      </c>
      <c r="K124" s="5">
        <f>Sales_Data!E121</f>
        <v>4</v>
      </c>
      <c r="L124" s="5">
        <f>Sales_Data!F121</f>
        <v>3448.35</v>
      </c>
      <c r="M124" s="5">
        <f>Sales_Data!G121</f>
        <v>3639.79</v>
      </c>
      <c r="N124" s="5" t="str">
        <f>IFERROR(INDEX(Branch_Master!$B$2:$B$9,MATCH($B124,Branch_Master!$A$2:$A$9,0)),"Not Found")</f>
        <v>Kolkata</v>
      </c>
      <c r="O124" s="5" t="str">
        <f>IFERROR(INDEX(Branch_Master!$C$2:$C$9,MATCH($B124,Branch_Master!$A$2:$A$9,0)),"Not Found")</f>
        <v>West Bengal</v>
      </c>
      <c r="P124" s="5">
        <f>IFERROR(INDEX(Targets!$B$2:$B$9,MATCH($B124,Targets!$A$2:$A$9,0)),0)</f>
        <v>1910000</v>
      </c>
      <c r="Q124" s="5" t="str">
        <f t="shared" si="2"/>
        <v>No</v>
      </c>
      <c r="R124" s="5" t="str">
        <f t="shared" si="3"/>
        <v>Feb</v>
      </c>
    </row>
    <row r="125" spans="1:18" ht="15" customHeight="1" x14ac:dyDescent="0.3">
      <c r="A125" s="5" t="str">
        <f>Sales_Data!A122</f>
        <v>2025-02-12</v>
      </c>
      <c r="B125" s="5" t="str">
        <f>Sales_Data!B122</f>
        <v>Ahmedabad West</v>
      </c>
      <c r="C125" s="5" t="str">
        <f>Sales_Data!C122</f>
        <v>E001</v>
      </c>
      <c r="D125" s="5" t="str">
        <f>IFERROR(INDEX(Employee_Master!$B$2:$B$44,MATCH($C125,Employee_Master!$A$2:$A$44,0)),"Not Found")</f>
        <v>David Johnson</v>
      </c>
      <c r="E125" s="5" t="str">
        <f>IFERROR(INDEX(Employee_Master!$C$2:$C$44,MATCH($C125,Employee_Master!$A$2:$A$44,0)),"Not Found")</f>
        <v>Customer Support</v>
      </c>
      <c r="F125" s="5" t="str">
        <f>IFERROR(INDEX(Employee_Master!$D$2:$D$44,MATCH($C125,Employee_Master!$A$2:$A$44,0)),"Not Found")</f>
        <v>Joseph Brown</v>
      </c>
      <c r="G125" s="5" t="str">
        <f>IFERROR(INDEX(Employee_Master!$E$2:$E$44,MATCH($C125,Employee_Master!$A$2:$A$44,0)),"Not Found")</f>
        <v>West</v>
      </c>
      <c r="H125" s="5" t="str">
        <f>Sales_Data!D122</f>
        <v>P029 - Dumbbell Set 10kg</v>
      </c>
      <c r="I125" s="5" t="str">
        <f>IFERROR(INDEX(Product_Master!$B$2:$B$30,MATCH($H125,Product_Master!$A$2:$A$30,0)),"Invalid Product Code")</f>
        <v>Sports</v>
      </c>
      <c r="J125" s="5">
        <f>IFERROR(INDEX(Product_Master!$C$2:$C$30,MATCH($H125,Product_Master!$A$2:$A$30,0)),0)</f>
        <v>435</v>
      </c>
      <c r="K125" s="5">
        <f>Sales_Data!E122</f>
        <v>11</v>
      </c>
      <c r="L125" s="5">
        <f>Sales_Data!F122</f>
        <v>4349.91</v>
      </c>
      <c r="M125" s="5">
        <f>Sales_Data!G122</f>
        <v>5228.92</v>
      </c>
      <c r="N125" s="5" t="str">
        <f>IFERROR(INDEX(Branch_Master!$B$2:$B$9,MATCH($B125,Branch_Master!$A$2:$A$9,0)),"Not Found")</f>
        <v>Ahmedabad</v>
      </c>
      <c r="O125" s="5" t="str">
        <f>IFERROR(INDEX(Branch_Master!$C$2:$C$9,MATCH($B125,Branch_Master!$A$2:$A$9,0)),"Not Found")</f>
        <v>Gujarat</v>
      </c>
      <c r="P125" s="5">
        <f>IFERROR(INDEX(Targets!$B$2:$B$9,MATCH($B125,Targets!$A$2:$A$9,0)),0)</f>
        <v>1590000</v>
      </c>
      <c r="Q125" s="5" t="str">
        <f t="shared" si="2"/>
        <v>No</v>
      </c>
      <c r="R125" s="5" t="str">
        <f t="shared" si="3"/>
        <v>Feb</v>
      </c>
    </row>
    <row r="126" spans="1:18" ht="15" customHeight="1" x14ac:dyDescent="0.3">
      <c r="A126" s="5" t="str">
        <f>Sales_Data!A123</f>
        <v>2025-02-12</v>
      </c>
      <c r="B126" s="5" t="str">
        <f>Sales_Data!B123</f>
        <v>Mumbai Central</v>
      </c>
      <c r="C126" s="5" t="str">
        <f>Sales_Data!C123</f>
        <v>E010</v>
      </c>
      <c r="D126" s="5" t="str">
        <f>IFERROR(INDEX(Employee_Master!$B$2:$B$44,MATCH($C126,Employee_Master!$A$2:$A$44,0)),"Not Found")</f>
        <v>William Sanders</v>
      </c>
      <c r="E126" s="5" t="str">
        <f>IFERROR(INDEX(Employee_Master!$C$2:$C$44,MATCH($C126,Employee_Master!$A$2:$A$44,0)),"Not Found")</f>
        <v>Sales</v>
      </c>
      <c r="F126" s="5" t="str">
        <f>IFERROR(INDEX(Employee_Master!$D$2:$D$44,MATCH($C126,Employee_Master!$A$2:$A$44,0)),"Not Found")</f>
        <v>Justin Glass</v>
      </c>
      <c r="G126" s="5" t="str">
        <f>IFERROR(INDEX(Employee_Master!$E$2:$E$44,MATCH($C126,Employee_Master!$A$2:$A$44,0)),"Not Found")</f>
        <v>West</v>
      </c>
      <c r="H126" s="5" t="str">
        <f>Sales_Data!D123</f>
        <v>P021 - Assorted Spices Kit</v>
      </c>
      <c r="I126" s="5" t="str">
        <f>IFERROR(INDEX(Product_Master!$B$2:$B$30,MATCH($H126,Product_Master!$A$2:$A$30,0)),"Invalid Product Code")</f>
        <v>Grocery</v>
      </c>
      <c r="J126" s="5">
        <f>IFERROR(INDEX(Product_Master!$C$2:$C$30,MATCH($H126,Product_Master!$A$2:$A$30,0)),0)</f>
        <v>1060.97</v>
      </c>
      <c r="K126" s="5">
        <f>Sales_Data!E123</f>
        <v>12</v>
      </c>
      <c r="L126" s="5">
        <f>Sales_Data!F123</f>
        <v>13044.84</v>
      </c>
      <c r="M126" s="5">
        <f>Sales_Data!G123</f>
        <v>13656.07</v>
      </c>
      <c r="N126" s="5" t="str">
        <f>IFERROR(INDEX(Branch_Master!$B$2:$B$9,MATCH($B126,Branch_Master!$A$2:$A$9,0)),"Not Found")</f>
        <v>Mumbai</v>
      </c>
      <c r="O126" s="5" t="str">
        <f>IFERROR(INDEX(Branch_Master!$C$2:$C$9,MATCH($B126,Branch_Master!$A$2:$A$9,0)),"Not Found")</f>
        <v>Maharashtra</v>
      </c>
      <c r="P126" s="5">
        <f>IFERROR(INDEX(Targets!$B$2:$B$9,MATCH($B126,Targets!$A$2:$A$9,0)),0)</f>
        <v>900000</v>
      </c>
      <c r="Q126" s="5" t="str">
        <f t="shared" si="2"/>
        <v>No</v>
      </c>
      <c r="R126" s="5" t="str">
        <f t="shared" si="3"/>
        <v>Feb</v>
      </c>
    </row>
    <row r="127" spans="1:18" ht="15" customHeight="1" x14ac:dyDescent="0.3">
      <c r="A127" s="5" t="str">
        <f>Sales_Data!A124</f>
        <v>2025-02-12</v>
      </c>
      <c r="B127" s="5" t="str">
        <f>Sales_Data!B124</f>
        <v>Hyderabad Hitech</v>
      </c>
      <c r="C127" s="5" t="str">
        <f>Sales_Data!C124</f>
        <v>E030</v>
      </c>
      <c r="D127" s="5" t="str">
        <f>IFERROR(INDEX(Employee_Master!$B$2:$B$44,MATCH($C127,Employee_Master!$A$2:$A$44,0)),"Not Found")</f>
        <v>Travis Khan</v>
      </c>
      <c r="E127" s="5" t="str">
        <f>IFERROR(INDEX(Employee_Master!$C$2:$C$44,MATCH($C127,Employee_Master!$A$2:$A$44,0)),"Not Found")</f>
        <v>Operations</v>
      </c>
      <c r="F127" s="5" t="str">
        <f>IFERROR(INDEX(Employee_Master!$D$2:$D$44,MATCH($C127,Employee_Master!$A$2:$A$44,0)),"Not Found")</f>
        <v>Anna Turner</v>
      </c>
      <c r="G127" s="5" t="str">
        <f>IFERROR(INDEX(Employee_Master!$E$2:$E$44,MATCH($C127,Employee_Master!$A$2:$A$44,0)),"Not Found")</f>
        <v>South</v>
      </c>
      <c r="H127" s="5" t="str">
        <f>Sales_Data!D124</f>
        <v>P004 - Power Bank</v>
      </c>
      <c r="I127" s="5" t="str">
        <f>IFERROR(INDEX(Product_Master!$B$2:$B$30,MATCH($H127,Product_Master!$A$2:$A$30,0)),"Invalid Product Code")</f>
        <v>Electronics</v>
      </c>
      <c r="J127" s="5">
        <f>IFERROR(INDEX(Product_Master!$C$2:$C$30,MATCH($H127,Product_Master!$A$2:$A$30,0)),0)</f>
        <v>76.91</v>
      </c>
      <c r="K127" s="5">
        <f>Sales_Data!E124</f>
        <v>2</v>
      </c>
      <c r="L127" s="5">
        <f>Sales_Data!F124</f>
        <v>158.77000000000001</v>
      </c>
      <c r="M127" s="5">
        <f>Sales_Data!G124</f>
        <v>142.19999999999999</v>
      </c>
      <c r="N127" s="5" t="str">
        <f>IFERROR(INDEX(Branch_Master!$B$2:$B$9,MATCH($B127,Branch_Master!$A$2:$A$9,0)),"Not Found")</f>
        <v>Hyderabad</v>
      </c>
      <c r="O127" s="5" t="str">
        <f>IFERROR(INDEX(Branch_Master!$C$2:$C$9,MATCH($B127,Branch_Master!$A$2:$A$9,0)),"Not Found")</f>
        <v>Telangana</v>
      </c>
      <c r="P127" s="5">
        <f>IFERROR(INDEX(Targets!$B$2:$B$9,MATCH($B127,Targets!$A$2:$A$9,0)),0)</f>
        <v>1210000</v>
      </c>
      <c r="Q127" s="5" t="str">
        <f t="shared" si="2"/>
        <v>Yes</v>
      </c>
      <c r="R127" s="5" t="str">
        <f t="shared" si="3"/>
        <v>Feb</v>
      </c>
    </row>
    <row r="128" spans="1:18" ht="15" customHeight="1" x14ac:dyDescent="0.3">
      <c r="A128" s="5" t="str">
        <f>Sales_Data!A125</f>
        <v>2025-02-12</v>
      </c>
      <c r="B128" s="5" t="str">
        <f>Sales_Data!B125</f>
        <v>Delhi NCR</v>
      </c>
      <c r="C128" s="5" t="str">
        <f>Sales_Data!C125</f>
        <v>E013</v>
      </c>
      <c r="D128" s="5" t="str">
        <f>IFERROR(INDEX(Employee_Master!$B$2:$B$44,MATCH($C128,Employee_Master!$A$2:$A$44,0)),"Not Found")</f>
        <v>Norma Wilson</v>
      </c>
      <c r="E128" s="5" t="str">
        <f>IFERROR(INDEX(Employee_Master!$C$2:$C$44,MATCH($C128,Employee_Master!$A$2:$A$44,0)),"Not Found")</f>
        <v>Customer Support</v>
      </c>
      <c r="F128" s="5" t="str">
        <f>IFERROR(INDEX(Employee_Master!$D$2:$D$44,MATCH($C128,Employee_Master!$A$2:$A$44,0)),"Not Found")</f>
        <v>William Oconnell</v>
      </c>
      <c r="G128" s="5" t="str">
        <f>IFERROR(INDEX(Employee_Master!$E$2:$E$44,MATCH($C128,Employee_Master!$A$2:$A$44,0)),"Not Found")</f>
        <v>North</v>
      </c>
      <c r="H128" s="5" t="str">
        <f>Sales_Data!D125</f>
        <v>P007 - Cotton T-Shirt</v>
      </c>
      <c r="I128" s="5" t="str">
        <f>IFERROR(INDEX(Product_Master!$B$2:$B$30,MATCH($H128,Product_Master!$A$2:$A$30,0)),"Invalid Product Code")</f>
        <v>Apparel</v>
      </c>
      <c r="J128" s="5">
        <f>IFERROR(INDEX(Product_Master!$C$2:$C$30,MATCH($H128,Product_Master!$A$2:$A$30,0)),0)</f>
        <v>338.44</v>
      </c>
      <c r="K128" s="5">
        <f>Sales_Data!E125</f>
        <v>7</v>
      </c>
      <c r="L128" s="5">
        <f>Sales_Data!F125</f>
        <v>2245.35</v>
      </c>
      <c r="M128" s="5">
        <f>Sales_Data!G125</f>
        <v>2620.0500000000002</v>
      </c>
      <c r="N128" s="5" t="str">
        <f>IFERROR(INDEX(Branch_Master!$B$2:$B$9,MATCH($B128,Branch_Master!$A$2:$A$9,0)),"Not Found")</f>
        <v>New Delhi</v>
      </c>
      <c r="O128" s="5" t="str">
        <f>IFERROR(INDEX(Branch_Master!$C$2:$C$9,MATCH($B128,Branch_Master!$A$2:$A$9,0)),"Not Found")</f>
        <v>Delhi</v>
      </c>
      <c r="P128" s="5">
        <f>IFERROR(INDEX(Targets!$B$2:$B$9,MATCH($B128,Targets!$A$2:$A$9,0)),0)</f>
        <v>2070000</v>
      </c>
      <c r="Q128" s="5" t="str">
        <f t="shared" si="2"/>
        <v>No</v>
      </c>
      <c r="R128" s="5" t="str">
        <f t="shared" si="3"/>
        <v>Feb</v>
      </c>
    </row>
    <row r="129" spans="1:18" ht="15" customHeight="1" x14ac:dyDescent="0.3">
      <c r="A129" s="5" t="str">
        <f>Sales_Data!A126</f>
        <v>2025-02-13</v>
      </c>
      <c r="B129" s="5" t="str">
        <f>Sales_Data!B126</f>
        <v>Delhi NCR</v>
      </c>
      <c r="C129" s="5" t="str">
        <f>Sales_Data!C126</f>
        <v>E031</v>
      </c>
      <c r="D129" s="5" t="str">
        <f>IFERROR(INDEX(Employee_Master!$B$2:$B$44,MATCH($C129,Employee_Master!$A$2:$A$44,0)),"Not Found")</f>
        <v>Jennifer Garcia</v>
      </c>
      <c r="E129" s="5" t="str">
        <f>IFERROR(INDEX(Employee_Master!$C$2:$C$44,MATCH($C129,Employee_Master!$A$2:$A$44,0)),"Not Found")</f>
        <v>Sales</v>
      </c>
      <c r="F129" s="5" t="str">
        <f>IFERROR(INDEX(Employee_Master!$D$2:$D$44,MATCH($C129,Employee_Master!$A$2:$A$44,0)),"Not Found")</f>
        <v>William Oconnell</v>
      </c>
      <c r="G129" s="5" t="str">
        <f>IFERROR(INDEX(Employee_Master!$E$2:$E$44,MATCH($C129,Employee_Master!$A$2:$A$44,0)),"Not Found")</f>
        <v>North</v>
      </c>
      <c r="H129" s="5" t="str">
        <f>Sales_Data!D126</f>
        <v>P001 - Wireless Earbuds</v>
      </c>
      <c r="I129" s="5" t="str">
        <f>IFERROR(INDEX(Product_Master!$B$2:$B$30,MATCH($H129,Product_Master!$A$2:$A$30,0)),"Invalid Product Code")</f>
        <v>Electronics</v>
      </c>
      <c r="J129" s="5">
        <f>IFERROR(INDEX(Product_Master!$C$2:$C$30,MATCH($H129,Product_Master!$A$2:$A$30,0)),0)</f>
        <v>1676.76</v>
      </c>
      <c r="K129" s="5">
        <f>Sales_Data!E126</f>
        <v>7</v>
      </c>
      <c r="L129" s="5">
        <f>Sales_Data!F126</f>
        <v>11372.26</v>
      </c>
      <c r="M129" s="5">
        <f>Sales_Data!G126</f>
        <v>11479</v>
      </c>
      <c r="N129" s="5" t="str">
        <f>IFERROR(INDEX(Branch_Master!$B$2:$B$9,MATCH($B129,Branch_Master!$A$2:$A$9,0)),"Not Found")</f>
        <v>New Delhi</v>
      </c>
      <c r="O129" s="5" t="str">
        <f>IFERROR(INDEX(Branch_Master!$C$2:$C$9,MATCH($B129,Branch_Master!$A$2:$A$9,0)),"Not Found")</f>
        <v>Delhi</v>
      </c>
      <c r="P129" s="5">
        <f>IFERROR(INDEX(Targets!$B$2:$B$9,MATCH($B129,Targets!$A$2:$A$9,0)),0)</f>
        <v>2070000</v>
      </c>
      <c r="Q129" s="5" t="str">
        <f t="shared" si="2"/>
        <v>No</v>
      </c>
      <c r="R129" s="5" t="str">
        <f t="shared" si="3"/>
        <v>Feb</v>
      </c>
    </row>
    <row r="130" spans="1:18" ht="15" customHeight="1" x14ac:dyDescent="0.3">
      <c r="A130" s="5" t="str">
        <f>Sales_Data!A127</f>
        <v>2025-02-14</v>
      </c>
      <c r="B130" s="5" t="str">
        <f>Sales_Data!B127</f>
        <v>Bangalore North</v>
      </c>
      <c r="C130" s="5" t="str">
        <f>Sales_Data!C127</f>
        <v>E040</v>
      </c>
      <c r="D130" s="5" t="str">
        <f>IFERROR(INDEX(Employee_Master!$B$2:$B$44,MATCH($C130,Employee_Master!$A$2:$A$44,0)),"Not Found")</f>
        <v>Bonnie Cox</v>
      </c>
      <c r="E130" s="5" t="str">
        <f>IFERROR(INDEX(Employee_Master!$C$2:$C$44,MATCH($C130,Employee_Master!$A$2:$A$44,0)),"Not Found")</f>
        <v>Customer Support</v>
      </c>
      <c r="F130" s="5" t="str">
        <f>IFERROR(INDEX(Employee_Master!$D$2:$D$44,MATCH($C130,Employee_Master!$A$2:$A$44,0)),"Not Found")</f>
        <v>Jose Soto</v>
      </c>
      <c r="G130" s="5" t="str">
        <f>IFERROR(INDEX(Employee_Master!$E$2:$E$44,MATCH($C130,Employee_Master!$A$2:$A$44,0)),"Not Found")</f>
        <v>South</v>
      </c>
      <c r="H130" s="5" t="str">
        <f>Sales_Data!D127</f>
        <v>P008 - Denim Jeans</v>
      </c>
      <c r="I130" s="5" t="str">
        <f>IFERROR(INDEX(Product_Master!$B$2:$B$30,MATCH($H130,Product_Master!$A$2:$A$30,0)),"Invalid Product Code")</f>
        <v>Apparel</v>
      </c>
      <c r="J130" s="5">
        <f>IFERROR(INDEX(Product_Master!$C$2:$C$30,MATCH($H130,Product_Master!$A$2:$A$30,0)),0)</f>
        <v>614.48</v>
      </c>
      <c r="K130" s="5">
        <f>Sales_Data!E127</f>
        <v>11</v>
      </c>
      <c r="L130" s="5">
        <f>Sales_Data!F127</f>
        <v>7410.19</v>
      </c>
      <c r="M130" s="5">
        <f>Sales_Data!G127</f>
        <v>6726.85</v>
      </c>
      <c r="N130" s="5" t="str">
        <f>IFERROR(INDEX(Branch_Master!$B$2:$B$9,MATCH($B130,Branch_Master!$A$2:$A$9,0)),"Not Found")</f>
        <v>Bangalore</v>
      </c>
      <c r="O130" s="5" t="str">
        <f>IFERROR(INDEX(Branch_Master!$C$2:$C$9,MATCH($B130,Branch_Master!$A$2:$A$9,0)),"Not Found")</f>
        <v>Karnataka</v>
      </c>
      <c r="P130" s="5">
        <f>IFERROR(INDEX(Targets!$B$2:$B$9,MATCH($B130,Targets!$A$2:$A$9,0)),0)</f>
        <v>900000</v>
      </c>
      <c r="Q130" s="5" t="str">
        <f t="shared" si="2"/>
        <v>Yes</v>
      </c>
      <c r="R130" s="5" t="str">
        <f t="shared" si="3"/>
        <v>Feb</v>
      </c>
    </row>
    <row r="131" spans="1:18" ht="15" customHeight="1" x14ac:dyDescent="0.3">
      <c r="A131" s="5" t="str">
        <f>Sales_Data!A128</f>
        <v>2025-02-14</v>
      </c>
      <c r="B131" s="5" t="str">
        <f>Sales_Data!B128</f>
        <v>Mumbai Central</v>
      </c>
      <c r="C131" s="5" t="str">
        <f>Sales_Data!C128</f>
        <v>E033</v>
      </c>
      <c r="D131" s="5" t="str">
        <f>IFERROR(INDEX(Employee_Master!$B$2:$B$44,MATCH($C131,Employee_Master!$A$2:$A$44,0)),"Not Found")</f>
        <v>Dawn Colon</v>
      </c>
      <c r="E131" s="5" t="str">
        <f>IFERROR(INDEX(Employee_Master!$C$2:$C$44,MATCH($C131,Employee_Master!$A$2:$A$44,0)),"Not Found")</f>
        <v>Customer Support</v>
      </c>
      <c r="F131" s="5" t="str">
        <f>IFERROR(INDEX(Employee_Master!$D$2:$D$44,MATCH($C131,Employee_Master!$A$2:$A$44,0)),"Not Found")</f>
        <v>Justin Glass</v>
      </c>
      <c r="G131" s="5" t="str">
        <f>IFERROR(INDEX(Employee_Master!$E$2:$E$44,MATCH($C131,Employee_Master!$A$2:$A$44,0)),"Not Found")</f>
        <v>West</v>
      </c>
      <c r="H131" s="5" t="str">
        <f>Sales_Data!D128</f>
        <v>P025 - Lipstick Set</v>
      </c>
      <c r="I131" s="5" t="str">
        <f>IFERROR(INDEX(Product_Master!$B$2:$B$30,MATCH($H131,Product_Master!$A$2:$A$30,0)),"Invalid Product Code")</f>
        <v>Beauty</v>
      </c>
      <c r="J131" s="5">
        <f>IFERROR(INDEX(Product_Master!$C$2:$C$30,MATCH($H131,Product_Master!$A$2:$A$30,0)),0)</f>
        <v>765.9</v>
      </c>
      <c r="K131" s="5">
        <f>Sales_Data!E128</f>
        <v>10</v>
      </c>
      <c r="L131" s="5">
        <f>Sales_Data!F128</f>
        <v>8020.88</v>
      </c>
      <c r="M131" s="5">
        <f>Sales_Data!G128</f>
        <v>7298.28</v>
      </c>
      <c r="N131" s="5" t="str">
        <f>IFERROR(INDEX(Branch_Master!$B$2:$B$9,MATCH($B131,Branch_Master!$A$2:$A$9,0)),"Not Found")</f>
        <v>Mumbai</v>
      </c>
      <c r="O131" s="5" t="str">
        <f>IFERROR(INDEX(Branch_Master!$C$2:$C$9,MATCH($B131,Branch_Master!$A$2:$A$9,0)),"Not Found")</f>
        <v>Maharashtra</v>
      </c>
      <c r="P131" s="5">
        <f>IFERROR(INDEX(Targets!$B$2:$B$9,MATCH($B131,Targets!$A$2:$A$9,0)),0)</f>
        <v>900000</v>
      </c>
      <c r="Q131" s="5" t="str">
        <f t="shared" si="2"/>
        <v>Yes</v>
      </c>
      <c r="R131" s="5" t="str">
        <f t="shared" si="3"/>
        <v>Feb</v>
      </c>
    </row>
    <row r="132" spans="1:18" ht="15" customHeight="1" x14ac:dyDescent="0.3">
      <c r="A132" s="5" t="str">
        <f>Sales_Data!A129</f>
        <v>2025-02-14</v>
      </c>
      <c r="B132" s="5" t="str">
        <f>Sales_Data!B129</f>
        <v>Ahmedabad West</v>
      </c>
      <c r="C132" s="5" t="str">
        <f>Sales_Data!C129</f>
        <v>E039</v>
      </c>
      <c r="D132" s="5" t="str">
        <f>IFERROR(INDEX(Employee_Master!$B$2:$B$44,MATCH($C132,Employee_Master!$A$2:$A$44,0)),"Not Found")</f>
        <v>Christopher Wood</v>
      </c>
      <c r="E132" s="5" t="str">
        <f>IFERROR(INDEX(Employee_Master!$C$2:$C$44,MATCH($C132,Employee_Master!$A$2:$A$44,0)),"Not Found")</f>
        <v>Marketing</v>
      </c>
      <c r="F132" s="5" t="str">
        <f>IFERROR(INDEX(Employee_Master!$D$2:$D$44,MATCH($C132,Employee_Master!$A$2:$A$44,0)),"Not Found")</f>
        <v>Joseph Brown</v>
      </c>
      <c r="G132" s="5" t="str">
        <f>IFERROR(INDEX(Employee_Master!$E$2:$E$44,MATCH($C132,Employee_Master!$A$2:$A$44,0)),"Not Found")</f>
        <v>West</v>
      </c>
      <c r="H132" s="5" t="str">
        <f>Sales_Data!D129</f>
        <v>P006 - Laptop Stand</v>
      </c>
      <c r="I132" s="5" t="str">
        <f>IFERROR(INDEX(Product_Master!$B$2:$B$30,MATCH($H132,Product_Master!$A$2:$A$30,0)),"Invalid Product Code")</f>
        <v>Electronics</v>
      </c>
      <c r="J132" s="5">
        <f>IFERROR(INDEX(Product_Master!$C$2:$C$30,MATCH($H132,Product_Master!$A$2:$A$30,0)),0)</f>
        <v>393.96</v>
      </c>
      <c r="K132" s="5">
        <f>Sales_Data!E129</f>
        <v>11</v>
      </c>
      <c r="L132" s="5">
        <f>Sales_Data!F129</f>
        <v>4694.1000000000004</v>
      </c>
      <c r="M132" s="5">
        <f>Sales_Data!G129</f>
        <v>4373.4399999999996</v>
      </c>
      <c r="N132" s="5" t="str">
        <f>IFERROR(INDEX(Branch_Master!$B$2:$B$9,MATCH($B132,Branch_Master!$A$2:$A$9,0)),"Not Found")</f>
        <v>Ahmedabad</v>
      </c>
      <c r="O132" s="5" t="str">
        <f>IFERROR(INDEX(Branch_Master!$C$2:$C$9,MATCH($B132,Branch_Master!$A$2:$A$9,0)),"Not Found")</f>
        <v>Gujarat</v>
      </c>
      <c r="P132" s="5">
        <f>IFERROR(INDEX(Targets!$B$2:$B$9,MATCH($B132,Targets!$A$2:$A$9,0)),0)</f>
        <v>1590000</v>
      </c>
      <c r="Q132" s="5" t="str">
        <f t="shared" si="2"/>
        <v>Yes</v>
      </c>
      <c r="R132" s="5" t="str">
        <f t="shared" si="3"/>
        <v>Feb</v>
      </c>
    </row>
    <row r="133" spans="1:18" ht="15" customHeight="1" x14ac:dyDescent="0.3">
      <c r="A133" s="5" t="str">
        <f>Sales_Data!A130</f>
        <v>2025-02-15</v>
      </c>
      <c r="B133" s="5" t="str">
        <f>Sales_Data!B130</f>
        <v>Ahmedabad West</v>
      </c>
      <c r="C133" s="5" t="str">
        <f>Sales_Data!C130</f>
        <v>E037</v>
      </c>
      <c r="D133" s="5" t="str">
        <f>IFERROR(INDEX(Employee_Master!$B$2:$B$44,MATCH($C133,Employee_Master!$A$2:$A$44,0)),"Not Found")</f>
        <v>Thomas Harris</v>
      </c>
      <c r="E133" s="5" t="str">
        <f>IFERROR(INDEX(Employee_Master!$C$2:$C$44,MATCH($C133,Employee_Master!$A$2:$A$44,0)),"Not Found")</f>
        <v>Customer Support</v>
      </c>
      <c r="F133" s="5" t="str">
        <f>IFERROR(INDEX(Employee_Master!$D$2:$D$44,MATCH($C133,Employee_Master!$A$2:$A$44,0)),"Not Found")</f>
        <v>Joseph Brown</v>
      </c>
      <c r="G133" s="5" t="str">
        <f>IFERROR(INDEX(Employee_Master!$E$2:$E$44,MATCH($C133,Employee_Master!$A$2:$A$44,0)),"Not Found")</f>
        <v>West</v>
      </c>
      <c r="H133" s="5" t="str">
        <f>Sales_Data!D130</f>
        <v>P016 - Dinner Set</v>
      </c>
      <c r="I133" s="5" t="str">
        <f>IFERROR(INDEX(Product_Master!$B$2:$B$30,MATCH($H133,Product_Master!$A$2:$A$30,0)),"Invalid Product Code")</f>
        <v>Home &amp; Kitchen</v>
      </c>
      <c r="J133" s="5">
        <f>IFERROR(INDEX(Product_Master!$C$2:$C$30,MATCH($H133,Product_Master!$A$2:$A$30,0)),0)</f>
        <v>225.06</v>
      </c>
      <c r="K133" s="5">
        <f>Sales_Data!E130</f>
        <v>11</v>
      </c>
      <c r="L133" s="5">
        <f>Sales_Data!F130</f>
        <v>2663.59</v>
      </c>
      <c r="M133" s="5">
        <f>Sales_Data!G130</f>
        <v>2441.9899999999998</v>
      </c>
      <c r="N133" s="5" t="str">
        <f>IFERROR(INDEX(Branch_Master!$B$2:$B$9,MATCH($B133,Branch_Master!$A$2:$A$9,0)),"Not Found")</f>
        <v>Ahmedabad</v>
      </c>
      <c r="O133" s="5" t="str">
        <f>IFERROR(INDEX(Branch_Master!$C$2:$C$9,MATCH($B133,Branch_Master!$A$2:$A$9,0)),"Not Found")</f>
        <v>Gujarat</v>
      </c>
      <c r="P133" s="5">
        <f>IFERROR(INDEX(Targets!$B$2:$B$9,MATCH($B133,Targets!$A$2:$A$9,0)),0)</f>
        <v>1590000</v>
      </c>
      <c r="Q133" s="5" t="str">
        <f t="shared" ref="Q133:Q196" si="4">IF(L133&gt;=M133,"Yes","No")</f>
        <v>Yes</v>
      </c>
      <c r="R133" s="5" t="str">
        <f t="shared" ref="R133:R196" si="5">TEXT(A133,"MMM")</f>
        <v>Feb</v>
      </c>
    </row>
    <row r="134" spans="1:18" ht="15" customHeight="1" x14ac:dyDescent="0.3">
      <c r="A134" s="5" t="str">
        <f>Sales_Data!A131</f>
        <v>2025-02-16</v>
      </c>
      <c r="B134" s="5" t="str">
        <f>Sales_Data!B131</f>
        <v>Chennai South</v>
      </c>
      <c r="C134" s="5" t="str">
        <f>Sales_Data!C131</f>
        <v>E015</v>
      </c>
      <c r="D134" s="5" t="str">
        <f>IFERROR(INDEX(Employee_Master!$B$2:$B$44,MATCH($C134,Employee_Master!$A$2:$A$44,0)),"Not Found")</f>
        <v>Cassandra Hansen</v>
      </c>
      <c r="E134" s="5" t="str">
        <f>IFERROR(INDEX(Employee_Master!$C$2:$C$44,MATCH($C134,Employee_Master!$A$2:$A$44,0)),"Not Found")</f>
        <v>Customer Support</v>
      </c>
      <c r="F134" s="5" t="str">
        <f>IFERROR(INDEX(Employee_Master!$D$2:$D$44,MATCH($C134,Employee_Master!$A$2:$A$44,0)),"Not Found")</f>
        <v>Robert Steele</v>
      </c>
      <c r="G134" s="5" t="str">
        <f>IFERROR(INDEX(Employee_Master!$E$2:$E$44,MATCH($C134,Employee_Master!$A$2:$A$44,0)),"Not Found")</f>
        <v>South</v>
      </c>
      <c r="H134" s="5" t="str">
        <f>Sales_Data!D131</f>
        <v>P015 - Water Bottle</v>
      </c>
      <c r="I134" s="5" t="str">
        <f>IFERROR(INDEX(Product_Master!$B$2:$B$30,MATCH($H134,Product_Master!$A$2:$A$30,0)),"Invalid Product Code")</f>
        <v>Home &amp; Kitchen</v>
      </c>
      <c r="J134" s="5">
        <f>IFERROR(INDEX(Product_Master!$C$2:$C$30,MATCH($H134,Product_Master!$A$2:$A$30,0)),0)</f>
        <v>197.57</v>
      </c>
      <c r="K134" s="5">
        <f>Sales_Data!E131</f>
        <v>8</v>
      </c>
      <c r="L134" s="5">
        <f>Sales_Data!F131</f>
        <v>1534.75</v>
      </c>
      <c r="M134" s="5">
        <f>Sales_Data!G131</f>
        <v>1567.15</v>
      </c>
      <c r="N134" s="5" t="str">
        <f>IFERROR(INDEX(Branch_Master!$B$2:$B$9,MATCH($B134,Branch_Master!$A$2:$A$9,0)),"Not Found")</f>
        <v>Chennai</v>
      </c>
      <c r="O134" s="5" t="str">
        <f>IFERROR(INDEX(Branch_Master!$C$2:$C$9,MATCH($B134,Branch_Master!$A$2:$A$9,0)),"Not Found")</f>
        <v>Tamil Nadu</v>
      </c>
      <c r="P134" s="5">
        <f>IFERROR(INDEX(Targets!$B$2:$B$9,MATCH($B134,Targets!$A$2:$A$9,0)),0)</f>
        <v>1910000</v>
      </c>
      <c r="Q134" s="5" t="str">
        <f t="shared" si="4"/>
        <v>No</v>
      </c>
      <c r="R134" s="5" t="str">
        <f t="shared" si="5"/>
        <v>Feb</v>
      </c>
    </row>
    <row r="135" spans="1:18" ht="15" customHeight="1" x14ac:dyDescent="0.3">
      <c r="A135" s="5" t="str">
        <f>Sales_Data!A132</f>
        <v>2025-02-16</v>
      </c>
      <c r="B135" s="5" t="str">
        <f>Sales_Data!B132</f>
        <v>Kolkata Central</v>
      </c>
      <c r="C135" s="5" t="str">
        <f>Sales_Data!C132</f>
        <v>E024</v>
      </c>
      <c r="D135" s="5" t="str">
        <f>IFERROR(INDEX(Employee_Master!$B$2:$B$44,MATCH($C135,Employee_Master!$A$2:$A$44,0)),"Not Found")</f>
        <v>Kevin Sanchez</v>
      </c>
      <c r="E135" s="5" t="str">
        <f>IFERROR(INDEX(Employee_Master!$C$2:$C$44,MATCH($C135,Employee_Master!$A$2:$A$44,0)),"Not Found")</f>
        <v>Sales</v>
      </c>
      <c r="F135" s="5" t="str">
        <f>IFERROR(INDEX(Employee_Master!$D$2:$D$44,MATCH($C135,Employee_Master!$A$2:$A$44,0)),"Not Found")</f>
        <v>Lisa Moore</v>
      </c>
      <c r="G135" s="5" t="str">
        <f>IFERROR(INDEX(Employee_Master!$E$2:$E$44,MATCH($C135,Employee_Master!$A$2:$A$44,0)),"Not Found")</f>
        <v>East</v>
      </c>
      <c r="H135" s="5" t="str">
        <f>Sales_Data!D132</f>
        <v>P028 - Football</v>
      </c>
      <c r="I135" s="5" t="str">
        <f>IFERROR(INDEX(Product_Master!$B$2:$B$30,MATCH($H135,Product_Master!$A$2:$A$30,0)),"Invalid Product Code")</f>
        <v>Sports</v>
      </c>
      <c r="J135" s="5">
        <f>IFERROR(INDEX(Product_Master!$C$2:$C$30,MATCH($H135,Product_Master!$A$2:$A$30,0)),0)</f>
        <v>314.25</v>
      </c>
      <c r="K135" s="5">
        <f>Sales_Data!E132</f>
        <v>7</v>
      </c>
      <c r="L135" s="5">
        <f>Sales_Data!F132</f>
        <v>2111.62</v>
      </c>
      <c r="M135" s="5">
        <f>Sales_Data!G132</f>
        <v>2500.5300000000002</v>
      </c>
      <c r="N135" s="5" t="str">
        <f>IFERROR(INDEX(Branch_Master!$B$2:$B$9,MATCH($B135,Branch_Master!$A$2:$A$9,0)),"Not Found")</f>
        <v>Kolkata</v>
      </c>
      <c r="O135" s="5" t="str">
        <f>IFERROR(INDEX(Branch_Master!$C$2:$C$9,MATCH($B135,Branch_Master!$A$2:$A$9,0)),"Not Found")</f>
        <v>West Bengal</v>
      </c>
      <c r="P135" s="5">
        <f>IFERROR(INDEX(Targets!$B$2:$B$9,MATCH($B135,Targets!$A$2:$A$9,0)),0)</f>
        <v>1910000</v>
      </c>
      <c r="Q135" s="5" t="str">
        <f t="shared" si="4"/>
        <v>No</v>
      </c>
      <c r="R135" s="5" t="str">
        <f t="shared" si="5"/>
        <v>Feb</v>
      </c>
    </row>
    <row r="136" spans="1:18" ht="15" customHeight="1" x14ac:dyDescent="0.3">
      <c r="A136" s="5" t="str">
        <f>Sales_Data!A133</f>
        <v>2025-02-16</v>
      </c>
      <c r="B136" s="5" t="str">
        <f>Sales_Data!B133</f>
        <v>Chennai South</v>
      </c>
      <c r="C136" s="5" t="str">
        <f>Sales_Data!C133</f>
        <v>E015</v>
      </c>
      <c r="D136" s="5" t="str">
        <f>IFERROR(INDEX(Employee_Master!$B$2:$B$44,MATCH($C136,Employee_Master!$A$2:$A$44,0)),"Not Found")</f>
        <v>Cassandra Hansen</v>
      </c>
      <c r="E136" s="5" t="str">
        <f>IFERROR(INDEX(Employee_Master!$C$2:$C$44,MATCH($C136,Employee_Master!$A$2:$A$44,0)),"Not Found")</f>
        <v>Customer Support</v>
      </c>
      <c r="F136" s="5" t="str">
        <f>IFERROR(INDEX(Employee_Master!$D$2:$D$44,MATCH($C136,Employee_Master!$A$2:$A$44,0)),"Not Found")</f>
        <v>Robert Steele</v>
      </c>
      <c r="G136" s="5" t="str">
        <f>IFERROR(INDEX(Employee_Master!$E$2:$E$44,MATCH($C136,Employee_Master!$A$2:$A$44,0)),"Not Found")</f>
        <v>South</v>
      </c>
      <c r="H136" s="5" t="str">
        <f>Sales_Data!D133</f>
        <v>P017 - Basmati Rice 5kg</v>
      </c>
      <c r="I136" s="5" t="str">
        <f>IFERROR(INDEX(Product_Master!$B$2:$B$30,MATCH($H136,Product_Master!$A$2:$A$30,0)),"Invalid Product Code")</f>
        <v>Grocery</v>
      </c>
      <c r="J136" s="5">
        <f>IFERROR(INDEX(Product_Master!$C$2:$C$30,MATCH($H136,Product_Master!$A$2:$A$30,0)),0)</f>
        <v>825.33</v>
      </c>
      <c r="K136" s="5">
        <f>Sales_Data!E133</f>
        <v>2</v>
      </c>
      <c r="L136" s="5">
        <f>Sales_Data!F133</f>
        <v>1743.91</v>
      </c>
      <c r="M136" s="5">
        <f>Sales_Data!G133</f>
        <v>1717.12</v>
      </c>
      <c r="N136" s="5" t="str">
        <f>IFERROR(INDEX(Branch_Master!$B$2:$B$9,MATCH($B136,Branch_Master!$A$2:$A$9,0)),"Not Found")</f>
        <v>Chennai</v>
      </c>
      <c r="O136" s="5" t="str">
        <f>IFERROR(INDEX(Branch_Master!$C$2:$C$9,MATCH($B136,Branch_Master!$A$2:$A$9,0)),"Not Found")</f>
        <v>Tamil Nadu</v>
      </c>
      <c r="P136" s="5">
        <f>IFERROR(INDEX(Targets!$B$2:$B$9,MATCH($B136,Targets!$A$2:$A$9,0)),0)</f>
        <v>1910000</v>
      </c>
      <c r="Q136" s="5" t="str">
        <f t="shared" si="4"/>
        <v>Yes</v>
      </c>
      <c r="R136" s="5" t="str">
        <f t="shared" si="5"/>
        <v>Feb</v>
      </c>
    </row>
    <row r="137" spans="1:18" ht="15" customHeight="1" x14ac:dyDescent="0.3">
      <c r="A137" s="5" t="str">
        <f>Sales_Data!A134</f>
        <v>2025-02-16</v>
      </c>
      <c r="B137" s="5" t="str">
        <f>Sales_Data!B134</f>
        <v>Kolkata Central</v>
      </c>
      <c r="C137" s="5" t="str">
        <f>Sales_Data!C134</f>
        <v>E018</v>
      </c>
      <c r="D137" s="5" t="str">
        <f>IFERROR(INDEX(Employee_Master!$B$2:$B$44,MATCH($C137,Employee_Master!$A$2:$A$44,0)),"Not Found")</f>
        <v>Daniel Nelson</v>
      </c>
      <c r="E137" s="5" t="str">
        <f>IFERROR(INDEX(Employee_Master!$C$2:$C$44,MATCH($C137,Employee_Master!$A$2:$A$44,0)),"Not Found")</f>
        <v>Sales</v>
      </c>
      <c r="F137" s="5" t="str">
        <f>IFERROR(INDEX(Employee_Master!$D$2:$D$44,MATCH($C137,Employee_Master!$A$2:$A$44,0)),"Not Found")</f>
        <v>Lisa Moore</v>
      </c>
      <c r="G137" s="5" t="str">
        <f>IFERROR(INDEX(Employee_Master!$E$2:$E$44,MATCH($C137,Employee_Master!$A$2:$A$44,0)),"Not Found")</f>
        <v>East</v>
      </c>
      <c r="H137" s="5" t="str">
        <f>Sales_Data!D134</f>
        <v>P013 - Mixer Grinder</v>
      </c>
      <c r="I137" s="5" t="str">
        <f>IFERROR(INDEX(Product_Master!$B$2:$B$30,MATCH($H137,Product_Master!$A$2:$A$30,0)),"Invalid Product Code")</f>
        <v>Home &amp; Kitchen</v>
      </c>
      <c r="J137" s="5">
        <f>IFERROR(INDEX(Product_Master!$C$2:$C$30,MATCH($H137,Product_Master!$A$2:$A$30,0)),0)</f>
        <v>798.53</v>
      </c>
      <c r="K137" s="5">
        <f>Sales_Data!E134</f>
        <v>8</v>
      </c>
      <c r="L137" s="5">
        <f>Sales_Data!F134</f>
        <v>5826.21</v>
      </c>
      <c r="M137" s="5">
        <f>Sales_Data!G134</f>
        <v>6164.7</v>
      </c>
      <c r="N137" s="5" t="str">
        <f>IFERROR(INDEX(Branch_Master!$B$2:$B$9,MATCH($B137,Branch_Master!$A$2:$A$9,0)),"Not Found")</f>
        <v>Kolkata</v>
      </c>
      <c r="O137" s="5" t="str">
        <f>IFERROR(INDEX(Branch_Master!$C$2:$C$9,MATCH($B137,Branch_Master!$A$2:$A$9,0)),"Not Found")</f>
        <v>West Bengal</v>
      </c>
      <c r="P137" s="5">
        <f>IFERROR(INDEX(Targets!$B$2:$B$9,MATCH($B137,Targets!$A$2:$A$9,0)),0)</f>
        <v>1910000</v>
      </c>
      <c r="Q137" s="5" t="str">
        <f t="shared" si="4"/>
        <v>No</v>
      </c>
      <c r="R137" s="5" t="str">
        <f t="shared" si="5"/>
        <v>Feb</v>
      </c>
    </row>
    <row r="138" spans="1:18" ht="15" customHeight="1" x14ac:dyDescent="0.3">
      <c r="A138" s="5" t="str">
        <f>Sales_Data!A135</f>
        <v>2025-02-16</v>
      </c>
      <c r="B138" s="5" t="str">
        <f>Sales_Data!B135</f>
        <v>Ahmedabad West</v>
      </c>
      <c r="C138" s="5" t="str">
        <f>Sales_Data!C135</f>
        <v>E002</v>
      </c>
      <c r="D138" s="5" t="str">
        <f>IFERROR(INDEX(Employee_Master!$B$2:$B$44,MATCH($C138,Employee_Master!$A$2:$A$44,0)),"Not Found")</f>
        <v>Jeremiah Kirby</v>
      </c>
      <c r="E138" s="5" t="str">
        <f>IFERROR(INDEX(Employee_Master!$C$2:$C$44,MATCH($C138,Employee_Master!$A$2:$A$44,0)),"Not Found")</f>
        <v>Marketing</v>
      </c>
      <c r="F138" s="5" t="str">
        <f>IFERROR(INDEX(Employee_Master!$D$2:$D$44,MATCH($C138,Employee_Master!$A$2:$A$44,0)),"Not Found")</f>
        <v>Joseph Brown</v>
      </c>
      <c r="G138" s="5" t="str">
        <f>IFERROR(INDEX(Employee_Master!$E$2:$E$44,MATCH($C138,Employee_Master!$A$2:$A$44,0)),"Not Found")</f>
        <v>West</v>
      </c>
      <c r="H138" s="5" t="str">
        <f>Sales_Data!D135</f>
        <v>P999 - Discontinued Item</v>
      </c>
      <c r="I138" s="5" t="str">
        <f>IFERROR(INDEX(Product_Master!$B$2:$B$30,MATCH($H138,Product_Master!$A$2:$A$30,0)),"Invalid Product Code")</f>
        <v>Invalid Product Code</v>
      </c>
      <c r="J138" s="5">
        <f>IFERROR(INDEX(Product_Master!$C$2:$C$30,MATCH($H138,Product_Master!$A$2:$A$30,0)),0)</f>
        <v>0</v>
      </c>
      <c r="K138" s="5">
        <f>Sales_Data!E135</f>
        <v>9</v>
      </c>
      <c r="L138" s="5">
        <f>Sales_Data!F135</f>
        <v>3566.92</v>
      </c>
      <c r="M138" s="5">
        <f>Sales_Data!G135</f>
        <v>3623.64</v>
      </c>
      <c r="N138" s="5" t="str">
        <f>IFERROR(INDEX(Branch_Master!$B$2:$B$9,MATCH($B138,Branch_Master!$A$2:$A$9,0)),"Not Found")</f>
        <v>Ahmedabad</v>
      </c>
      <c r="O138" s="5" t="str">
        <f>IFERROR(INDEX(Branch_Master!$C$2:$C$9,MATCH($B138,Branch_Master!$A$2:$A$9,0)),"Not Found")</f>
        <v>Gujarat</v>
      </c>
      <c r="P138" s="5">
        <f>IFERROR(INDEX(Targets!$B$2:$B$9,MATCH($B138,Targets!$A$2:$A$9,0)),0)</f>
        <v>1590000</v>
      </c>
      <c r="Q138" s="5" t="str">
        <f t="shared" si="4"/>
        <v>No</v>
      </c>
      <c r="R138" s="5" t="str">
        <f t="shared" si="5"/>
        <v>Feb</v>
      </c>
    </row>
    <row r="139" spans="1:18" ht="15" customHeight="1" x14ac:dyDescent="0.3">
      <c r="A139" s="5" t="str">
        <f>Sales_Data!A136</f>
        <v>2025-02-16</v>
      </c>
      <c r="B139" s="5" t="str">
        <f>Sales_Data!B136</f>
        <v>Mumbai Central</v>
      </c>
      <c r="C139" s="5" t="str">
        <f>Sales_Data!C136</f>
        <v>E021</v>
      </c>
      <c r="D139" s="5" t="str">
        <f>IFERROR(INDEX(Employee_Master!$B$2:$B$44,MATCH($C139,Employee_Master!$A$2:$A$44,0)),"Not Found")</f>
        <v>Maria Garcia</v>
      </c>
      <c r="E139" s="5" t="str">
        <f>IFERROR(INDEX(Employee_Master!$C$2:$C$44,MATCH($C139,Employee_Master!$A$2:$A$44,0)),"Not Found")</f>
        <v>Sales</v>
      </c>
      <c r="F139" s="5" t="str">
        <f>IFERROR(INDEX(Employee_Master!$D$2:$D$44,MATCH($C139,Employee_Master!$A$2:$A$44,0)),"Not Found")</f>
        <v>Justin Glass</v>
      </c>
      <c r="G139" s="5" t="str">
        <f>IFERROR(INDEX(Employee_Master!$E$2:$E$44,MATCH($C139,Employee_Master!$A$2:$A$44,0)),"Not Found")</f>
        <v>West</v>
      </c>
      <c r="H139" s="5" t="str">
        <f>Sales_Data!D136</f>
        <v>P006 - Laptop Stand</v>
      </c>
      <c r="I139" s="5" t="str">
        <f>IFERROR(INDEX(Product_Master!$B$2:$B$30,MATCH($H139,Product_Master!$A$2:$A$30,0)),"Invalid Product Code")</f>
        <v>Electronics</v>
      </c>
      <c r="J139" s="5">
        <f>IFERROR(INDEX(Product_Master!$C$2:$C$30,MATCH($H139,Product_Master!$A$2:$A$30,0)),0)</f>
        <v>393.96</v>
      </c>
      <c r="K139" s="5">
        <f>Sales_Data!E136</f>
        <v>7</v>
      </c>
      <c r="L139" s="5">
        <f>Sales_Data!F136</f>
        <v>2992.98</v>
      </c>
      <c r="M139" s="5">
        <f>Sales_Data!G136</f>
        <v>2819.42</v>
      </c>
      <c r="N139" s="5" t="str">
        <f>IFERROR(INDEX(Branch_Master!$B$2:$B$9,MATCH($B139,Branch_Master!$A$2:$A$9,0)),"Not Found")</f>
        <v>Mumbai</v>
      </c>
      <c r="O139" s="5" t="str">
        <f>IFERROR(INDEX(Branch_Master!$C$2:$C$9,MATCH($B139,Branch_Master!$A$2:$A$9,0)),"Not Found")</f>
        <v>Maharashtra</v>
      </c>
      <c r="P139" s="5">
        <f>IFERROR(INDEX(Targets!$B$2:$B$9,MATCH($B139,Targets!$A$2:$A$9,0)),0)</f>
        <v>900000</v>
      </c>
      <c r="Q139" s="5" t="str">
        <f t="shared" si="4"/>
        <v>Yes</v>
      </c>
      <c r="R139" s="5" t="str">
        <f t="shared" si="5"/>
        <v>Feb</v>
      </c>
    </row>
    <row r="140" spans="1:18" ht="15" customHeight="1" x14ac:dyDescent="0.3">
      <c r="A140" s="5" t="str">
        <f>Sales_Data!A137</f>
        <v>2025-02-17</v>
      </c>
      <c r="B140" s="5" t="str">
        <f>Sales_Data!B137</f>
        <v>Delhi NCR</v>
      </c>
      <c r="C140" s="5" t="str">
        <f>Sales_Data!C137</f>
        <v>E031</v>
      </c>
      <c r="D140" s="5" t="str">
        <f>IFERROR(INDEX(Employee_Master!$B$2:$B$44,MATCH($C140,Employee_Master!$A$2:$A$44,0)),"Not Found")</f>
        <v>Jennifer Garcia</v>
      </c>
      <c r="E140" s="5" t="str">
        <f>IFERROR(INDEX(Employee_Master!$C$2:$C$44,MATCH($C140,Employee_Master!$A$2:$A$44,0)),"Not Found")</f>
        <v>Sales</v>
      </c>
      <c r="F140" s="5" t="str">
        <f>IFERROR(INDEX(Employee_Master!$D$2:$D$44,MATCH($C140,Employee_Master!$A$2:$A$44,0)),"Not Found")</f>
        <v>William Oconnell</v>
      </c>
      <c r="G140" s="5" t="str">
        <f>IFERROR(INDEX(Employee_Master!$E$2:$E$44,MATCH($C140,Employee_Master!$A$2:$A$44,0)),"Not Found")</f>
        <v>North</v>
      </c>
      <c r="H140" s="5" t="str">
        <f>Sales_Data!D137</f>
        <v>P026 - Yoga Mat</v>
      </c>
      <c r="I140" s="5" t="str">
        <f>IFERROR(INDEX(Product_Master!$B$2:$B$30,MATCH($H140,Product_Master!$A$2:$A$30,0)),"Invalid Product Code")</f>
        <v>Sports</v>
      </c>
      <c r="J140" s="5">
        <f>IFERROR(INDEX(Product_Master!$C$2:$C$30,MATCH($H140,Product_Master!$A$2:$A$30,0)),0)</f>
        <v>518.76</v>
      </c>
      <c r="K140" s="5">
        <f>Sales_Data!E137</f>
        <v>3</v>
      </c>
      <c r="L140" s="5">
        <f>Sales_Data!F137</f>
        <v>1549.53</v>
      </c>
      <c r="M140" s="5">
        <f>Sales_Data!G137</f>
        <v>1442.83</v>
      </c>
      <c r="N140" s="5" t="str">
        <f>IFERROR(INDEX(Branch_Master!$B$2:$B$9,MATCH($B140,Branch_Master!$A$2:$A$9,0)),"Not Found")</f>
        <v>New Delhi</v>
      </c>
      <c r="O140" s="5" t="str">
        <f>IFERROR(INDEX(Branch_Master!$C$2:$C$9,MATCH($B140,Branch_Master!$A$2:$A$9,0)),"Not Found")</f>
        <v>Delhi</v>
      </c>
      <c r="P140" s="5">
        <f>IFERROR(INDEX(Targets!$B$2:$B$9,MATCH($B140,Targets!$A$2:$A$9,0)),0)</f>
        <v>2070000</v>
      </c>
      <c r="Q140" s="5" t="str">
        <f t="shared" si="4"/>
        <v>Yes</v>
      </c>
      <c r="R140" s="5" t="str">
        <f t="shared" si="5"/>
        <v>Feb</v>
      </c>
    </row>
    <row r="141" spans="1:18" ht="15" customHeight="1" x14ac:dyDescent="0.3">
      <c r="A141" s="5" t="str">
        <f>Sales_Data!A138</f>
        <v>2025-02-18</v>
      </c>
      <c r="B141" s="5" t="str">
        <f>Sales_Data!B138</f>
        <v>Delhi NCR</v>
      </c>
      <c r="C141" s="5" t="str">
        <f>Sales_Data!C138</f>
        <v>E013</v>
      </c>
      <c r="D141" s="5" t="str">
        <f>IFERROR(INDEX(Employee_Master!$B$2:$B$44,MATCH($C141,Employee_Master!$A$2:$A$44,0)),"Not Found")</f>
        <v>Norma Wilson</v>
      </c>
      <c r="E141" s="5" t="str">
        <f>IFERROR(INDEX(Employee_Master!$C$2:$C$44,MATCH($C141,Employee_Master!$A$2:$A$44,0)),"Not Found")</f>
        <v>Customer Support</v>
      </c>
      <c r="F141" s="5" t="str">
        <f>IFERROR(INDEX(Employee_Master!$D$2:$D$44,MATCH($C141,Employee_Master!$A$2:$A$44,0)),"Not Found")</f>
        <v>William Oconnell</v>
      </c>
      <c r="G141" s="5" t="str">
        <f>IFERROR(INDEX(Employee_Master!$E$2:$E$44,MATCH($C141,Employee_Master!$A$2:$A$44,0)),"Not Found")</f>
        <v>North</v>
      </c>
      <c r="H141" s="5" t="str">
        <f>Sales_Data!D138</f>
        <v>P019 - Organic Honey</v>
      </c>
      <c r="I141" s="5" t="str">
        <f>IFERROR(INDEX(Product_Master!$B$2:$B$30,MATCH($H141,Product_Master!$A$2:$A$30,0)),"Invalid Product Code")</f>
        <v>Grocery</v>
      </c>
      <c r="J141" s="5">
        <f>IFERROR(INDEX(Product_Master!$C$2:$C$30,MATCH($H141,Product_Master!$A$2:$A$30,0)),0)</f>
        <v>482.15</v>
      </c>
      <c r="K141" s="5">
        <f>Sales_Data!E138</f>
        <v>6</v>
      </c>
      <c r="L141" s="5">
        <f>Sales_Data!F138</f>
        <v>0</v>
      </c>
      <c r="M141" s="5">
        <f>Sales_Data!G138</f>
        <v>2885.85</v>
      </c>
      <c r="N141" s="5" t="str">
        <f>IFERROR(INDEX(Branch_Master!$B$2:$B$9,MATCH($B141,Branch_Master!$A$2:$A$9,0)),"Not Found")</f>
        <v>New Delhi</v>
      </c>
      <c r="O141" s="5" t="str">
        <f>IFERROR(INDEX(Branch_Master!$C$2:$C$9,MATCH($B141,Branch_Master!$A$2:$A$9,0)),"Not Found")</f>
        <v>Delhi</v>
      </c>
      <c r="P141" s="5">
        <f>IFERROR(INDEX(Targets!$B$2:$B$9,MATCH($B141,Targets!$A$2:$A$9,0)),0)</f>
        <v>2070000</v>
      </c>
      <c r="Q141" s="5" t="str">
        <f t="shared" si="4"/>
        <v>No</v>
      </c>
      <c r="R141" s="5" t="str">
        <f t="shared" si="5"/>
        <v>Feb</v>
      </c>
    </row>
    <row r="142" spans="1:18" ht="15" customHeight="1" x14ac:dyDescent="0.3">
      <c r="A142" s="5" t="str">
        <f>Sales_Data!A139</f>
        <v>2025-02-18</v>
      </c>
      <c r="B142" s="5" t="str">
        <f>Sales_Data!B139</f>
        <v>Hyderabad Hitech</v>
      </c>
      <c r="C142" s="5" t="str">
        <f>Sales_Data!C139</f>
        <v>E011</v>
      </c>
      <c r="D142" s="5" t="str">
        <f>IFERROR(INDEX(Employee_Master!$B$2:$B$44,MATCH($C142,Employee_Master!$A$2:$A$44,0)),"Not Found")</f>
        <v>Mark Osborne</v>
      </c>
      <c r="E142" s="5" t="str">
        <f>IFERROR(INDEX(Employee_Master!$C$2:$C$44,MATCH($C142,Employee_Master!$A$2:$A$44,0)),"Not Found")</f>
        <v>Marketing</v>
      </c>
      <c r="F142" s="5" t="str">
        <f>IFERROR(INDEX(Employee_Master!$D$2:$D$44,MATCH($C142,Employee_Master!$A$2:$A$44,0)),"Not Found")</f>
        <v>Anna Turner</v>
      </c>
      <c r="G142" s="5" t="str">
        <f>IFERROR(INDEX(Employee_Master!$E$2:$E$44,MATCH($C142,Employee_Master!$A$2:$A$44,0)),"Not Found")</f>
        <v>South</v>
      </c>
      <c r="H142" s="5" t="str">
        <f>Sales_Data!D139</f>
        <v>P002 - Smart Watch</v>
      </c>
      <c r="I142" s="5" t="str">
        <f>IFERROR(INDEX(Product_Master!$B$2:$B$30,MATCH($H142,Product_Master!$A$2:$A$30,0)),"Invalid Product Code")</f>
        <v>Electronics</v>
      </c>
      <c r="J142" s="5">
        <f>IFERROR(INDEX(Product_Master!$C$2:$C$30,MATCH($H142,Product_Master!$A$2:$A$30,0)),0)</f>
        <v>403.33</v>
      </c>
      <c r="K142" s="5">
        <f>Sales_Data!E139</f>
        <v>9</v>
      </c>
      <c r="L142" s="5">
        <f>Sales_Data!F139</f>
        <v>3416.48</v>
      </c>
      <c r="M142" s="5">
        <f>Sales_Data!G139</f>
        <v>3473.08</v>
      </c>
      <c r="N142" s="5" t="str">
        <f>IFERROR(INDEX(Branch_Master!$B$2:$B$9,MATCH($B142,Branch_Master!$A$2:$A$9,0)),"Not Found")</f>
        <v>Hyderabad</v>
      </c>
      <c r="O142" s="5" t="str">
        <f>IFERROR(INDEX(Branch_Master!$C$2:$C$9,MATCH($B142,Branch_Master!$A$2:$A$9,0)),"Not Found")</f>
        <v>Telangana</v>
      </c>
      <c r="P142" s="5">
        <f>IFERROR(INDEX(Targets!$B$2:$B$9,MATCH($B142,Targets!$A$2:$A$9,0)),0)</f>
        <v>1210000</v>
      </c>
      <c r="Q142" s="5" t="str">
        <f t="shared" si="4"/>
        <v>No</v>
      </c>
      <c r="R142" s="5" t="str">
        <f t="shared" si="5"/>
        <v>Feb</v>
      </c>
    </row>
    <row r="143" spans="1:18" ht="15" customHeight="1" x14ac:dyDescent="0.3">
      <c r="A143" s="5" t="str">
        <f>Sales_Data!A140</f>
        <v>2025-02-19</v>
      </c>
      <c r="B143" s="5" t="str">
        <f>Sales_Data!B140</f>
        <v>Ahmedabad West</v>
      </c>
      <c r="C143" s="5" t="str">
        <f>Sales_Data!C140</f>
        <v>E037</v>
      </c>
      <c r="D143" s="5" t="str">
        <f>IFERROR(INDEX(Employee_Master!$B$2:$B$44,MATCH($C143,Employee_Master!$A$2:$A$44,0)),"Not Found")</f>
        <v>Thomas Harris</v>
      </c>
      <c r="E143" s="5" t="str">
        <f>IFERROR(INDEX(Employee_Master!$C$2:$C$44,MATCH($C143,Employee_Master!$A$2:$A$44,0)),"Not Found")</f>
        <v>Customer Support</v>
      </c>
      <c r="F143" s="5" t="str">
        <f>IFERROR(INDEX(Employee_Master!$D$2:$D$44,MATCH($C143,Employee_Master!$A$2:$A$44,0)),"Not Found")</f>
        <v>Joseph Brown</v>
      </c>
      <c r="G143" s="5" t="str">
        <f>IFERROR(INDEX(Employee_Master!$E$2:$E$44,MATCH($C143,Employee_Master!$A$2:$A$44,0)),"Not Found")</f>
        <v>West</v>
      </c>
      <c r="H143" s="5" t="str">
        <f>Sales_Data!D140</f>
        <v>P017 - Basmati Rice 5kg</v>
      </c>
      <c r="I143" s="5" t="str">
        <f>IFERROR(INDEX(Product_Master!$B$2:$B$30,MATCH($H143,Product_Master!$A$2:$A$30,0)),"Invalid Product Code")</f>
        <v>Grocery</v>
      </c>
      <c r="J143" s="5">
        <f>IFERROR(INDEX(Product_Master!$C$2:$C$30,MATCH($H143,Product_Master!$A$2:$A$30,0)),0)</f>
        <v>825.33</v>
      </c>
      <c r="K143" s="5">
        <f>Sales_Data!E140</f>
        <v>4</v>
      </c>
      <c r="L143" s="5">
        <f>Sales_Data!F140</f>
        <v>3177.12</v>
      </c>
      <c r="M143" s="5">
        <f>Sales_Data!G140</f>
        <v>3684.69</v>
      </c>
      <c r="N143" s="5" t="str">
        <f>IFERROR(INDEX(Branch_Master!$B$2:$B$9,MATCH($B143,Branch_Master!$A$2:$A$9,0)),"Not Found")</f>
        <v>Ahmedabad</v>
      </c>
      <c r="O143" s="5" t="str">
        <f>IFERROR(INDEX(Branch_Master!$C$2:$C$9,MATCH($B143,Branch_Master!$A$2:$A$9,0)),"Not Found")</f>
        <v>Gujarat</v>
      </c>
      <c r="P143" s="5">
        <f>IFERROR(INDEX(Targets!$B$2:$B$9,MATCH($B143,Targets!$A$2:$A$9,0)),0)</f>
        <v>1590000</v>
      </c>
      <c r="Q143" s="5" t="str">
        <f t="shared" si="4"/>
        <v>No</v>
      </c>
      <c r="R143" s="5" t="str">
        <f t="shared" si="5"/>
        <v>Feb</v>
      </c>
    </row>
    <row r="144" spans="1:18" ht="15" customHeight="1" x14ac:dyDescent="0.3">
      <c r="A144" s="5" t="str">
        <f>Sales_Data!A141</f>
        <v>2025-02-19</v>
      </c>
      <c r="B144" s="5" t="str">
        <f>Sales_Data!B141</f>
        <v>Bangalore North</v>
      </c>
      <c r="C144" s="5" t="str">
        <f>Sales_Data!C141</f>
        <v>E040</v>
      </c>
      <c r="D144" s="5" t="str">
        <f>IFERROR(INDEX(Employee_Master!$B$2:$B$44,MATCH($C144,Employee_Master!$A$2:$A$44,0)),"Not Found")</f>
        <v>Bonnie Cox</v>
      </c>
      <c r="E144" s="5" t="str">
        <f>IFERROR(INDEX(Employee_Master!$C$2:$C$44,MATCH($C144,Employee_Master!$A$2:$A$44,0)),"Not Found")</f>
        <v>Customer Support</v>
      </c>
      <c r="F144" s="5" t="str">
        <f>IFERROR(INDEX(Employee_Master!$D$2:$D$44,MATCH($C144,Employee_Master!$A$2:$A$44,0)),"Not Found")</f>
        <v>Jose Soto</v>
      </c>
      <c r="G144" s="5" t="str">
        <f>IFERROR(INDEX(Employee_Master!$E$2:$E$44,MATCH($C144,Employee_Master!$A$2:$A$44,0)),"Not Found")</f>
        <v>South</v>
      </c>
      <c r="H144" s="5" t="str">
        <f>Sales_Data!D141</f>
        <v>P004 - Power Bank</v>
      </c>
      <c r="I144" s="5" t="str">
        <f>IFERROR(INDEX(Product_Master!$B$2:$B$30,MATCH($H144,Product_Master!$A$2:$A$30,0)),"Invalid Product Code")</f>
        <v>Electronics</v>
      </c>
      <c r="J144" s="5">
        <f>IFERROR(INDEX(Product_Master!$C$2:$C$30,MATCH($H144,Product_Master!$A$2:$A$30,0)),0)</f>
        <v>76.91</v>
      </c>
      <c r="K144" s="5">
        <f>Sales_Data!E141</f>
        <v>10</v>
      </c>
      <c r="L144" s="5">
        <f>Sales_Data!F141</f>
        <v>759.61</v>
      </c>
      <c r="M144" s="5">
        <f>Sales_Data!G141</f>
        <v>760.69</v>
      </c>
      <c r="N144" s="5" t="str">
        <f>IFERROR(INDEX(Branch_Master!$B$2:$B$9,MATCH($B144,Branch_Master!$A$2:$A$9,0)),"Not Found")</f>
        <v>Bangalore</v>
      </c>
      <c r="O144" s="5" t="str">
        <f>IFERROR(INDEX(Branch_Master!$C$2:$C$9,MATCH($B144,Branch_Master!$A$2:$A$9,0)),"Not Found")</f>
        <v>Karnataka</v>
      </c>
      <c r="P144" s="5">
        <f>IFERROR(INDEX(Targets!$B$2:$B$9,MATCH($B144,Targets!$A$2:$A$9,0)),0)</f>
        <v>900000</v>
      </c>
      <c r="Q144" s="5" t="str">
        <f t="shared" si="4"/>
        <v>No</v>
      </c>
      <c r="R144" s="5" t="str">
        <f t="shared" si="5"/>
        <v>Feb</v>
      </c>
    </row>
    <row r="145" spans="1:18" ht="15" customHeight="1" x14ac:dyDescent="0.3">
      <c r="A145" s="5" t="str">
        <f>Sales_Data!A142</f>
        <v>2025-02-19</v>
      </c>
      <c r="B145" s="5" t="str">
        <f>Sales_Data!B142</f>
        <v>Pune East</v>
      </c>
      <c r="C145" s="5" t="str">
        <f>Sales_Data!C142</f>
        <v>E022</v>
      </c>
      <c r="D145" s="5" t="str">
        <f>IFERROR(INDEX(Employee_Master!$B$2:$B$44,MATCH($C145,Employee_Master!$A$2:$A$44,0)),"Not Found")</f>
        <v>Cindy Green PhD</v>
      </c>
      <c r="E145" s="5" t="str">
        <f>IFERROR(INDEX(Employee_Master!$C$2:$C$44,MATCH($C145,Employee_Master!$A$2:$A$44,0)),"Not Found")</f>
        <v>Customer Support</v>
      </c>
      <c r="F145" s="5" t="str">
        <f>IFERROR(INDEX(Employee_Master!$D$2:$D$44,MATCH($C145,Employee_Master!$A$2:$A$44,0)),"Not Found")</f>
        <v>Jordan Matthews</v>
      </c>
      <c r="G145" s="5" t="str">
        <f>IFERROR(INDEX(Employee_Master!$E$2:$E$44,MATCH($C145,Employee_Master!$A$2:$A$44,0)),"Not Found")</f>
        <v>West</v>
      </c>
      <c r="H145" s="5" t="str">
        <f>Sales_Data!D142</f>
        <v>P014 - Air Fryer</v>
      </c>
      <c r="I145" s="5" t="str">
        <f>IFERROR(INDEX(Product_Master!$B$2:$B$30,MATCH($H145,Product_Master!$A$2:$A$30,0)),"Invalid Product Code")</f>
        <v>Home &amp; Kitchen</v>
      </c>
      <c r="J145" s="5">
        <f>IFERROR(INDEX(Product_Master!$C$2:$C$30,MATCH($H145,Product_Master!$A$2:$A$30,0)),0)</f>
        <v>729.85</v>
      </c>
      <c r="K145" s="5">
        <f>Sales_Data!E142</f>
        <v>10</v>
      </c>
      <c r="L145" s="5">
        <f>Sales_Data!F142</f>
        <v>6796.81</v>
      </c>
      <c r="M145" s="5">
        <f>Sales_Data!G142</f>
        <v>8375.65</v>
      </c>
      <c r="N145" s="5" t="str">
        <f>IFERROR(INDEX(Branch_Master!$B$2:$B$9,MATCH($B145,Branch_Master!$A$2:$A$9,0)),"Not Found")</f>
        <v>Pune</v>
      </c>
      <c r="O145" s="5" t="str">
        <f>IFERROR(INDEX(Branch_Master!$C$2:$C$9,MATCH($B145,Branch_Master!$A$2:$A$9,0)),"Not Found")</f>
        <v>Maharashtra</v>
      </c>
      <c r="P145" s="5">
        <f>IFERROR(INDEX(Targets!$B$2:$B$9,MATCH($B145,Targets!$A$2:$A$9,0)),0)</f>
        <v>1250000</v>
      </c>
      <c r="Q145" s="5" t="str">
        <f t="shared" si="4"/>
        <v>No</v>
      </c>
      <c r="R145" s="5" t="str">
        <f t="shared" si="5"/>
        <v>Feb</v>
      </c>
    </row>
    <row r="146" spans="1:18" ht="15" customHeight="1" x14ac:dyDescent="0.3">
      <c r="A146" s="5" t="str">
        <f>Sales_Data!A143</f>
        <v>2025-02-21</v>
      </c>
      <c r="B146" s="5" t="str">
        <f>Sales_Data!B143</f>
        <v>Kolkata Central</v>
      </c>
      <c r="C146" s="5" t="str">
        <f>Sales_Data!C143</f>
        <v>E029</v>
      </c>
      <c r="D146" s="5" t="str">
        <f>IFERROR(INDEX(Employee_Master!$B$2:$B$44,MATCH($C146,Employee_Master!$A$2:$A$44,0)),"Not Found")</f>
        <v>Patrick Shepard</v>
      </c>
      <c r="E146" s="5" t="str">
        <f>IFERROR(INDEX(Employee_Master!$C$2:$C$44,MATCH($C146,Employee_Master!$A$2:$A$44,0)),"Not Found")</f>
        <v>Sales</v>
      </c>
      <c r="F146" s="5" t="str">
        <f>IFERROR(INDEX(Employee_Master!$D$2:$D$44,MATCH($C146,Employee_Master!$A$2:$A$44,0)),"Not Found")</f>
        <v>Lisa Moore</v>
      </c>
      <c r="G146" s="5" t="str">
        <f>IFERROR(INDEX(Employee_Master!$E$2:$E$44,MATCH($C146,Employee_Master!$A$2:$A$44,0)),"Not Found")</f>
        <v>East</v>
      </c>
      <c r="H146" s="5" t="str">
        <f>Sales_Data!D143</f>
        <v>P004 - Power Bank</v>
      </c>
      <c r="I146" s="5" t="str">
        <f>IFERROR(INDEX(Product_Master!$B$2:$B$30,MATCH($H146,Product_Master!$A$2:$A$30,0)),"Invalid Product Code")</f>
        <v>Electronics</v>
      </c>
      <c r="J146" s="5">
        <f>IFERROR(INDEX(Product_Master!$C$2:$C$30,MATCH($H146,Product_Master!$A$2:$A$30,0)),0)</f>
        <v>76.91</v>
      </c>
      <c r="K146" s="5">
        <f>Sales_Data!E143</f>
        <v>6</v>
      </c>
      <c r="L146" s="5">
        <f>Sales_Data!F143</f>
        <v>450.96</v>
      </c>
      <c r="M146" s="5">
        <f>Sales_Data!G143</f>
        <v>429.57</v>
      </c>
      <c r="N146" s="5" t="str">
        <f>IFERROR(INDEX(Branch_Master!$B$2:$B$9,MATCH($B146,Branch_Master!$A$2:$A$9,0)),"Not Found")</f>
        <v>Kolkata</v>
      </c>
      <c r="O146" s="5" t="str">
        <f>IFERROR(INDEX(Branch_Master!$C$2:$C$9,MATCH($B146,Branch_Master!$A$2:$A$9,0)),"Not Found")</f>
        <v>West Bengal</v>
      </c>
      <c r="P146" s="5">
        <f>IFERROR(INDEX(Targets!$B$2:$B$9,MATCH($B146,Targets!$A$2:$A$9,0)),0)</f>
        <v>1910000</v>
      </c>
      <c r="Q146" s="5" t="str">
        <f t="shared" si="4"/>
        <v>Yes</v>
      </c>
      <c r="R146" s="5" t="str">
        <f t="shared" si="5"/>
        <v>Feb</v>
      </c>
    </row>
    <row r="147" spans="1:18" ht="15" customHeight="1" x14ac:dyDescent="0.3">
      <c r="A147" s="5" t="str">
        <f>Sales_Data!A144</f>
        <v>2025-02-21</v>
      </c>
      <c r="B147" s="5" t="str">
        <f>Sales_Data!B144</f>
        <v>Ahmedabad West</v>
      </c>
      <c r="C147" s="5" t="str">
        <f>Sales_Data!C144</f>
        <v>E008</v>
      </c>
      <c r="D147" s="5" t="str">
        <f>IFERROR(INDEX(Employee_Master!$B$2:$B$44,MATCH($C147,Employee_Master!$A$2:$A$44,0)),"Not Found")</f>
        <v>Tyler Boone</v>
      </c>
      <c r="E147" s="5" t="str">
        <f>IFERROR(INDEX(Employee_Master!$C$2:$C$44,MATCH($C147,Employee_Master!$A$2:$A$44,0)),"Not Found")</f>
        <v>Marketing</v>
      </c>
      <c r="F147" s="5" t="str">
        <f>IFERROR(INDEX(Employee_Master!$D$2:$D$44,MATCH($C147,Employee_Master!$A$2:$A$44,0)),"Not Found")</f>
        <v>Joseph Brown</v>
      </c>
      <c r="G147" s="5" t="str">
        <f>IFERROR(INDEX(Employee_Master!$E$2:$E$44,MATCH($C147,Employee_Master!$A$2:$A$44,0)),"Not Found")</f>
        <v>West</v>
      </c>
      <c r="H147" s="5" t="str">
        <f>Sales_Data!D144</f>
        <v>P027 - Cricket Bat</v>
      </c>
      <c r="I147" s="5" t="str">
        <f>IFERROR(INDEX(Product_Master!$B$2:$B$30,MATCH($H147,Product_Master!$A$2:$A$30,0)),"Invalid Product Code")</f>
        <v>Sports</v>
      </c>
      <c r="J147" s="5">
        <f>IFERROR(INDEX(Product_Master!$C$2:$C$30,MATCH($H147,Product_Master!$A$2:$A$30,0)),0)</f>
        <v>822.7</v>
      </c>
      <c r="K147" s="5">
        <f>Sales_Data!E144</f>
        <v>12</v>
      </c>
      <c r="L147" s="5">
        <f>Sales_Data!F144</f>
        <v>9691.81</v>
      </c>
      <c r="M147" s="5">
        <f>Sales_Data!G144</f>
        <v>11054.16</v>
      </c>
      <c r="N147" s="5" t="str">
        <f>IFERROR(INDEX(Branch_Master!$B$2:$B$9,MATCH($B147,Branch_Master!$A$2:$A$9,0)),"Not Found")</f>
        <v>Ahmedabad</v>
      </c>
      <c r="O147" s="5" t="str">
        <f>IFERROR(INDEX(Branch_Master!$C$2:$C$9,MATCH($B147,Branch_Master!$A$2:$A$9,0)),"Not Found")</f>
        <v>Gujarat</v>
      </c>
      <c r="P147" s="5">
        <f>IFERROR(INDEX(Targets!$B$2:$B$9,MATCH($B147,Targets!$A$2:$A$9,0)),0)</f>
        <v>1590000</v>
      </c>
      <c r="Q147" s="5" t="str">
        <f t="shared" si="4"/>
        <v>No</v>
      </c>
      <c r="R147" s="5" t="str">
        <f t="shared" si="5"/>
        <v>Feb</v>
      </c>
    </row>
    <row r="148" spans="1:18" ht="15" customHeight="1" x14ac:dyDescent="0.3">
      <c r="A148" s="5" t="str">
        <f>Sales_Data!A145</f>
        <v>2025-02-21</v>
      </c>
      <c r="B148" s="5" t="str">
        <f>Sales_Data!B145</f>
        <v>Bangalore North</v>
      </c>
      <c r="C148" s="5" t="str">
        <f>Sales_Data!C145</f>
        <v>E040</v>
      </c>
      <c r="D148" s="5" t="str">
        <f>IFERROR(INDEX(Employee_Master!$B$2:$B$44,MATCH($C148,Employee_Master!$A$2:$A$44,0)),"Not Found")</f>
        <v>Bonnie Cox</v>
      </c>
      <c r="E148" s="5" t="str">
        <f>IFERROR(INDEX(Employee_Master!$C$2:$C$44,MATCH($C148,Employee_Master!$A$2:$A$44,0)),"Not Found")</f>
        <v>Customer Support</v>
      </c>
      <c r="F148" s="5" t="str">
        <f>IFERROR(INDEX(Employee_Master!$D$2:$D$44,MATCH($C148,Employee_Master!$A$2:$A$44,0)),"Not Found")</f>
        <v>Jose Soto</v>
      </c>
      <c r="G148" s="5" t="str">
        <f>IFERROR(INDEX(Employee_Master!$E$2:$E$44,MATCH($C148,Employee_Master!$A$2:$A$44,0)),"Not Found")</f>
        <v>South</v>
      </c>
      <c r="H148" s="5" t="str">
        <f>Sales_Data!D145</f>
        <v>P010 - Running Shoes</v>
      </c>
      <c r="I148" s="5" t="str">
        <f>IFERROR(INDEX(Product_Master!$B$2:$B$30,MATCH($H148,Product_Master!$A$2:$A$30,0)),"Invalid Product Code")</f>
        <v>Apparel</v>
      </c>
      <c r="J148" s="5">
        <f>IFERROR(INDEX(Product_Master!$C$2:$C$30,MATCH($H148,Product_Master!$A$2:$A$30,0)),0)</f>
        <v>233.71</v>
      </c>
      <c r="K148" s="5">
        <f>Sales_Data!E145</f>
        <v>5</v>
      </c>
      <c r="L148" s="5">
        <f>Sales_Data!F145</f>
        <v>1086.18</v>
      </c>
      <c r="M148" s="5">
        <f>Sales_Data!G145</f>
        <v>1152.3800000000001</v>
      </c>
      <c r="N148" s="5" t="str">
        <f>IFERROR(INDEX(Branch_Master!$B$2:$B$9,MATCH($B148,Branch_Master!$A$2:$A$9,0)),"Not Found")</f>
        <v>Bangalore</v>
      </c>
      <c r="O148" s="5" t="str">
        <f>IFERROR(INDEX(Branch_Master!$C$2:$C$9,MATCH($B148,Branch_Master!$A$2:$A$9,0)),"Not Found")</f>
        <v>Karnataka</v>
      </c>
      <c r="P148" s="5">
        <f>IFERROR(INDEX(Targets!$B$2:$B$9,MATCH($B148,Targets!$A$2:$A$9,0)),0)</f>
        <v>900000</v>
      </c>
      <c r="Q148" s="5" t="str">
        <f t="shared" si="4"/>
        <v>No</v>
      </c>
      <c r="R148" s="5" t="str">
        <f t="shared" si="5"/>
        <v>Feb</v>
      </c>
    </row>
    <row r="149" spans="1:18" ht="15" customHeight="1" x14ac:dyDescent="0.3">
      <c r="A149" s="5" t="str">
        <f>Sales_Data!A146</f>
        <v>2025-02-21</v>
      </c>
      <c r="B149" s="5" t="str">
        <f>Sales_Data!B146</f>
        <v>Bangalore North</v>
      </c>
      <c r="C149" s="5" t="str">
        <f>Sales_Data!C146</f>
        <v>E006</v>
      </c>
      <c r="D149" s="5" t="str">
        <f>IFERROR(INDEX(Employee_Master!$B$2:$B$44,MATCH($C149,Employee_Master!$A$2:$A$44,0)),"Not Found")</f>
        <v>Dylan Jones</v>
      </c>
      <c r="E149" s="5" t="str">
        <f>IFERROR(INDEX(Employee_Master!$C$2:$C$44,MATCH($C149,Employee_Master!$A$2:$A$44,0)),"Not Found")</f>
        <v>Sales</v>
      </c>
      <c r="F149" s="5" t="str">
        <f>IFERROR(INDEX(Employee_Master!$D$2:$D$44,MATCH($C149,Employee_Master!$A$2:$A$44,0)),"Not Found")</f>
        <v>Jose Soto</v>
      </c>
      <c r="G149" s="5" t="str">
        <f>IFERROR(INDEX(Employee_Master!$E$2:$E$44,MATCH($C149,Employee_Master!$A$2:$A$44,0)),"Not Found")</f>
        <v>South</v>
      </c>
      <c r="H149" s="5" t="str">
        <f>Sales_Data!D146</f>
        <v>P007 - Cotton T-Shirt</v>
      </c>
      <c r="I149" s="5" t="str">
        <f>IFERROR(INDEX(Product_Master!$B$2:$B$30,MATCH($H149,Product_Master!$A$2:$A$30,0)),"Invalid Product Code")</f>
        <v>Apparel</v>
      </c>
      <c r="J149" s="5">
        <f>IFERROR(INDEX(Product_Master!$C$2:$C$30,MATCH($H149,Product_Master!$A$2:$A$30,0)),0)</f>
        <v>338.44</v>
      </c>
      <c r="K149" s="5">
        <f>Sales_Data!E146</f>
        <v>12</v>
      </c>
      <c r="L149" s="5">
        <f>Sales_Data!F146</f>
        <v>3836.92</v>
      </c>
      <c r="M149" s="5">
        <f>Sales_Data!G146</f>
        <v>3653.76</v>
      </c>
      <c r="N149" s="5" t="str">
        <f>IFERROR(INDEX(Branch_Master!$B$2:$B$9,MATCH($B149,Branch_Master!$A$2:$A$9,0)),"Not Found")</f>
        <v>Bangalore</v>
      </c>
      <c r="O149" s="5" t="str">
        <f>IFERROR(INDEX(Branch_Master!$C$2:$C$9,MATCH($B149,Branch_Master!$A$2:$A$9,0)),"Not Found")</f>
        <v>Karnataka</v>
      </c>
      <c r="P149" s="5">
        <f>IFERROR(INDEX(Targets!$B$2:$B$9,MATCH($B149,Targets!$A$2:$A$9,0)),0)</f>
        <v>900000</v>
      </c>
      <c r="Q149" s="5" t="str">
        <f t="shared" si="4"/>
        <v>Yes</v>
      </c>
      <c r="R149" s="5" t="str">
        <f t="shared" si="5"/>
        <v>Feb</v>
      </c>
    </row>
    <row r="150" spans="1:18" ht="15" customHeight="1" x14ac:dyDescent="0.3">
      <c r="A150" s="5" t="str">
        <f>Sales_Data!A147</f>
        <v>2025-02-22</v>
      </c>
      <c r="B150" s="5" t="str">
        <f>Sales_Data!B147</f>
        <v>Pune East</v>
      </c>
      <c r="C150" s="5" t="str">
        <f>Sales_Data!C147</f>
        <v>E022</v>
      </c>
      <c r="D150" s="5" t="str">
        <f>IFERROR(INDEX(Employee_Master!$B$2:$B$44,MATCH($C150,Employee_Master!$A$2:$A$44,0)),"Not Found")</f>
        <v>Cindy Green PhD</v>
      </c>
      <c r="E150" s="5" t="str">
        <f>IFERROR(INDEX(Employee_Master!$C$2:$C$44,MATCH($C150,Employee_Master!$A$2:$A$44,0)),"Not Found")</f>
        <v>Customer Support</v>
      </c>
      <c r="F150" s="5" t="str">
        <f>IFERROR(INDEX(Employee_Master!$D$2:$D$44,MATCH($C150,Employee_Master!$A$2:$A$44,0)),"Not Found")</f>
        <v>Jordan Matthews</v>
      </c>
      <c r="G150" s="5" t="str">
        <f>IFERROR(INDEX(Employee_Master!$E$2:$E$44,MATCH($C150,Employee_Master!$A$2:$A$44,0)),"Not Found")</f>
        <v>West</v>
      </c>
      <c r="H150" s="5" t="str">
        <f>Sales_Data!D147</f>
        <v>P012 - Non-Stick Pan</v>
      </c>
      <c r="I150" s="5" t="str">
        <f>IFERROR(INDEX(Product_Master!$B$2:$B$30,MATCH($H150,Product_Master!$A$2:$A$30,0)),"Invalid Product Code")</f>
        <v>Home &amp; Kitchen</v>
      </c>
      <c r="J150" s="5">
        <f>IFERROR(INDEX(Product_Master!$C$2:$C$30,MATCH($H150,Product_Master!$A$2:$A$30,0)),0)</f>
        <v>353.18</v>
      </c>
      <c r="K150" s="5">
        <f>Sales_Data!E147</f>
        <v>5</v>
      </c>
      <c r="L150" s="5">
        <f>Sales_Data!F147</f>
        <v>1714.2</v>
      </c>
      <c r="M150" s="5">
        <f>Sales_Data!G147</f>
        <v>1575.63</v>
      </c>
      <c r="N150" s="5" t="str">
        <f>IFERROR(INDEX(Branch_Master!$B$2:$B$9,MATCH($B150,Branch_Master!$A$2:$A$9,0)),"Not Found")</f>
        <v>Pune</v>
      </c>
      <c r="O150" s="5" t="str">
        <f>IFERROR(INDEX(Branch_Master!$C$2:$C$9,MATCH($B150,Branch_Master!$A$2:$A$9,0)),"Not Found")</f>
        <v>Maharashtra</v>
      </c>
      <c r="P150" s="5">
        <f>IFERROR(INDEX(Targets!$B$2:$B$9,MATCH($B150,Targets!$A$2:$A$9,0)),0)</f>
        <v>1250000</v>
      </c>
      <c r="Q150" s="5" t="str">
        <f t="shared" si="4"/>
        <v>Yes</v>
      </c>
      <c r="R150" s="5" t="str">
        <f t="shared" si="5"/>
        <v>Feb</v>
      </c>
    </row>
    <row r="151" spans="1:18" ht="15" customHeight="1" x14ac:dyDescent="0.3">
      <c r="A151" s="5" t="str">
        <f>Sales_Data!A148</f>
        <v>2025-02-23</v>
      </c>
      <c r="B151" s="5" t="str">
        <f>Sales_Data!B148</f>
        <v>Ahmedabad West</v>
      </c>
      <c r="C151" s="5" t="str">
        <f>Sales_Data!C148</f>
        <v>E039</v>
      </c>
      <c r="D151" s="5" t="str">
        <f>IFERROR(INDEX(Employee_Master!$B$2:$B$44,MATCH($C151,Employee_Master!$A$2:$A$44,0)),"Not Found")</f>
        <v>Christopher Wood</v>
      </c>
      <c r="E151" s="5" t="str">
        <f>IFERROR(INDEX(Employee_Master!$C$2:$C$44,MATCH($C151,Employee_Master!$A$2:$A$44,0)),"Not Found")</f>
        <v>Marketing</v>
      </c>
      <c r="F151" s="5" t="str">
        <f>IFERROR(INDEX(Employee_Master!$D$2:$D$44,MATCH($C151,Employee_Master!$A$2:$A$44,0)),"Not Found")</f>
        <v>Joseph Brown</v>
      </c>
      <c r="G151" s="5" t="str">
        <f>IFERROR(INDEX(Employee_Master!$E$2:$E$44,MATCH($C151,Employee_Master!$A$2:$A$44,0)),"Not Found")</f>
        <v>West</v>
      </c>
      <c r="H151" s="5" t="str">
        <f>Sales_Data!D148</f>
        <v>P009 - Formal Shirt</v>
      </c>
      <c r="I151" s="5" t="str">
        <f>IFERROR(INDEX(Product_Master!$B$2:$B$30,MATCH($H151,Product_Master!$A$2:$A$30,0)),"Invalid Product Code")</f>
        <v>Apparel</v>
      </c>
      <c r="J151" s="5">
        <f>IFERROR(INDEX(Product_Master!$C$2:$C$30,MATCH($H151,Product_Master!$A$2:$A$30,0)),0)</f>
        <v>661.65</v>
      </c>
      <c r="K151" s="5">
        <f>Sales_Data!E148</f>
        <v>7</v>
      </c>
      <c r="L151" s="5">
        <f>Sales_Data!F148</f>
        <v>5030.17</v>
      </c>
      <c r="M151" s="5">
        <f>Sales_Data!G148</f>
        <v>4510.82</v>
      </c>
      <c r="N151" s="5" t="str">
        <f>IFERROR(INDEX(Branch_Master!$B$2:$B$9,MATCH($B151,Branch_Master!$A$2:$A$9,0)),"Not Found")</f>
        <v>Ahmedabad</v>
      </c>
      <c r="O151" s="5" t="str">
        <f>IFERROR(INDEX(Branch_Master!$C$2:$C$9,MATCH($B151,Branch_Master!$A$2:$A$9,0)),"Not Found")</f>
        <v>Gujarat</v>
      </c>
      <c r="P151" s="5">
        <f>IFERROR(INDEX(Targets!$B$2:$B$9,MATCH($B151,Targets!$A$2:$A$9,0)),0)</f>
        <v>1590000</v>
      </c>
      <c r="Q151" s="5" t="str">
        <f t="shared" si="4"/>
        <v>Yes</v>
      </c>
      <c r="R151" s="5" t="str">
        <f t="shared" si="5"/>
        <v>Feb</v>
      </c>
    </row>
    <row r="152" spans="1:18" ht="15" customHeight="1" x14ac:dyDescent="0.3">
      <c r="A152" s="5" t="str">
        <f>Sales_Data!A149</f>
        <v>2025-02-23</v>
      </c>
      <c r="B152" s="5" t="str">
        <f>Sales_Data!B149</f>
        <v>Pune East</v>
      </c>
      <c r="C152" s="5" t="str">
        <f>Sales_Data!C149</f>
        <v>E022</v>
      </c>
      <c r="D152" s="5" t="str">
        <f>IFERROR(INDEX(Employee_Master!$B$2:$B$44,MATCH($C152,Employee_Master!$A$2:$A$44,0)),"Not Found")</f>
        <v>Cindy Green PhD</v>
      </c>
      <c r="E152" s="5" t="str">
        <f>IFERROR(INDEX(Employee_Master!$C$2:$C$44,MATCH($C152,Employee_Master!$A$2:$A$44,0)),"Not Found")</f>
        <v>Customer Support</v>
      </c>
      <c r="F152" s="5" t="str">
        <f>IFERROR(INDEX(Employee_Master!$D$2:$D$44,MATCH($C152,Employee_Master!$A$2:$A$44,0)),"Not Found")</f>
        <v>Jordan Matthews</v>
      </c>
      <c r="G152" s="5" t="str">
        <f>IFERROR(INDEX(Employee_Master!$E$2:$E$44,MATCH($C152,Employee_Master!$A$2:$A$44,0)),"Not Found")</f>
        <v>West</v>
      </c>
      <c r="H152" s="5" t="str">
        <f>Sales_Data!D149</f>
        <v>P017 - Basmati Rice 5kg</v>
      </c>
      <c r="I152" s="5" t="str">
        <f>IFERROR(INDEX(Product_Master!$B$2:$B$30,MATCH($H152,Product_Master!$A$2:$A$30,0)),"Invalid Product Code")</f>
        <v>Grocery</v>
      </c>
      <c r="J152" s="5">
        <f>IFERROR(INDEX(Product_Master!$C$2:$C$30,MATCH($H152,Product_Master!$A$2:$A$30,0)),0)</f>
        <v>825.33</v>
      </c>
      <c r="K152" s="5">
        <f>Sales_Data!E149</f>
        <v>5</v>
      </c>
      <c r="L152" s="5">
        <f>Sales_Data!F149</f>
        <v>3910.75</v>
      </c>
      <c r="M152" s="5">
        <f>Sales_Data!G149</f>
        <v>4379.92</v>
      </c>
      <c r="N152" s="5" t="str">
        <f>IFERROR(INDEX(Branch_Master!$B$2:$B$9,MATCH($B152,Branch_Master!$A$2:$A$9,0)),"Not Found")</f>
        <v>Pune</v>
      </c>
      <c r="O152" s="5" t="str">
        <f>IFERROR(INDEX(Branch_Master!$C$2:$C$9,MATCH($B152,Branch_Master!$A$2:$A$9,0)),"Not Found")</f>
        <v>Maharashtra</v>
      </c>
      <c r="P152" s="5">
        <f>IFERROR(INDEX(Targets!$B$2:$B$9,MATCH($B152,Targets!$A$2:$A$9,0)),0)</f>
        <v>1250000</v>
      </c>
      <c r="Q152" s="5" t="str">
        <f t="shared" si="4"/>
        <v>No</v>
      </c>
      <c r="R152" s="5" t="str">
        <f t="shared" si="5"/>
        <v>Feb</v>
      </c>
    </row>
    <row r="153" spans="1:18" ht="15" customHeight="1" x14ac:dyDescent="0.3">
      <c r="A153" s="5" t="str">
        <f>Sales_Data!A150</f>
        <v>2025-02-23</v>
      </c>
      <c r="B153" s="5" t="str">
        <f>Sales_Data!B150</f>
        <v>Ahmedabad West</v>
      </c>
      <c r="C153" s="5" t="str">
        <f>Sales_Data!C150</f>
        <v>E002</v>
      </c>
      <c r="D153" s="5" t="str">
        <f>IFERROR(INDEX(Employee_Master!$B$2:$B$44,MATCH($C153,Employee_Master!$A$2:$A$44,0)),"Not Found")</f>
        <v>Jeremiah Kirby</v>
      </c>
      <c r="E153" s="5" t="str">
        <f>IFERROR(INDEX(Employee_Master!$C$2:$C$44,MATCH($C153,Employee_Master!$A$2:$A$44,0)),"Not Found")</f>
        <v>Marketing</v>
      </c>
      <c r="F153" s="5" t="str">
        <f>IFERROR(INDEX(Employee_Master!$D$2:$D$44,MATCH($C153,Employee_Master!$A$2:$A$44,0)),"Not Found")</f>
        <v>Joseph Brown</v>
      </c>
      <c r="G153" s="5" t="str">
        <f>IFERROR(INDEX(Employee_Master!$E$2:$E$44,MATCH($C153,Employee_Master!$A$2:$A$44,0)),"Not Found")</f>
        <v>West</v>
      </c>
      <c r="H153" s="5" t="str">
        <f>Sales_Data!D150</f>
        <v>P028 - Football</v>
      </c>
      <c r="I153" s="5" t="str">
        <f>IFERROR(INDEX(Product_Master!$B$2:$B$30,MATCH($H153,Product_Master!$A$2:$A$30,0)),"Invalid Product Code")</f>
        <v>Sports</v>
      </c>
      <c r="J153" s="5">
        <f>IFERROR(INDEX(Product_Master!$C$2:$C$30,MATCH($H153,Product_Master!$A$2:$A$30,0)),0)</f>
        <v>314.25</v>
      </c>
      <c r="K153" s="5">
        <f>Sales_Data!E150</f>
        <v>2</v>
      </c>
      <c r="L153" s="5">
        <f>Sales_Data!F150</f>
        <v>667.43</v>
      </c>
      <c r="M153" s="5">
        <f>Sales_Data!G150</f>
        <v>629.21</v>
      </c>
      <c r="N153" s="5" t="str">
        <f>IFERROR(INDEX(Branch_Master!$B$2:$B$9,MATCH($B153,Branch_Master!$A$2:$A$9,0)),"Not Found")</f>
        <v>Ahmedabad</v>
      </c>
      <c r="O153" s="5" t="str">
        <f>IFERROR(INDEX(Branch_Master!$C$2:$C$9,MATCH($B153,Branch_Master!$A$2:$A$9,0)),"Not Found")</f>
        <v>Gujarat</v>
      </c>
      <c r="P153" s="5">
        <f>IFERROR(INDEX(Targets!$B$2:$B$9,MATCH($B153,Targets!$A$2:$A$9,0)),0)</f>
        <v>1590000</v>
      </c>
      <c r="Q153" s="5" t="str">
        <f t="shared" si="4"/>
        <v>Yes</v>
      </c>
      <c r="R153" s="5" t="str">
        <f t="shared" si="5"/>
        <v>Feb</v>
      </c>
    </row>
    <row r="154" spans="1:18" ht="15" customHeight="1" x14ac:dyDescent="0.3">
      <c r="A154" s="5" t="str">
        <f>Sales_Data!A151</f>
        <v>2025-02-24</v>
      </c>
      <c r="B154" s="5" t="str">
        <f>Sales_Data!B151</f>
        <v>Mumbai Central</v>
      </c>
      <c r="C154" s="5" t="str">
        <f>Sales_Data!C151</f>
        <v>E012</v>
      </c>
      <c r="D154" s="5" t="str">
        <f>IFERROR(INDEX(Employee_Master!$B$2:$B$44,MATCH($C154,Employee_Master!$A$2:$A$44,0)),"Not Found")</f>
        <v>Brandon Cook</v>
      </c>
      <c r="E154" s="5" t="str">
        <f>IFERROR(INDEX(Employee_Master!$C$2:$C$44,MATCH($C154,Employee_Master!$A$2:$A$44,0)),"Not Found")</f>
        <v>Customer Support</v>
      </c>
      <c r="F154" s="5" t="str">
        <f>IFERROR(INDEX(Employee_Master!$D$2:$D$44,MATCH($C154,Employee_Master!$A$2:$A$44,0)),"Not Found")</f>
        <v>Justin Glass</v>
      </c>
      <c r="G154" s="5" t="str">
        <f>IFERROR(INDEX(Employee_Master!$E$2:$E$44,MATCH($C154,Employee_Master!$A$2:$A$44,0)),"Not Found")</f>
        <v>West</v>
      </c>
      <c r="H154" s="5" t="str">
        <f>Sales_Data!D151</f>
        <v>P012 - Non-Stick Pan</v>
      </c>
      <c r="I154" s="5" t="str">
        <f>IFERROR(INDEX(Product_Master!$B$2:$B$30,MATCH($H154,Product_Master!$A$2:$A$30,0)),"Invalid Product Code")</f>
        <v>Home &amp; Kitchen</v>
      </c>
      <c r="J154" s="5">
        <f>IFERROR(INDEX(Product_Master!$C$2:$C$30,MATCH($H154,Product_Master!$A$2:$A$30,0)),0)</f>
        <v>353.18</v>
      </c>
      <c r="K154" s="5">
        <f>Sales_Data!E151</f>
        <v>12</v>
      </c>
      <c r="L154" s="5">
        <f>Sales_Data!F151</f>
        <v>4622.33</v>
      </c>
      <c r="M154" s="5">
        <f>Sales_Data!G151</f>
        <v>3690.4</v>
      </c>
      <c r="N154" s="5" t="str">
        <f>IFERROR(INDEX(Branch_Master!$B$2:$B$9,MATCH($B154,Branch_Master!$A$2:$A$9,0)),"Not Found")</f>
        <v>Mumbai</v>
      </c>
      <c r="O154" s="5" t="str">
        <f>IFERROR(INDEX(Branch_Master!$C$2:$C$9,MATCH($B154,Branch_Master!$A$2:$A$9,0)),"Not Found")</f>
        <v>Maharashtra</v>
      </c>
      <c r="P154" s="5">
        <f>IFERROR(INDEX(Targets!$B$2:$B$9,MATCH($B154,Targets!$A$2:$A$9,0)),0)</f>
        <v>900000</v>
      </c>
      <c r="Q154" s="5" t="str">
        <f t="shared" si="4"/>
        <v>Yes</v>
      </c>
      <c r="R154" s="5" t="str">
        <f t="shared" si="5"/>
        <v>Feb</v>
      </c>
    </row>
    <row r="155" spans="1:18" ht="15" customHeight="1" x14ac:dyDescent="0.3">
      <c r="A155" s="5" t="str">
        <f>Sales_Data!A152</f>
        <v>2025-02-24</v>
      </c>
      <c r="B155" s="5" t="str">
        <f>Sales_Data!B152</f>
        <v>Kolkata Central</v>
      </c>
      <c r="C155" s="5" t="str">
        <f>Sales_Data!C152</f>
        <v>E024</v>
      </c>
      <c r="D155" s="5" t="str">
        <f>IFERROR(INDEX(Employee_Master!$B$2:$B$44,MATCH($C155,Employee_Master!$A$2:$A$44,0)),"Not Found")</f>
        <v>Kevin Sanchez</v>
      </c>
      <c r="E155" s="5" t="str">
        <f>IFERROR(INDEX(Employee_Master!$C$2:$C$44,MATCH($C155,Employee_Master!$A$2:$A$44,0)),"Not Found")</f>
        <v>Sales</v>
      </c>
      <c r="F155" s="5" t="str">
        <f>IFERROR(INDEX(Employee_Master!$D$2:$D$44,MATCH($C155,Employee_Master!$A$2:$A$44,0)),"Not Found")</f>
        <v>Lisa Moore</v>
      </c>
      <c r="G155" s="5" t="str">
        <f>IFERROR(INDEX(Employee_Master!$E$2:$E$44,MATCH($C155,Employee_Master!$A$2:$A$44,0)),"Not Found")</f>
        <v>East</v>
      </c>
      <c r="H155" s="5" t="str">
        <f>Sales_Data!D152</f>
        <v>P023 - Sunscreen SPF50</v>
      </c>
      <c r="I155" s="5" t="str">
        <f>IFERROR(INDEX(Product_Master!$B$2:$B$30,MATCH($H155,Product_Master!$A$2:$A$30,0)),"Invalid Product Code")</f>
        <v>Beauty</v>
      </c>
      <c r="J155" s="5">
        <f>IFERROR(INDEX(Product_Master!$C$2:$C$30,MATCH($H155,Product_Master!$A$2:$A$30,0)),0)</f>
        <v>818.95</v>
      </c>
      <c r="K155" s="5">
        <f>Sales_Data!E152</f>
        <v>2</v>
      </c>
      <c r="L155" s="5">
        <f>Sales_Data!F152</f>
        <v>1623.33</v>
      </c>
      <c r="M155" s="5">
        <f>Sales_Data!G152</f>
        <v>1808.29</v>
      </c>
      <c r="N155" s="5" t="str">
        <f>IFERROR(INDEX(Branch_Master!$B$2:$B$9,MATCH($B155,Branch_Master!$A$2:$A$9,0)),"Not Found")</f>
        <v>Kolkata</v>
      </c>
      <c r="O155" s="5" t="str">
        <f>IFERROR(INDEX(Branch_Master!$C$2:$C$9,MATCH($B155,Branch_Master!$A$2:$A$9,0)),"Not Found")</f>
        <v>West Bengal</v>
      </c>
      <c r="P155" s="5">
        <f>IFERROR(INDEX(Targets!$B$2:$B$9,MATCH($B155,Targets!$A$2:$A$9,0)),0)</f>
        <v>1910000</v>
      </c>
      <c r="Q155" s="5" t="str">
        <f t="shared" si="4"/>
        <v>No</v>
      </c>
      <c r="R155" s="5" t="str">
        <f t="shared" si="5"/>
        <v>Feb</v>
      </c>
    </row>
    <row r="156" spans="1:18" ht="15" customHeight="1" x14ac:dyDescent="0.3">
      <c r="A156" s="5" t="str">
        <f>Sales_Data!A153</f>
        <v>2025-02-24</v>
      </c>
      <c r="B156" s="5" t="str">
        <f>Sales_Data!B153</f>
        <v>Mumbai Central</v>
      </c>
      <c r="C156" s="5" t="str">
        <f>Sales_Data!C153</f>
        <v>E036</v>
      </c>
      <c r="D156" s="5" t="str">
        <f>IFERROR(INDEX(Employee_Master!$B$2:$B$44,MATCH($C156,Employee_Master!$A$2:$A$44,0)),"Not Found")</f>
        <v>Sarah Mendez</v>
      </c>
      <c r="E156" s="5" t="str">
        <f>IFERROR(INDEX(Employee_Master!$C$2:$C$44,MATCH($C156,Employee_Master!$A$2:$A$44,0)),"Not Found")</f>
        <v>Sales</v>
      </c>
      <c r="F156" s="5" t="str">
        <f>IFERROR(INDEX(Employee_Master!$D$2:$D$44,MATCH($C156,Employee_Master!$A$2:$A$44,0)),"Not Found")</f>
        <v>Justin Glass</v>
      </c>
      <c r="G156" s="5" t="str">
        <f>IFERROR(INDEX(Employee_Master!$E$2:$E$44,MATCH($C156,Employee_Master!$A$2:$A$44,0)),"Not Found")</f>
        <v>West</v>
      </c>
      <c r="H156" s="5" t="str">
        <f>Sales_Data!D153</f>
        <v>P008 - Denim Jeans</v>
      </c>
      <c r="I156" s="5" t="str">
        <f>IFERROR(INDEX(Product_Master!$B$2:$B$30,MATCH($H156,Product_Master!$A$2:$A$30,0)),"Invalid Product Code")</f>
        <v>Apparel</v>
      </c>
      <c r="J156" s="5">
        <f>IFERROR(INDEX(Product_Master!$C$2:$C$30,MATCH($H156,Product_Master!$A$2:$A$30,0)),0)</f>
        <v>614.48</v>
      </c>
      <c r="K156" s="5">
        <f>Sales_Data!E153</f>
        <v>8</v>
      </c>
      <c r="L156" s="5">
        <f>Sales_Data!F153</f>
        <v>4790.3100000000004</v>
      </c>
      <c r="M156" s="5">
        <f>Sales_Data!G153</f>
        <v>4885.83</v>
      </c>
      <c r="N156" s="5" t="str">
        <f>IFERROR(INDEX(Branch_Master!$B$2:$B$9,MATCH($B156,Branch_Master!$A$2:$A$9,0)),"Not Found")</f>
        <v>Mumbai</v>
      </c>
      <c r="O156" s="5" t="str">
        <f>IFERROR(INDEX(Branch_Master!$C$2:$C$9,MATCH($B156,Branch_Master!$A$2:$A$9,0)),"Not Found")</f>
        <v>Maharashtra</v>
      </c>
      <c r="P156" s="5">
        <f>IFERROR(INDEX(Targets!$B$2:$B$9,MATCH($B156,Targets!$A$2:$A$9,0)),0)</f>
        <v>900000</v>
      </c>
      <c r="Q156" s="5" t="str">
        <f t="shared" si="4"/>
        <v>No</v>
      </c>
      <c r="R156" s="5" t="str">
        <f t="shared" si="5"/>
        <v>Feb</v>
      </c>
    </row>
    <row r="157" spans="1:18" ht="15" customHeight="1" x14ac:dyDescent="0.3">
      <c r="A157" s="5" t="str">
        <f>Sales_Data!A154</f>
        <v>2025-02-24</v>
      </c>
      <c r="B157" s="5" t="str">
        <f>Sales_Data!B154</f>
        <v>Hyderabad Hitech</v>
      </c>
      <c r="C157" s="5" t="str">
        <f>Sales_Data!C154</f>
        <v>E035</v>
      </c>
      <c r="D157" s="5" t="str">
        <f>IFERROR(INDEX(Employee_Master!$B$2:$B$44,MATCH($C157,Employee_Master!$A$2:$A$44,0)),"Not Found")</f>
        <v>Andrea Perez</v>
      </c>
      <c r="E157" s="5" t="str">
        <f>IFERROR(INDEX(Employee_Master!$C$2:$C$44,MATCH($C157,Employee_Master!$A$2:$A$44,0)),"Not Found")</f>
        <v>Sales</v>
      </c>
      <c r="F157" s="5" t="str">
        <f>IFERROR(INDEX(Employee_Master!$D$2:$D$44,MATCH($C157,Employee_Master!$A$2:$A$44,0)),"Not Found")</f>
        <v>Anna Turner</v>
      </c>
      <c r="G157" s="5" t="str">
        <f>IFERROR(INDEX(Employee_Master!$E$2:$E$44,MATCH($C157,Employee_Master!$A$2:$A$44,0)),"Not Found")</f>
        <v>South</v>
      </c>
      <c r="H157" s="5" t="str">
        <f>Sales_Data!D154</f>
        <v>P004 - Power Bank</v>
      </c>
      <c r="I157" s="5" t="str">
        <f>IFERROR(INDEX(Product_Master!$B$2:$B$30,MATCH($H157,Product_Master!$A$2:$A$30,0)),"Invalid Product Code")</f>
        <v>Electronics</v>
      </c>
      <c r="J157" s="5">
        <f>IFERROR(INDEX(Product_Master!$C$2:$C$30,MATCH($H157,Product_Master!$A$2:$A$30,0)),0)</f>
        <v>76.91</v>
      </c>
      <c r="K157" s="5">
        <f>Sales_Data!E154</f>
        <v>7</v>
      </c>
      <c r="L157" s="5">
        <f>Sales_Data!F154</f>
        <v>517.24</v>
      </c>
      <c r="M157" s="5">
        <f>Sales_Data!G154</f>
        <v>524.95000000000005</v>
      </c>
      <c r="N157" s="5" t="str">
        <f>IFERROR(INDEX(Branch_Master!$B$2:$B$9,MATCH($B157,Branch_Master!$A$2:$A$9,0)),"Not Found")</f>
        <v>Hyderabad</v>
      </c>
      <c r="O157" s="5" t="str">
        <f>IFERROR(INDEX(Branch_Master!$C$2:$C$9,MATCH($B157,Branch_Master!$A$2:$A$9,0)),"Not Found")</f>
        <v>Telangana</v>
      </c>
      <c r="P157" s="5">
        <f>IFERROR(INDEX(Targets!$B$2:$B$9,MATCH($B157,Targets!$A$2:$A$9,0)),0)</f>
        <v>1210000</v>
      </c>
      <c r="Q157" s="5" t="str">
        <f t="shared" si="4"/>
        <v>No</v>
      </c>
      <c r="R157" s="5" t="str">
        <f t="shared" si="5"/>
        <v>Feb</v>
      </c>
    </row>
    <row r="158" spans="1:18" ht="15" customHeight="1" x14ac:dyDescent="0.3">
      <c r="A158" s="5" t="str">
        <f>Sales_Data!A155</f>
        <v>2025-02-25</v>
      </c>
      <c r="B158" s="5" t="str">
        <f>Sales_Data!B155</f>
        <v>Bangalore North</v>
      </c>
      <c r="C158" s="5" t="str">
        <f>Sales_Data!C155</f>
        <v>E003</v>
      </c>
      <c r="D158" s="5" t="str">
        <f>IFERROR(INDEX(Employee_Master!$B$2:$B$44,MATCH($C158,Employee_Master!$A$2:$A$44,0)),"Not Found")</f>
        <v>Margaret Porter</v>
      </c>
      <c r="E158" s="5" t="str">
        <f>IFERROR(INDEX(Employee_Master!$C$2:$C$44,MATCH($C158,Employee_Master!$A$2:$A$44,0)),"Not Found")</f>
        <v>Customer Support</v>
      </c>
      <c r="F158" s="5" t="str">
        <f>IFERROR(INDEX(Employee_Master!$D$2:$D$44,MATCH($C158,Employee_Master!$A$2:$A$44,0)),"Not Found")</f>
        <v>Jose Soto</v>
      </c>
      <c r="G158" s="5" t="str">
        <f>IFERROR(INDEX(Employee_Master!$E$2:$E$44,MATCH($C158,Employee_Master!$A$2:$A$44,0)),"Not Found")</f>
        <v>South</v>
      </c>
      <c r="H158" s="5" t="str">
        <f>Sales_Data!D155</f>
        <v>P013 - Mixer Grinder</v>
      </c>
      <c r="I158" s="5" t="str">
        <f>IFERROR(INDEX(Product_Master!$B$2:$B$30,MATCH($H158,Product_Master!$A$2:$A$30,0)),"Invalid Product Code")</f>
        <v>Home &amp; Kitchen</v>
      </c>
      <c r="J158" s="5">
        <f>IFERROR(INDEX(Product_Master!$C$2:$C$30,MATCH($H158,Product_Master!$A$2:$A$30,0)),0)</f>
        <v>798.53</v>
      </c>
      <c r="K158" s="5">
        <f>Sales_Data!E155</f>
        <v>4</v>
      </c>
      <c r="L158" s="5">
        <f>Sales_Data!F155</f>
        <v>3408.38</v>
      </c>
      <c r="M158" s="5">
        <f>Sales_Data!G155</f>
        <v>2846.46</v>
      </c>
      <c r="N158" s="5" t="str">
        <f>IFERROR(INDEX(Branch_Master!$B$2:$B$9,MATCH($B158,Branch_Master!$A$2:$A$9,0)),"Not Found")</f>
        <v>Bangalore</v>
      </c>
      <c r="O158" s="5" t="str">
        <f>IFERROR(INDEX(Branch_Master!$C$2:$C$9,MATCH($B158,Branch_Master!$A$2:$A$9,0)),"Not Found")</f>
        <v>Karnataka</v>
      </c>
      <c r="P158" s="5">
        <f>IFERROR(INDEX(Targets!$B$2:$B$9,MATCH($B158,Targets!$A$2:$A$9,0)),0)</f>
        <v>900000</v>
      </c>
      <c r="Q158" s="5" t="str">
        <f t="shared" si="4"/>
        <v>Yes</v>
      </c>
      <c r="R158" s="5" t="str">
        <f t="shared" si="5"/>
        <v>Feb</v>
      </c>
    </row>
    <row r="159" spans="1:18" ht="15" customHeight="1" x14ac:dyDescent="0.3">
      <c r="A159" s="5" t="str">
        <f>Sales_Data!A156</f>
        <v>2025-02-25</v>
      </c>
      <c r="B159" s="5" t="str">
        <f>Sales_Data!B156</f>
        <v>Bangalore North</v>
      </c>
      <c r="C159" s="5" t="str">
        <f>Sales_Data!C156</f>
        <v>E040</v>
      </c>
      <c r="D159" s="5" t="str">
        <f>IFERROR(INDEX(Employee_Master!$B$2:$B$44,MATCH($C159,Employee_Master!$A$2:$A$44,0)),"Not Found")</f>
        <v>Bonnie Cox</v>
      </c>
      <c r="E159" s="5" t="str">
        <f>IFERROR(INDEX(Employee_Master!$C$2:$C$44,MATCH($C159,Employee_Master!$A$2:$A$44,0)),"Not Found")</f>
        <v>Customer Support</v>
      </c>
      <c r="F159" s="5" t="str">
        <f>IFERROR(INDEX(Employee_Master!$D$2:$D$44,MATCH($C159,Employee_Master!$A$2:$A$44,0)),"Not Found")</f>
        <v>Jose Soto</v>
      </c>
      <c r="G159" s="5" t="str">
        <f>IFERROR(INDEX(Employee_Master!$E$2:$E$44,MATCH($C159,Employee_Master!$A$2:$A$44,0)),"Not Found")</f>
        <v>South</v>
      </c>
      <c r="H159" s="5" t="str">
        <f>Sales_Data!D156</f>
        <v>P006 - Laptop Stand</v>
      </c>
      <c r="I159" s="5" t="str">
        <f>IFERROR(INDEX(Product_Master!$B$2:$B$30,MATCH($H159,Product_Master!$A$2:$A$30,0)),"Invalid Product Code")</f>
        <v>Electronics</v>
      </c>
      <c r="J159" s="5">
        <f>IFERROR(INDEX(Product_Master!$C$2:$C$30,MATCH($H159,Product_Master!$A$2:$A$30,0)),0)</f>
        <v>393.96</v>
      </c>
      <c r="K159" s="5">
        <f>Sales_Data!E156</f>
        <v>8</v>
      </c>
      <c r="L159" s="5">
        <f>Sales_Data!F156</f>
        <v>2969.37</v>
      </c>
      <c r="M159" s="5">
        <f>Sales_Data!G156</f>
        <v>3111.45</v>
      </c>
      <c r="N159" s="5" t="str">
        <f>IFERROR(INDEX(Branch_Master!$B$2:$B$9,MATCH($B159,Branch_Master!$A$2:$A$9,0)),"Not Found")</f>
        <v>Bangalore</v>
      </c>
      <c r="O159" s="5" t="str">
        <f>IFERROR(INDEX(Branch_Master!$C$2:$C$9,MATCH($B159,Branch_Master!$A$2:$A$9,0)),"Not Found")</f>
        <v>Karnataka</v>
      </c>
      <c r="P159" s="5">
        <f>IFERROR(INDEX(Targets!$B$2:$B$9,MATCH($B159,Targets!$A$2:$A$9,0)),0)</f>
        <v>900000</v>
      </c>
      <c r="Q159" s="5" t="str">
        <f t="shared" si="4"/>
        <v>No</v>
      </c>
      <c r="R159" s="5" t="str">
        <f t="shared" si="5"/>
        <v>Feb</v>
      </c>
    </row>
    <row r="160" spans="1:18" ht="15" customHeight="1" x14ac:dyDescent="0.3">
      <c r="A160" s="5" t="str">
        <f>Sales_Data!A157</f>
        <v>2025-02-25</v>
      </c>
      <c r="B160" s="5" t="str">
        <f>Sales_Data!B157</f>
        <v>Pune East</v>
      </c>
      <c r="C160" s="5" t="str">
        <f>Sales_Data!C157</f>
        <v>E023</v>
      </c>
      <c r="D160" s="5" t="str">
        <f>IFERROR(INDEX(Employee_Master!$B$2:$B$44,MATCH($C160,Employee_Master!$A$2:$A$44,0)),"Not Found")</f>
        <v>Edward Jones</v>
      </c>
      <c r="E160" s="5" t="str">
        <f>IFERROR(INDEX(Employee_Master!$C$2:$C$44,MATCH($C160,Employee_Master!$A$2:$A$44,0)),"Not Found")</f>
        <v>Operations</v>
      </c>
      <c r="F160" s="5" t="str">
        <f>IFERROR(INDEX(Employee_Master!$D$2:$D$44,MATCH($C160,Employee_Master!$A$2:$A$44,0)),"Not Found")</f>
        <v>Jordan Matthews</v>
      </c>
      <c r="G160" s="5" t="str">
        <f>IFERROR(INDEX(Employee_Master!$E$2:$E$44,MATCH($C160,Employee_Master!$A$2:$A$44,0)),"Not Found")</f>
        <v>West</v>
      </c>
      <c r="H160" s="5" t="str">
        <f>Sales_Data!D157</f>
        <v>P028 - Football</v>
      </c>
      <c r="I160" s="5" t="str">
        <f>IFERROR(INDEX(Product_Master!$B$2:$B$30,MATCH($H160,Product_Master!$A$2:$A$30,0)),"Invalid Product Code")</f>
        <v>Sports</v>
      </c>
      <c r="J160" s="5">
        <f>IFERROR(INDEX(Product_Master!$C$2:$C$30,MATCH($H160,Product_Master!$A$2:$A$30,0)),0)</f>
        <v>314.25</v>
      </c>
      <c r="K160" s="5">
        <f>Sales_Data!E157</f>
        <v>5</v>
      </c>
      <c r="L160" s="5">
        <f>Sales_Data!F157</f>
        <v>1714.91</v>
      </c>
      <c r="M160" s="5">
        <f>Sales_Data!G157</f>
        <v>1346.91</v>
      </c>
      <c r="N160" s="5" t="str">
        <f>IFERROR(INDEX(Branch_Master!$B$2:$B$9,MATCH($B160,Branch_Master!$A$2:$A$9,0)),"Not Found")</f>
        <v>Pune</v>
      </c>
      <c r="O160" s="5" t="str">
        <f>IFERROR(INDEX(Branch_Master!$C$2:$C$9,MATCH($B160,Branch_Master!$A$2:$A$9,0)),"Not Found")</f>
        <v>Maharashtra</v>
      </c>
      <c r="P160" s="5">
        <f>IFERROR(INDEX(Targets!$B$2:$B$9,MATCH($B160,Targets!$A$2:$A$9,0)),0)</f>
        <v>1250000</v>
      </c>
      <c r="Q160" s="5" t="str">
        <f t="shared" si="4"/>
        <v>Yes</v>
      </c>
      <c r="R160" s="5" t="str">
        <f t="shared" si="5"/>
        <v>Feb</v>
      </c>
    </row>
    <row r="161" spans="1:18" ht="15" customHeight="1" x14ac:dyDescent="0.3">
      <c r="A161" s="5" t="str">
        <f>Sales_Data!A158</f>
        <v>2025-02-26</v>
      </c>
      <c r="B161" s="5" t="str">
        <f>Sales_Data!B158</f>
        <v>Kolkata Central</v>
      </c>
      <c r="C161" s="5" t="str">
        <f>Sales_Data!C158</f>
        <v>E029</v>
      </c>
      <c r="D161" s="5" t="str">
        <f>IFERROR(INDEX(Employee_Master!$B$2:$B$44,MATCH($C161,Employee_Master!$A$2:$A$44,0)),"Not Found")</f>
        <v>Patrick Shepard</v>
      </c>
      <c r="E161" s="5" t="str">
        <f>IFERROR(INDEX(Employee_Master!$C$2:$C$44,MATCH($C161,Employee_Master!$A$2:$A$44,0)),"Not Found")</f>
        <v>Sales</v>
      </c>
      <c r="F161" s="5" t="str">
        <f>IFERROR(INDEX(Employee_Master!$D$2:$D$44,MATCH($C161,Employee_Master!$A$2:$A$44,0)),"Not Found")</f>
        <v>Lisa Moore</v>
      </c>
      <c r="G161" s="5" t="str">
        <f>IFERROR(INDEX(Employee_Master!$E$2:$E$44,MATCH($C161,Employee_Master!$A$2:$A$44,0)),"Not Found")</f>
        <v>East</v>
      </c>
      <c r="H161" s="5" t="str">
        <f>Sales_Data!D158</f>
        <v>P016 - Dinner Set</v>
      </c>
      <c r="I161" s="5" t="str">
        <f>IFERROR(INDEX(Product_Master!$B$2:$B$30,MATCH($H161,Product_Master!$A$2:$A$30,0)),"Invalid Product Code")</f>
        <v>Home &amp; Kitchen</v>
      </c>
      <c r="J161" s="5">
        <f>IFERROR(INDEX(Product_Master!$C$2:$C$30,MATCH($H161,Product_Master!$A$2:$A$30,0)),0)</f>
        <v>225.06</v>
      </c>
      <c r="K161" s="5">
        <f>Sales_Data!E158</f>
        <v>4</v>
      </c>
      <c r="L161" s="5">
        <f>Sales_Data!F158</f>
        <v>846.27</v>
      </c>
      <c r="M161" s="5">
        <f>Sales_Data!G158</f>
        <v>897.97</v>
      </c>
      <c r="N161" s="5" t="str">
        <f>IFERROR(INDEX(Branch_Master!$B$2:$B$9,MATCH($B161,Branch_Master!$A$2:$A$9,0)),"Not Found")</f>
        <v>Kolkata</v>
      </c>
      <c r="O161" s="5" t="str">
        <f>IFERROR(INDEX(Branch_Master!$C$2:$C$9,MATCH($B161,Branch_Master!$A$2:$A$9,0)),"Not Found")</f>
        <v>West Bengal</v>
      </c>
      <c r="P161" s="5">
        <f>IFERROR(INDEX(Targets!$B$2:$B$9,MATCH($B161,Targets!$A$2:$A$9,0)),0)</f>
        <v>1910000</v>
      </c>
      <c r="Q161" s="5" t="str">
        <f t="shared" si="4"/>
        <v>No</v>
      </c>
      <c r="R161" s="5" t="str">
        <f t="shared" si="5"/>
        <v>Feb</v>
      </c>
    </row>
    <row r="162" spans="1:18" ht="15" customHeight="1" x14ac:dyDescent="0.3">
      <c r="A162" s="5" t="str">
        <f>Sales_Data!A159</f>
        <v>2025-02-26</v>
      </c>
      <c r="B162" s="5" t="str">
        <f>Sales_Data!B159</f>
        <v>Bangalore North</v>
      </c>
      <c r="C162" s="5" t="str">
        <f>Sales_Data!C159</f>
        <v>E006</v>
      </c>
      <c r="D162" s="5" t="str">
        <f>IFERROR(INDEX(Employee_Master!$B$2:$B$44,MATCH($C162,Employee_Master!$A$2:$A$44,0)),"Not Found")</f>
        <v>Dylan Jones</v>
      </c>
      <c r="E162" s="5" t="str">
        <f>IFERROR(INDEX(Employee_Master!$C$2:$C$44,MATCH($C162,Employee_Master!$A$2:$A$44,0)),"Not Found")</f>
        <v>Sales</v>
      </c>
      <c r="F162" s="5" t="str">
        <f>IFERROR(INDEX(Employee_Master!$D$2:$D$44,MATCH($C162,Employee_Master!$A$2:$A$44,0)),"Not Found")</f>
        <v>Jose Soto</v>
      </c>
      <c r="G162" s="5" t="str">
        <f>IFERROR(INDEX(Employee_Master!$E$2:$E$44,MATCH($C162,Employee_Master!$A$2:$A$44,0)),"Not Found")</f>
        <v>South</v>
      </c>
      <c r="H162" s="5" t="str">
        <f>Sales_Data!D159</f>
        <v>P013 - Mixer Grinder</v>
      </c>
      <c r="I162" s="5" t="str">
        <f>IFERROR(INDEX(Product_Master!$B$2:$B$30,MATCH($H162,Product_Master!$A$2:$A$30,0)),"Invalid Product Code")</f>
        <v>Home &amp; Kitchen</v>
      </c>
      <c r="J162" s="5">
        <f>IFERROR(INDEX(Product_Master!$C$2:$C$30,MATCH($H162,Product_Master!$A$2:$A$30,0)),0)</f>
        <v>798.53</v>
      </c>
      <c r="K162" s="5">
        <f>Sales_Data!E159</f>
        <v>6</v>
      </c>
      <c r="L162" s="5">
        <f>Sales_Data!F159</f>
        <v>4674.78</v>
      </c>
      <c r="M162" s="5">
        <f>Sales_Data!G159</f>
        <v>4553.63</v>
      </c>
      <c r="N162" s="5" t="str">
        <f>IFERROR(INDEX(Branch_Master!$B$2:$B$9,MATCH($B162,Branch_Master!$A$2:$A$9,0)),"Not Found")</f>
        <v>Bangalore</v>
      </c>
      <c r="O162" s="5" t="str">
        <f>IFERROR(INDEX(Branch_Master!$C$2:$C$9,MATCH($B162,Branch_Master!$A$2:$A$9,0)),"Not Found")</f>
        <v>Karnataka</v>
      </c>
      <c r="P162" s="5">
        <f>IFERROR(INDEX(Targets!$B$2:$B$9,MATCH($B162,Targets!$A$2:$A$9,0)),0)</f>
        <v>900000</v>
      </c>
      <c r="Q162" s="5" t="str">
        <f t="shared" si="4"/>
        <v>Yes</v>
      </c>
      <c r="R162" s="5" t="str">
        <f t="shared" si="5"/>
        <v>Feb</v>
      </c>
    </row>
    <row r="163" spans="1:18" ht="15" customHeight="1" x14ac:dyDescent="0.3">
      <c r="A163" s="5" t="str">
        <f>Sales_Data!A160</f>
        <v>2025-02-26</v>
      </c>
      <c r="B163" s="5" t="str">
        <f>Sales_Data!B160</f>
        <v>Pune East</v>
      </c>
      <c r="C163" s="5" t="str">
        <f>Sales_Data!C160</f>
        <v>E023</v>
      </c>
      <c r="D163" s="5" t="str">
        <f>IFERROR(INDEX(Employee_Master!$B$2:$B$44,MATCH($C163,Employee_Master!$A$2:$A$44,0)),"Not Found")</f>
        <v>Edward Jones</v>
      </c>
      <c r="E163" s="5" t="str">
        <f>IFERROR(INDEX(Employee_Master!$C$2:$C$44,MATCH($C163,Employee_Master!$A$2:$A$44,0)),"Not Found")</f>
        <v>Operations</v>
      </c>
      <c r="F163" s="5" t="str">
        <f>IFERROR(INDEX(Employee_Master!$D$2:$D$44,MATCH($C163,Employee_Master!$A$2:$A$44,0)),"Not Found")</f>
        <v>Jordan Matthews</v>
      </c>
      <c r="G163" s="5" t="str">
        <f>IFERROR(INDEX(Employee_Master!$E$2:$E$44,MATCH($C163,Employee_Master!$A$2:$A$44,0)),"Not Found")</f>
        <v>West</v>
      </c>
      <c r="H163" s="5" t="str">
        <f>Sales_Data!D160</f>
        <v>P017 - Basmati Rice 5kg</v>
      </c>
      <c r="I163" s="5" t="str">
        <f>IFERROR(INDEX(Product_Master!$B$2:$B$30,MATCH($H163,Product_Master!$A$2:$A$30,0)),"Invalid Product Code")</f>
        <v>Grocery</v>
      </c>
      <c r="J163" s="5">
        <f>IFERROR(INDEX(Product_Master!$C$2:$C$30,MATCH($H163,Product_Master!$A$2:$A$30,0)),0)</f>
        <v>825.33</v>
      </c>
      <c r="K163" s="5">
        <f>Sales_Data!E160</f>
        <v>10</v>
      </c>
      <c r="L163" s="5">
        <f>Sales_Data!F160</f>
        <v>7633.63</v>
      </c>
      <c r="M163" s="5">
        <f>Sales_Data!G160</f>
        <v>8421.36</v>
      </c>
      <c r="N163" s="5" t="str">
        <f>IFERROR(INDEX(Branch_Master!$B$2:$B$9,MATCH($B163,Branch_Master!$A$2:$A$9,0)),"Not Found")</f>
        <v>Pune</v>
      </c>
      <c r="O163" s="5" t="str">
        <f>IFERROR(INDEX(Branch_Master!$C$2:$C$9,MATCH($B163,Branch_Master!$A$2:$A$9,0)),"Not Found")</f>
        <v>Maharashtra</v>
      </c>
      <c r="P163" s="5">
        <f>IFERROR(INDEX(Targets!$B$2:$B$9,MATCH($B163,Targets!$A$2:$A$9,0)),0)</f>
        <v>1250000</v>
      </c>
      <c r="Q163" s="5" t="str">
        <f t="shared" si="4"/>
        <v>No</v>
      </c>
      <c r="R163" s="5" t="str">
        <f t="shared" si="5"/>
        <v>Feb</v>
      </c>
    </row>
    <row r="164" spans="1:18" ht="15" customHeight="1" x14ac:dyDescent="0.3">
      <c r="A164" s="5" t="str">
        <f>Sales_Data!A161</f>
        <v>2025-02-26</v>
      </c>
      <c r="B164" s="5" t="str">
        <f>Sales_Data!B161</f>
        <v>Ahmedabad West</v>
      </c>
      <c r="C164" s="5" t="str">
        <f>Sales_Data!C161</f>
        <v>E017</v>
      </c>
      <c r="D164" s="5" t="str">
        <f>IFERROR(INDEX(Employee_Master!$B$2:$B$44,MATCH($C164,Employee_Master!$A$2:$A$44,0)),"Not Found")</f>
        <v>Mathew Wilson</v>
      </c>
      <c r="E164" s="5" t="str">
        <f>IFERROR(INDEX(Employee_Master!$C$2:$C$44,MATCH($C164,Employee_Master!$A$2:$A$44,0)),"Not Found")</f>
        <v>Operations</v>
      </c>
      <c r="F164" s="5" t="str">
        <f>IFERROR(INDEX(Employee_Master!$D$2:$D$44,MATCH($C164,Employee_Master!$A$2:$A$44,0)),"Not Found")</f>
        <v>Joseph Brown</v>
      </c>
      <c r="G164" s="5" t="str">
        <f>IFERROR(INDEX(Employee_Master!$E$2:$E$44,MATCH($C164,Employee_Master!$A$2:$A$44,0)),"Not Found")</f>
        <v>West</v>
      </c>
      <c r="H164" s="5" t="str">
        <f>Sales_Data!D161</f>
        <v>P029 - Dumbbell Set 10kg</v>
      </c>
      <c r="I164" s="5" t="str">
        <f>IFERROR(INDEX(Product_Master!$B$2:$B$30,MATCH($H164,Product_Master!$A$2:$A$30,0)),"Invalid Product Code")</f>
        <v>Sports</v>
      </c>
      <c r="J164" s="5">
        <f>IFERROR(INDEX(Product_Master!$C$2:$C$30,MATCH($H164,Product_Master!$A$2:$A$30,0)),0)</f>
        <v>435</v>
      </c>
      <c r="K164" s="5">
        <f>Sales_Data!E161</f>
        <v>7</v>
      </c>
      <c r="L164" s="5">
        <f>Sales_Data!F161</f>
        <v>3100.74</v>
      </c>
      <c r="M164" s="5">
        <f>Sales_Data!G161</f>
        <v>3087.6</v>
      </c>
      <c r="N164" s="5" t="str">
        <f>IFERROR(INDEX(Branch_Master!$B$2:$B$9,MATCH($B164,Branch_Master!$A$2:$A$9,0)),"Not Found")</f>
        <v>Ahmedabad</v>
      </c>
      <c r="O164" s="5" t="str">
        <f>IFERROR(INDEX(Branch_Master!$C$2:$C$9,MATCH($B164,Branch_Master!$A$2:$A$9,0)),"Not Found")</f>
        <v>Gujarat</v>
      </c>
      <c r="P164" s="5">
        <f>IFERROR(INDEX(Targets!$B$2:$B$9,MATCH($B164,Targets!$A$2:$A$9,0)),0)</f>
        <v>1590000</v>
      </c>
      <c r="Q164" s="5" t="str">
        <f t="shared" si="4"/>
        <v>Yes</v>
      </c>
      <c r="R164" s="5" t="str">
        <f t="shared" si="5"/>
        <v>Feb</v>
      </c>
    </row>
    <row r="165" spans="1:18" ht="15" customHeight="1" x14ac:dyDescent="0.3">
      <c r="A165" s="5" t="str">
        <f>Sales_Data!A162</f>
        <v>2025-02-27</v>
      </c>
      <c r="B165" s="5" t="str">
        <f>Sales_Data!B162</f>
        <v>Chennai South</v>
      </c>
      <c r="C165" s="5" t="str">
        <f>Sales_Data!C162</f>
        <v>E019</v>
      </c>
      <c r="D165" s="5" t="str">
        <f>IFERROR(INDEX(Employee_Master!$B$2:$B$44,MATCH($C165,Employee_Master!$A$2:$A$44,0)),"Not Found")</f>
        <v>Regina Torres</v>
      </c>
      <c r="E165" s="5" t="str">
        <f>IFERROR(INDEX(Employee_Master!$C$2:$C$44,MATCH($C165,Employee_Master!$A$2:$A$44,0)),"Not Found")</f>
        <v>Operations</v>
      </c>
      <c r="F165" s="5" t="str">
        <f>IFERROR(INDEX(Employee_Master!$D$2:$D$44,MATCH($C165,Employee_Master!$A$2:$A$44,0)),"Not Found")</f>
        <v>Robert Steele</v>
      </c>
      <c r="G165" s="5" t="str">
        <f>IFERROR(INDEX(Employee_Master!$E$2:$E$44,MATCH($C165,Employee_Master!$A$2:$A$44,0)),"Not Found")</f>
        <v>South</v>
      </c>
      <c r="H165" s="5" t="str">
        <f>Sales_Data!D162</f>
        <v>P011 - Winter Jacket</v>
      </c>
      <c r="I165" s="5" t="str">
        <f>IFERROR(INDEX(Product_Master!$B$2:$B$30,MATCH($H165,Product_Master!$A$2:$A$30,0)),"Invalid Product Code")</f>
        <v>Apparel</v>
      </c>
      <c r="J165" s="5">
        <f>IFERROR(INDEX(Product_Master!$C$2:$C$30,MATCH($H165,Product_Master!$A$2:$A$30,0)),0)</f>
        <v>264.97000000000003</v>
      </c>
      <c r="K165" s="5">
        <f>Sales_Data!E162</f>
        <v>4</v>
      </c>
      <c r="L165" s="5">
        <f>Sales_Data!F162</f>
        <v>1112.99</v>
      </c>
      <c r="M165" s="5">
        <f>Sales_Data!G162</f>
        <v>931.35</v>
      </c>
      <c r="N165" s="5" t="str">
        <f>IFERROR(INDEX(Branch_Master!$B$2:$B$9,MATCH($B165,Branch_Master!$A$2:$A$9,0)),"Not Found")</f>
        <v>Chennai</v>
      </c>
      <c r="O165" s="5" t="str">
        <f>IFERROR(INDEX(Branch_Master!$C$2:$C$9,MATCH($B165,Branch_Master!$A$2:$A$9,0)),"Not Found")</f>
        <v>Tamil Nadu</v>
      </c>
      <c r="P165" s="5">
        <f>IFERROR(INDEX(Targets!$B$2:$B$9,MATCH($B165,Targets!$A$2:$A$9,0)),0)</f>
        <v>1910000</v>
      </c>
      <c r="Q165" s="5" t="str">
        <f t="shared" si="4"/>
        <v>Yes</v>
      </c>
      <c r="R165" s="5" t="str">
        <f t="shared" si="5"/>
        <v>Feb</v>
      </c>
    </row>
    <row r="166" spans="1:18" ht="15" customHeight="1" x14ac:dyDescent="0.3">
      <c r="A166" s="5" t="str">
        <f>Sales_Data!A163</f>
        <v>2025-02-27</v>
      </c>
      <c r="B166" s="5" t="str">
        <f>Sales_Data!B163</f>
        <v>Delhi NCR</v>
      </c>
      <c r="C166" s="5" t="str">
        <f>Sales_Data!C163</f>
        <v>E031</v>
      </c>
      <c r="D166" s="5" t="str">
        <f>IFERROR(INDEX(Employee_Master!$B$2:$B$44,MATCH($C166,Employee_Master!$A$2:$A$44,0)),"Not Found")</f>
        <v>Jennifer Garcia</v>
      </c>
      <c r="E166" s="5" t="str">
        <f>IFERROR(INDEX(Employee_Master!$C$2:$C$44,MATCH($C166,Employee_Master!$A$2:$A$44,0)),"Not Found")</f>
        <v>Sales</v>
      </c>
      <c r="F166" s="5" t="str">
        <f>IFERROR(INDEX(Employee_Master!$D$2:$D$44,MATCH($C166,Employee_Master!$A$2:$A$44,0)),"Not Found")</f>
        <v>William Oconnell</v>
      </c>
      <c r="G166" s="5" t="str">
        <f>IFERROR(INDEX(Employee_Master!$E$2:$E$44,MATCH($C166,Employee_Master!$A$2:$A$44,0)),"Not Found")</f>
        <v>North</v>
      </c>
      <c r="H166" s="5" t="str">
        <f>Sales_Data!D163</f>
        <v>P007 - Cotton T-Shirt</v>
      </c>
      <c r="I166" s="5" t="str">
        <f>IFERROR(INDEX(Product_Master!$B$2:$B$30,MATCH($H166,Product_Master!$A$2:$A$30,0)),"Invalid Product Code")</f>
        <v>Apparel</v>
      </c>
      <c r="J166" s="5">
        <f>IFERROR(INDEX(Product_Master!$C$2:$C$30,MATCH($H166,Product_Master!$A$2:$A$30,0)),0)</f>
        <v>338.44</v>
      </c>
      <c r="K166" s="5">
        <f>Sales_Data!E163</f>
        <v>4</v>
      </c>
      <c r="L166" s="5">
        <f>Sales_Data!F163</f>
        <v>1388.72</v>
      </c>
      <c r="M166" s="5">
        <f>Sales_Data!G163</f>
        <v>1201.6400000000001</v>
      </c>
      <c r="N166" s="5" t="str">
        <f>IFERROR(INDEX(Branch_Master!$B$2:$B$9,MATCH($B166,Branch_Master!$A$2:$A$9,0)),"Not Found")</f>
        <v>New Delhi</v>
      </c>
      <c r="O166" s="5" t="str">
        <f>IFERROR(INDEX(Branch_Master!$C$2:$C$9,MATCH($B166,Branch_Master!$A$2:$A$9,0)),"Not Found")</f>
        <v>Delhi</v>
      </c>
      <c r="P166" s="5">
        <f>IFERROR(INDEX(Targets!$B$2:$B$9,MATCH($B166,Targets!$A$2:$A$9,0)),0)</f>
        <v>2070000</v>
      </c>
      <c r="Q166" s="5" t="str">
        <f t="shared" si="4"/>
        <v>Yes</v>
      </c>
      <c r="R166" s="5" t="str">
        <f t="shared" si="5"/>
        <v>Feb</v>
      </c>
    </row>
    <row r="167" spans="1:18" ht="15" customHeight="1" x14ac:dyDescent="0.3">
      <c r="A167" s="5" t="str">
        <f>Sales_Data!A164</f>
        <v>2025-02-27</v>
      </c>
      <c r="B167" s="5" t="str">
        <f>Sales_Data!B164</f>
        <v>Kolkata Central</v>
      </c>
      <c r="C167" s="5" t="str">
        <f>Sales_Data!C164</f>
        <v>E029</v>
      </c>
      <c r="D167" s="5" t="str">
        <f>IFERROR(INDEX(Employee_Master!$B$2:$B$44,MATCH($C167,Employee_Master!$A$2:$A$44,0)),"Not Found")</f>
        <v>Patrick Shepard</v>
      </c>
      <c r="E167" s="5" t="str">
        <f>IFERROR(INDEX(Employee_Master!$C$2:$C$44,MATCH($C167,Employee_Master!$A$2:$A$44,0)),"Not Found")</f>
        <v>Sales</v>
      </c>
      <c r="F167" s="5" t="str">
        <f>IFERROR(INDEX(Employee_Master!$D$2:$D$44,MATCH($C167,Employee_Master!$A$2:$A$44,0)),"Not Found")</f>
        <v>Lisa Moore</v>
      </c>
      <c r="G167" s="5" t="str">
        <f>IFERROR(INDEX(Employee_Master!$E$2:$E$44,MATCH($C167,Employee_Master!$A$2:$A$44,0)),"Not Found")</f>
        <v>East</v>
      </c>
      <c r="H167" s="5" t="str">
        <f>Sales_Data!D164</f>
        <v>P011 - Winter Jacket</v>
      </c>
      <c r="I167" s="5" t="str">
        <f>IFERROR(INDEX(Product_Master!$B$2:$B$30,MATCH($H167,Product_Master!$A$2:$A$30,0)),"Invalid Product Code")</f>
        <v>Apparel</v>
      </c>
      <c r="J167" s="5">
        <f>IFERROR(INDEX(Product_Master!$C$2:$C$30,MATCH($H167,Product_Master!$A$2:$A$30,0)),0)</f>
        <v>264.97000000000003</v>
      </c>
      <c r="K167" s="5">
        <f>Sales_Data!E164</f>
        <v>5</v>
      </c>
      <c r="L167" s="5">
        <f>Sales_Data!F164</f>
        <v>1255.96</v>
      </c>
      <c r="M167" s="5">
        <f>Sales_Data!G164</f>
        <v>1251.51</v>
      </c>
      <c r="N167" s="5" t="str">
        <f>IFERROR(INDEX(Branch_Master!$B$2:$B$9,MATCH($B167,Branch_Master!$A$2:$A$9,0)),"Not Found")</f>
        <v>Kolkata</v>
      </c>
      <c r="O167" s="5" t="str">
        <f>IFERROR(INDEX(Branch_Master!$C$2:$C$9,MATCH($B167,Branch_Master!$A$2:$A$9,0)),"Not Found")</f>
        <v>West Bengal</v>
      </c>
      <c r="P167" s="5">
        <f>IFERROR(INDEX(Targets!$B$2:$B$9,MATCH($B167,Targets!$A$2:$A$9,0)),0)</f>
        <v>1910000</v>
      </c>
      <c r="Q167" s="5" t="str">
        <f t="shared" si="4"/>
        <v>Yes</v>
      </c>
      <c r="R167" s="5" t="str">
        <f t="shared" si="5"/>
        <v>Feb</v>
      </c>
    </row>
    <row r="168" spans="1:18" ht="15" customHeight="1" x14ac:dyDescent="0.3">
      <c r="A168" s="5" t="str">
        <f>Sales_Data!A165</f>
        <v>2025-02-28</v>
      </c>
      <c r="B168" s="5" t="str">
        <f>Sales_Data!B165</f>
        <v>Delhi NCR</v>
      </c>
      <c r="C168" s="5" t="str">
        <f>Sales_Data!C165</f>
        <v>E013</v>
      </c>
      <c r="D168" s="5" t="str">
        <f>IFERROR(INDEX(Employee_Master!$B$2:$B$44,MATCH($C168,Employee_Master!$A$2:$A$44,0)),"Not Found")</f>
        <v>Norma Wilson</v>
      </c>
      <c r="E168" s="5" t="str">
        <f>IFERROR(INDEX(Employee_Master!$C$2:$C$44,MATCH($C168,Employee_Master!$A$2:$A$44,0)),"Not Found")</f>
        <v>Customer Support</v>
      </c>
      <c r="F168" s="5" t="str">
        <f>IFERROR(INDEX(Employee_Master!$D$2:$D$44,MATCH($C168,Employee_Master!$A$2:$A$44,0)),"Not Found")</f>
        <v>William Oconnell</v>
      </c>
      <c r="G168" s="5" t="str">
        <f>IFERROR(INDEX(Employee_Master!$E$2:$E$44,MATCH($C168,Employee_Master!$A$2:$A$44,0)),"Not Found")</f>
        <v>North</v>
      </c>
      <c r="H168" s="5" t="str">
        <f>Sales_Data!D165</f>
        <v>P024 - Hair Serum</v>
      </c>
      <c r="I168" s="5" t="str">
        <f>IFERROR(INDEX(Product_Master!$B$2:$B$30,MATCH($H168,Product_Master!$A$2:$A$30,0)),"Invalid Product Code")</f>
        <v>Beauty</v>
      </c>
      <c r="J168" s="5">
        <f>IFERROR(INDEX(Product_Master!$C$2:$C$30,MATCH($H168,Product_Master!$A$2:$A$30,0)),0)</f>
        <v>1457.31</v>
      </c>
      <c r="K168" s="5">
        <f>Sales_Data!E165</f>
        <v>3</v>
      </c>
      <c r="L168" s="5">
        <f>Sales_Data!F165</f>
        <v>4241.95</v>
      </c>
      <c r="M168" s="5">
        <f>Sales_Data!G165</f>
        <v>3943.24</v>
      </c>
      <c r="N168" s="5" t="str">
        <f>IFERROR(INDEX(Branch_Master!$B$2:$B$9,MATCH($B168,Branch_Master!$A$2:$A$9,0)),"Not Found")</f>
        <v>New Delhi</v>
      </c>
      <c r="O168" s="5" t="str">
        <f>IFERROR(INDEX(Branch_Master!$C$2:$C$9,MATCH($B168,Branch_Master!$A$2:$A$9,0)),"Not Found")</f>
        <v>Delhi</v>
      </c>
      <c r="P168" s="5">
        <f>IFERROR(INDEX(Targets!$B$2:$B$9,MATCH($B168,Targets!$A$2:$A$9,0)),0)</f>
        <v>2070000</v>
      </c>
      <c r="Q168" s="5" t="str">
        <f t="shared" si="4"/>
        <v>Yes</v>
      </c>
      <c r="R168" s="5" t="str">
        <f t="shared" si="5"/>
        <v>Feb</v>
      </c>
    </row>
    <row r="169" spans="1:18" ht="15" customHeight="1" x14ac:dyDescent="0.3">
      <c r="A169" s="5" t="str">
        <f>Sales_Data!A166</f>
        <v>2025-02-28</v>
      </c>
      <c r="B169" s="5" t="str">
        <f>Sales_Data!B166</f>
        <v>Chennai South</v>
      </c>
      <c r="C169" s="5" t="str">
        <f>Sales_Data!C166</f>
        <v>E015</v>
      </c>
      <c r="D169" s="5" t="str">
        <f>IFERROR(INDEX(Employee_Master!$B$2:$B$44,MATCH($C169,Employee_Master!$A$2:$A$44,0)),"Not Found")</f>
        <v>Cassandra Hansen</v>
      </c>
      <c r="E169" s="5" t="str">
        <f>IFERROR(INDEX(Employee_Master!$C$2:$C$44,MATCH($C169,Employee_Master!$A$2:$A$44,0)),"Not Found")</f>
        <v>Customer Support</v>
      </c>
      <c r="F169" s="5" t="str">
        <f>IFERROR(INDEX(Employee_Master!$D$2:$D$44,MATCH($C169,Employee_Master!$A$2:$A$44,0)),"Not Found")</f>
        <v>Robert Steele</v>
      </c>
      <c r="G169" s="5" t="str">
        <f>IFERROR(INDEX(Employee_Master!$E$2:$E$44,MATCH($C169,Employee_Master!$A$2:$A$44,0)),"Not Found")</f>
        <v>South</v>
      </c>
      <c r="H169" s="5" t="str">
        <f>Sales_Data!D166</f>
        <v>P017 - Basmati Rice 5kg</v>
      </c>
      <c r="I169" s="5" t="str">
        <f>IFERROR(INDEX(Product_Master!$B$2:$B$30,MATCH($H169,Product_Master!$A$2:$A$30,0)),"Invalid Product Code")</f>
        <v>Grocery</v>
      </c>
      <c r="J169" s="5">
        <f>IFERROR(INDEX(Product_Master!$C$2:$C$30,MATCH($H169,Product_Master!$A$2:$A$30,0)),0)</f>
        <v>825.33</v>
      </c>
      <c r="K169" s="5">
        <f>Sales_Data!E166</f>
        <v>8</v>
      </c>
      <c r="L169" s="5">
        <f>Sales_Data!F166</f>
        <v>6017.77</v>
      </c>
      <c r="M169" s="5">
        <f>Sales_Data!G166</f>
        <v>7141.79</v>
      </c>
      <c r="N169" s="5" t="str">
        <f>IFERROR(INDEX(Branch_Master!$B$2:$B$9,MATCH($B169,Branch_Master!$A$2:$A$9,0)),"Not Found")</f>
        <v>Chennai</v>
      </c>
      <c r="O169" s="5" t="str">
        <f>IFERROR(INDEX(Branch_Master!$C$2:$C$9,MATCH($B169,Branch_Master!$A$2:$A$9,0)),"Not Found")</f>
        <v>Tamil Nadu</v>
      </c>
      <c r="P169" s="5">
        <f>IFERROR(INDEX(Targets!$B$2:$B$9,MATCH($B169,Targets!$A$2:$A$9,0)),0)</f>
        <v>1910000</v>
      </c>
      <c r="Q169" s="5" t="str">
        <f t="shared" si="4"/>
        <v>No</v>
      </c>
      <c r="R169" s="5" t="str">
        <f t="shared" si="5"/>
        <v>Feb</v>
      </c>
    </row>
    <row r="170" spans="1:18" ht="15" customHeight="1" x14ac:dyDescent="0.3">
      <c r="A170" s="5" t="str">
        <f>Sales_Data!A167</f>
        <v>2025-03-01</v>
      </c>
      <c r="B170" s="5" t="str">
        <f>Sales_Data!B167</f>
        <v>Delhi NCR</v>
      </c>
      <c r="C170" s="5" t="str">
        <f>Sales_Data!C167</f>
        <v>E013</v>
      </c>
      <c r="D170" s="5" t="str">
        <f>IFERROR(INDEX(Employee_Master!$B$2:$B$44,MATCH($C170,Employee_Master!$A$2:$A$44,0)),"Not Found")</f>
        <v>Norma Wilson</v>
      </c>
      <c r="E170" s="5" t="str">
        <f>IFERROR(INDEX(Employee_Master!$C$2:$C$44,MATCH($C170,Employee_Master!$A$2:$A$44,0)),"Not Found")</f>
        <v>Customer Support</v>
      </c>
      <c r="F170" s="5" t="str">
        <f>IFERROR(INDEX(Employee_Master!$D$2:$D$44,MATCH($C170,Employee_Master!$A$2:$A$44,0)),"Not Found")</f>
        <v>William Oconnell</v>
      </c>
      <c r="G170" s="5" t="str">
        <f>IFERROR(INDEX(Employee_Master!$E$2:$E$44,MATCH($C170,Employee_Master!$A$2:$A$44,0)),"Not Found")</f>
        <v>North</v>
      </c>
      <c r="H170" s="5" t="str">
        <f>Sales_Data!D167</f>
        <v>P023 - Sunscreen SPF50</v>
      </c>
      <c r="I170" s="5" t="str">
        <f>IFERROR(INDEX(Product_Master!$B$2:$B$30,MATCH($H170,Product_Master!$A$2:$A$30,0)),"Invalid Product Code")</f>
        <v>Beauty</v>
      </c>
      <c r="J170" s="5">
        <f>IFERROR(INDEX(Product_Master!$C$2:$C$30,MATCH($H170,Product_Master!$A$2:$A$30,0)),0)</f>
        <v>818.95</v>
      </c>
      <c r="K170" s="5">
        <f>Sales_Data!E167</f>
        <v>2</v>
      </c>
      <c r="L170" s="5">
        <f>Sales_Data!F167</f>
        <v>1604.22</v>
      </c>
      <c r="M170" s="5">
        <f>Sales_Data!G167</f>
        <v>1731.72</v>
      </c>
      <c r="N170" s="5" t="str">
        <f>IFERROR(INDEX(Branch_Master!$B$2:$B$9,MATCH($B170,Branch_Master!$A$2:$A$9,0)),"Not Found")</f>
        <v>New Delhi</v>
      </c>
      <c r="O170" s="5" t="str">
        <f>IFERROR(INDEX(Branch_Master!$C$2:$C$9,MATCH($B170,Branch_Master!$A$2:$A$9,0)),"Not Found")</f>
        <v>Delhi</v>
      </c>
      <c r="P170" s="5">
        <f>IFERROR(INDEX(Targets!$B$2:$B$9,MATCH($B170,Targets!$A$2:$A$9,0)),0)</f>
        <v>2070000</v>
      </c>
      <c r="Q170" s="5" t="str">
        <f t="shared" si="4"/>
        <v>No</v>
      </c>
      <c r="R170" s="5" t="str">
        <f t="shared" si="5"/>
        <v>Mar</v>
      </c>
    </row>
    <row r="171" spans="1:18" ht="15" customHeight="1" x14ac:dyDescent="0.3">
      <c r="A171" s="5" t="str">
        <f>Sales_Data!A168</f>
        <v>2025-03-02</v>
      </c>
      <c r="B171" s="5" t="str">
        <f>Sales_Data!B168</f>
        <v>Mumbai Central</v>
      </c>
      <c r="C171" s="5" t="str">
        <f>Sales_Data!C168</f>
        <v>E025</v>
      </c>
      <c r="D171" s="5" t="str">
        <f>IFERROR(INDEX(Employee_Master!$B$2:$B$44,MATCH($C171,Employee_Master!$A$2:$A$44,0)),"Not Found")</f>
        <v>Jacqueline Chavez</v>
      </c>
      <c r="E171" s="5" t="str">
        <f>IFERROR(INDEX(Employee_Master!$C$2:$C$44,MATCH($C171,Employee_Master!$A$2:$A$44,0)),"Not Found")</f>
        <v>Sales</v>
      </c>
      <c r="F171" s="5" t="str">
        <f>IFERROR(INDEX(Employee_Master!$D$2:$D$44,MATCH($C171,Employee_Master!$A$2:$A$44,0)),"Not Found")</f>
        <v>Justin Glass</v>
      </c>
      <c r="G171" s="5" t="str">
        <f>IFERROR(INDEX(Employee_Master!$E$2:$E$44,MATCH($C171,Employee_Master!$A$2:$A$44,0)),"Not Found")</f>
        <v>West</v>
      </c>
      <c r="H171" s="5" t="str">
        <f>Sales_Data!D168</f>
        <v>P018 - Cooking Oil 1L</v>
      </c>
      <c r="I171" s="5" t="str">
        <f>IFERROR(INDEX(Product_Master!$B$2:$B$30,MATCH($H171,Product_Master!$A$2:$A$30,0)),"Invalid Product Code")</f>
        <v>Grocery</v>
      </c>
      <c r="J171" s="5">
        <f>IFERROR(INDEX(Product_Master!$C$2:$C$30,MATCH($H171,Product_Master!$A$2:$A$30,0)),0)</f>
        <v>1483.63</v>
      </c>
      <c r="K171" s="5">
        <f>Sales_Data!E168</f>
        <v>2</v>
      </c>
      <c r="L171" s="5">
        <f>Sales_Data!F168</f>
        <v>3241.54</v>
      </c>
      <c r="M171" s="5">
        <f>Sales_Data!G168</f>
        <v>3370.63</v>
      </c>
      <c r="N171" s="5" t="str">
        <f>IFERROR(INDEX(Branch_Master!$B$2:$B$9,MATCH($B171,Branch_Master!$A$2:$A$9,0)),"Not Found")</f>
        <v>Mumbai</v>
      </c>
      <c r="O171" s="5" t="str">
        <f>IFERROR(INDEX(Branch_Master!$C$2:$C$9,MATCH($B171,Branch_Master!$A$2:$A$9,0)),"Not Found")</f>
        <v>Maharashtra</v>
      </c>
      <c r="P171" s="5">
        <f>IFERROR(INDEX(Targets!$B$2:$B$9,MATCH($B171,Targets!$A$2:$A$9,0)),0)</f>
        <v>900000</v>
      </c>
      <c r="Q171" s="5" t="str">
        <f t="shared" si="4"/>
        <v>No</v>
      </c>
      <c r="R171" s="5" t="str">
        <f t="shared" si="5"/>
        <v>Mar</v>
      </c>
    </row>
    <row r="172" spans="1:18" ht="15" customHeight="1" x14ac:dyDescent="0.3">
      <c r="A172" s="5" t="str">
        <f>Sales_Data!A169</f>
        <v>2025-03-02</v>
      </c>
      <c r="B172" s="5" t="str">
        <f>Sales_Data!B169</f>
        <v>Kolkata Central</v>
      </c>
      <c r="C172" s="5" t="str">
        <f>Sales_Data!C169</f>
        <v>E024</v>
      </c>
      <c r="D172" s="5" t="str">
        <f>IFERROR(INDEX(Employee_Master!$B$2:$B$44,MATCH($C172,Employee_Master!$A$2:$A$44,0)),"Not Found")</f>
        <v>Kevin Sanchez</v>
      </c>
      <c r="E172" s="5" t="str">
        <f>IFERROR(INDEX(Employee_Master!$C$2:$C$44,MATCH($C172,Employee_Master!$A$2:$A$44,0)),"Not Found")</f>
        <v>Sales</v>
      </c>
      <c r="F172" s="5" t="str">
        <f>IFERROR(INDEX(Employee_Master!$D$2:$D$44,MATCH($C172,Employee_Master!$A$2:$A$44,0)),"Not Found")</f>
        <v>Lisa Moore</v>
      </c>
      <c r="G172" s="5" t="str">
        <f>IFERROR(INDEX(Employee_Master!$E$2:$E$44,MATCH($C172,Employee_Master!$A$2:$A$44,0)),"Not Found")</f>
        <v>East</v>
      </c>
      <c r="H172" s="5" t="str">
        <f>Sales_Data!D169</f>
        <v>P028 - Football</v>
      </c>
      <c r="I172" s="5" t="str">
        <f>IFERROR(INDEX(Product_Master!$B$2:$B$30,MATCH($H172,Product_Master!$A$2:$A$30,0)),"Invalid Product Code")</f>
        <v>Sports</v>
      </c>
      <c r="J172" s="5">
        <f>IFERROR(INDEX(Product_Master!$C$2:$C$30,MATCH($H172,Product_Master!$A$2:$A$30,0)),0)</f>
        <v>314.25</v>
      </c>
      <c r="K172" s="5">
        <f>Sales_Data!E169</f>
        <v>3</v>
      </c>
      <c r="L172" s="5">
        <f>Sales_Data!F169</f>
        <v>989.84</v>
      </c>
      <c r="M172" s="5">
        <f>Sales_Data!G169</f>
        <v>839.96</v>
      </c>
      <c r="N172" s="5" t="str">
        <f>IFERROR(INDEX(Branch_Master!$B$2:$B$9,MATCH($B172,Branch_Master!$A$2:$A$9,0)),"Not Found")</f>
        <v>Kolkata</v>
      </c>
      <c r="O172" s="5" t="str">
        <f>IFERROR(INDEX(Branch_Master!$C$2:$C$9,MATCH($B172,Branch_Master!$A$2:$A$9,0)),"Not Found")</f>
        <v>West Bengal</v>
      </c>
      <c r="P172" s="5">
        <f>IFERROR(INDEX(Targets!$B$2:$B$9,MATCH($B172,Targets!$A$2:$A$9,0)),0)</f>
        <v>1910000</v>
      </c>
      <c r="Q172" s="5" t="str">
        <f t="shared" si="4"/>
        <v>Yes</v>
      </c>
      <c r="R172" s="5" t="str">
        <f t="shared" si="5"/>
        <v>Mar</v>
      </c>
    </row>
    <row r="173" spans="1:18" ht="15" customHeight="1" x14ac:dyDescent="0.3">
      <c r="A173" s="5" t="str">
        <f>Sales_Data!A170</f>
        <v>2025-03-02</v>
      </c>
      <c r="B173" s="5" t="str">
        <f>Sales_Data!B170</f>
        <v>Bangalore North</v>
      </c>
      <c r="C173" s="5" t="str">
        <f>Sales_Data!C170</f>
        <v>E040</v>
      </c>
      <c r="D173" s="5" t="str">
        <f>IFERROR(INDEX(Employee_Master!$B$2:$B$44,MATCH($C173,Employee_Master!$A$2:$A$44,0)),"Not Found")</f>
        <v>Bonnie Cox</v>
      </c>
      <c r="E173" s="5" t="str">
        <f>IFERROR(INDEX(Employee_Master!$C$2:$C$44,MATCH($C173,Employee_Master!$A$2:$A$44,0)),"Not Found")</f>
        <v>Customer Support</v>
      </c>
      <c r="F173" s="5" t="str">
        <f>IFERROR(INDEX(Employee_Master!$D$2:$D$44,MATCH($C173,Employee_Master!$A$2:$A$44,0)),"Not Found")</f>
        <v>Jose Soto</v>
      </c>
      <c r="G173" s="5" t="str">
        <f>IFERROR(INDEX(Employee_Master!$E$2:$E$44,MATCH($C173,Employee_Master!$A$2:$A$44,0)),"Not Found")</f>
        <v>South</v>
      </c>
      <c r="H173" s="5" t="str">
        <f>Sales_Data!D170</f>
        <v>P014 - Air Fryer</v>
      </c>
      <c r="I173" s="5" t="str">
        <f>IFERROR(INDEX(Product_Master!$B$2:$B$30,MATCH($H173,Product_Master!$A$2:$A$30,0)),"Invalid Product Code")</f>
        <v>Home &amp; Kitchen</v>
      </c>
      <c r="J173" s="5">
        <f>IFERROR(INDEX(Product_Master!$C$2:$C$30,MATCH($H173,Product_Master!$A$2:$A$30,0)),0)</f>
        <v>729.85</v>
      </c>
      <c r="K173" s="5">
        <f>Sales_Data!E170</f>
        <v>6</v>
      </c>
      <c r="L173" s="5">
        <f>Sales_Data!F170</f>
        <v>4349.99</v>
      </c>
      <c r="M173" s="5">
        <f>Sales_Data!G170</f>
        <v>4629.84</v>
      </c>
      <c r="N173" s="5" t="str">
        <f>IFERROR(INDEX(Branch_Master!$B$2:$B$9,MATCH($B173,Branch_Master!$A$2:$A$9,0)),"Not Found")</f>
        <v>Bangalore</v>
      </c>
      <c r="O173" s="5" t="str">
        <f>IFERROR(INDEX(Branch_Master!$C$2:$C$9,MATCH($B173,Branch_Master!$A$2:$A$9,0)),"Not Found")</f>
        <v>Karnataka</v>
      </c>
      <c r="P173" s="5">
        <f>IFERROR(INDEX(Targets!$B$2:$B$9,MATCH($B173,Targets!$A$2:$A$9,0)),0)</f>
        <v>900000</v>
      </c>
      <c r="Q173" s="5" t="str">
        <f t="shared" si="4"/>
        <v>No</v>
      </c>
      <c r="R173" s="5" t="str">
        <f t="shared" si="5"/>
        <v>Mar</v>
      </c>
    </row>
    <row r="174" spans="1:18" ht="15" customHeight="1" x14ac:dyDescent="0.3">
      <c r="A174" s="5" t="str">
        <f>Sales_Data!A171</f>
        <v>2025-03-02</v>
      </c>
      <c r="B174" s="5" t="str">
        <f>Sales_Data!B171</f>
        <v>Kolkata Central</v>
      </c>
      <c r="C174" s="5" t="str">
        <f>Sales_Data!C171</f>
        <v>E024</v>
      </c>
      <c r="D174" s="5" t="str">
        <f>IFERROR(INDEX(Employee_Master!$B$2:$B$44,MATCH($C174,Employee_Master!$A$2:$A$44,0)),"Not Found")</f>
        <v>Kevin Sanchez</v>
      </c>
      <c r="E174" s="5" t="str">
        <f>IFERROR(INDEX(Employee_Master!$C$2:$C$44,MATCH($C174,Employee_Master!$A$2:$A$44,0)),"Not Found")</f>
        <v>Sales</v>
      </c>
      <c r="F174" s="5" t="str">
        <f>IFERROR(INDEX(Employee_Master!$D$2:$D$44,MATCH($C174,Employee_Master!$A$2:$A$44,0)),"Not Found")</f>
        <v>Lisa Moore</v>
      </c>
      <c r="G174" s="5" t="str">
        <f>IFERROR(INDEX(Employee_Master!$E$2:$E$44,MATCH($C174,Employee_Master!$A$2:$A$44,0)),"Not Found")</f>
        <v>East</v>
      </c>
      <c r="H174" s="5" t="str">
        <f>Sales_Data!D171</f>
        <v>P003 - Bluetooth Speaker</v>
      </c>
      <c r="I174" s="5" t="str">
        <f>IFERROR(INDEX(Product_Master!$B$2:$B$30,MATCH($H174,Product_Master!$A$2:$A$30,0)),"Invalid Product Code")</f>
        <v>Electronics</v>
      </c>
      <c r="J174" s="5">
        <f>IFERROR(INDEX(Product_Master!$C$2:$C$30,MATCH($H174,Product_Master!$A$2:$A$30,0)),0)</f>
        <v>351.01</v>
      </c>
      <c r="K174" s="5">
        <f>Sales_Data!E171</f>
        <v>9</v>
      </c>
      <c r="L174" s="5">
        <f>Sales_Data!F171</f>
        <v>3176.47</v>
      </c>
      <c r="M174" s="5">
        <f>Sales_Data!G171</f>
        <v>2737.96</v>
      </c>
      <c r="N174" s="5" t="str">
        <f>IFERROR(INDEX(Branch_Master!$B$2:$B$9,MATCH($B174,Branch_Master!$A$2:$A$9,0)),"Not Found")</f>
        <v>Kolkata</v>
      </c>
      <c r="O174" s="5" t="str">
        <f>IFERROR(INDEX(Branch_Master!$C$2:$C$9,MATCH($B174,Branch_Master!$A$2:$A$9,0)),"Not Found")</f>
        <v>West Bengal</v>
      </c>
      <c r="P174" s="5">
        <f>IFERROR(INDEX(Targets!$B$2:$B$9,MATCH($B174,Targets!$A$2:$A$9,0)),0)</f>
        <v>1910000</v>
      </c>
      <c r="Q174" s="5" t="str">
        <f t="shared" si="4"/>
        <v>Yes</v>
      </c>
      <c r="R174" s="5" t="str">
        <f t="shared" si="5"/>
        <v>Mar</v>
      </c>
    </row>
    <row r="175" spans="1:18" ht="15" customHeight="1" x14ac:dyDescent="0.3">
      <c r="A175" s="5" t="str">
        <f>Sales_Data!A172</f>
        <v>2025-03-02</v>
      </c>
      <c r="B175" s="5" t="str">
        <f>Sales_Data!B172</f>
        <v>Kolkata Central</v>
      </c>
      <c r="C175" s="5" t="str">
        <f>Sales_Data!C172</f>
        <v>E018</v>
      </c>
      <c r="D175" s="5" t="str">
        <f>IFERROR(INDEX(Employee_Master!$B$2:$B$44,MATCH($C175,Employee_Master!$A$2:$A$44,0)),"Not Found")</f>
        <v>Daniel Nelson</v>
      </c>
      <c r="E175" s="5" t="str">
        <f>IFERROR(INDEX(Employee_Master!$C$2:$C$44,MATCH($C175,Employee_Master!$A$2:$A$44,0)),"Not Found")</f>
        <v>Sales</v>
      </c>
      <c r="F175" s="5" t="str">
        <f>IFERROR(INDEX(Employee_Master!$D$2:$D$44,MATCH($C175,Employee_Master!$A$2:$A$44,0)),"Not Found")</f>
        <v>Lisa Moore</v>
      </c>
      <c r="G175" s="5" t="str">
        <f>IFERROR(INDEX(Employee_Master!$E$2:$E$44,MATCH($C175,Employee_Master!$A$2:$A$44,0)),"Not Found")</f>
        <v>East</v>
      </c>
      <c r="H175" s="5" t="str">
        <f>Sales_Data!D172</f>
        <v>P008 - Denim Jeans</v>
      </c>
      <c r="I175" s="5" t="str">
        <f>IFERROR(INDEX(Product_Master!$B$2:$B$30,MATCH($H175,Product_Master!$A$2:$A$30,0)),"Invalid Product Code")</f>
        <v>Apparel</v>
      </c>
      <c r="J175" s="5">
        <f>IFERROR(INDEX(Product_Master!$C$2:$C$30,MATCH($H175,Product_Master!$A$2:$A$30,0)),0)</f>
        <v>614.48</v>
      </c>
      <c r="K175" s="5">
        <f>Sales_Data!E172</f>
        <v>3</v>
      </c>
      <c r="L175" s="5">
        <f>Sales_Data!F172</f>
        <v>1952.99</v>
      </c>
      <c r="M175" s="5">
        <f>Sales_Data!G172</f>
        <v>1627.5</v>
      </c>
      <c r="N175" s="5" t="str">
        <f>IFERROR(INDEX(Branch_Master!$B$2:$B$9,MATCH($B175,Branch_Master!$A$2:$A$9,0)),"Not Found")</f>
        <v>Kolkata</v>
      </c>
      <c r="O175" s="5" t="str">
        <f>IFERROR(INDEX(Branch_Master!$C$2:$C$9,MATCH($B175,Branch_Master!$A$2:$A$9,0)),"Not Found")</f>
        <v>West Bengal</v>
      </c>
      <c r="P175" s="5">
        <f>IFERROR(INDEX(Targets!$B$2:$B$9,MATCH($B175,Targets!$A$2:$A$9,0)),0)</f>
        <v>1910000</v>
      </c>
      <c r="Q175" s="5" t="str">
        <f t="shared" si="4"/>
        <v>Yes</v>
      </c>
      <c r="R175" s="5" t="str">
        <f t="shared" si="5"/>
        <v>Mar</v>
      </c>
    </row>
    <row r="176" spans="1:18" ht="15" customHeight="1" x14ac:dyDescent="0.3">
      <c r="A176" s="5" t="str">
        <f>Sales_Data!A173</f>
        <v>2025-03-03</v>
      </c>
      <c r="B176" s="5" t="str">
        <f>Sales_Data!B173</f>
        <v>Mumbai Central</v>
      </c>
      <c r="C176" s="5" t="str">
        <f>Sales_Data!C173</f>
        <v>E027</v>
      </c>
      <c r="D176" s="5" t="str">
        <f>IFERROR(INDEX(Employee_Master!$B$2:$B$44,MATCH($C176,Employee_Master!$A$2:$A$44,0)),"Not Found")</f>
        <v>Catherine Moore</v>
      </c>
      <c r="E176" s="5" t="str">
        <f>IFERROR(INDEX(Employee_Master!$C$2:$C$44,MATCH($C176,Employee_Master!$A$2:$A$44,0)),"Not Found")</f>
        <v>Customer Support</v>
      </c>
      <c r="F176" s="5" t="str">
        <f>IFERROR(INDEX(Employee_Master!$D$2:$D$44,MATCH($C176,Employee_Master!$A$2:$A$44,0)),"Not Found")</f>
        <v>Justin Glass</v>
      </c>
      <c r="G176" s="5" t="str">
        <f>IFERROR(INDEX(Employee_Master!$E$2:$E$44,MATCH($C176,Employee_Master!$A$2:$A$44,0)),"Not Found")</f>
        <v>West</v>
      </c>
      <c r="H176" s="5" t="str">
        <f>Sales_Data!D173</f>
        <v>P029 - Dumbbell Set 10kg</v>
      </c>
      <c r="I176" s="5" t="str">
        <f>IFERROR(INDEX(Product_Master!$B$2:$B$30,MATCH($H176,Product_Master!$A$2:$A$30,0)),"Invalid Product Code")</f>
        <v>Sports</v>
      </c>
      <c r="J176" s="5">
        <f>IFERROR(INDEX(Product_Master!$C$2:$C$30,MATCH($H176,Product_Master!$A$2:$A$30,0)),0)</f>
        <v>435</v>
      </c>
      <c r="K176" s="5">
        <f>Sales_Data!E173</f>
        <v>12</v>
      </c>
      <c r="L176" s="5">
        <f>Sales_Data!F173</f>
        <v>5104.8900000000003</v>
      </c>
      <c r="M176" s="5">
        <f>Sales_Data!G173</f>
        <v>5978.54</v>
      </c>
      <c r="N176" s="5" t="str">
        <f>IFERROR(INDEX(Branch_Master!$B$2:$B$9,MATCH($B176,Branch_Master!$A$2:$A$9,0)),"Not Found")</f>
        <v>Mumbai</v>
      </c>
      <c r="O176" s="5" t="str">
        <f>IFERROR(INDEX(Branch_Master!$C$2:$C$9,MATCH($B176,Branch_Master!$A$2:$A$9,0)),"Not Found")</f>
        <v>Maharashtra</v>
      </c>
      <c r="P176" s="5">
        <f>IFERROR(INDEX(Targets!$B$2:$B$9,MATCH($B176,Targets!$A$2:$A$9,0)),0)</f>
        <v>900000</v>
      </c>
      <c r="Q176" s="5" t="str">
        <f t="shared" si="4"/>
        <v>No</v>
      </c>
      <c r="R176" s="5" t="str">
        <f t="shared" si="5"/>
        <v>Mar</v>
      </c>
    </row>
    <row r="177" spans="1:18" ht="15" customHeight="1" x14ac:dyDescent="0.3">
      <c r="A177" s="5" t="str">
        <f>Sales_Data!A174</f>
        <v>2025-03-03</v>
      </c>
      <c r="B177" s="5" t="str">
        <f>Sales_Data!B174</f>
        <v>Mumbai Central</v>
      </c>
      <c r="C177" s="5" t="str">
        <f>Sales_Data!C174</f>
        <v>E021</v>
      </c>
      <c r="D177" s="5" t="str">
        <f>IFERROR(INDEX(Employee_Master!$B$2:$B$44,MATCH($C177,Employee_Master!$A$2:$A$44,0)),"Not Found")</f>
        <v>Maria Garcia</v>
      </c>
      <c r="E177" s="5" t="str">
        <f>IFERROR(INDEX(Employee_Master!$C$2:$C$44,MATCH($C177,Employee_Master!$A$2:$A$44,0)),"Not Found")</f>
        <v>Sales</v>
      </c>
      <c r="F177" s="5" t="str">
        <f>IFERROR(INDEX(Employee_Master!$D$2:$D$44,MATCH($C177,Employee_Master!$A$2:$A$44,0)),"Not Found")</f>
        <v>Justin Glass</v>
      </c>
      <c r="G177" s="5" t="str">
        <f>IFERROR(INDEX(Employee_Master!$E$2:$E$44,MATCH($C177,Employee_Master!$A$2:$A$44,0)),"Not Found")</f>
        <v>West</v>
      </c>
      <c r="H177" s="5" t="str">
        <f>Sales_Data!D174</f>
        <v>P019 - Organic Honey</v>
      </c>
      <c r="I177" s="5" t="str">
        <f>IFERROR(INDEX(Product_Master!$B$2:$B$30,MATCH($H177,Product_Master!$A$2:$A$30,0)),"Invalid Product Code")</f>
        <v>Grocery</v>
      </c>
      <c r="J177" s="5">
        <f>IFERROR(INDEX(Product_Master!$C$2:$C$30,MATCH($H177,Product_Master!$A$2:$A$30,0)),0)</f>
        <v>482.15</v>
      </c>
      <c r="K177" s="5">
        <f>Sales_Data!E174</f>
        <v>12</v>
      </c>
      <c r="L177" s="5">
        <f>Sales_Data!F174</f>
        <v>6193.2</v>
      </c>
      <c r="M177" s="5">
        <f>Sales_Data!G174</f>
        <v>5316.81</v>
      </c>
      <c r="N177" s="5" t="str">
        <f>IFERROR(INDEX(Branch_Master!$B$2:$B$9,MATCH($B177,Branch_Master!$A$2:$A$9,0)),"Not Found")</f>
        <v>Mumbai</v>
      </c>
      <c r="O177" s="5" t="str">
        <f>IFERROR(INDEX(Branch_Master!$C$2:$C$9,MATCH($B177,Branch_Master!$A$2:$A$9,0)),"Not Found")</f>
        <v>Maharashtra</v>
      </c>
      <c r="P177" s="5">
        <f>IFERROR(INDEX(Targets!$B$2:$B$9,MATCH($B177,Targets!$A$2:$A$9,0)),0)</f>
        <v>900000</v>
      </c>
      <c r="Q177" s="5" t="str">
        <f t="shared" si="4"/>
        <v>Yes</v>
      </c>
      <c r="R177" s="5" t="str">
        <f t="shared" si="5"/>
        <v>Mar</v>
      </c>
    </row>
    <row r="178" spans="1:18" ht="15" customHeight="1" x14ac:dyDescent="0.3">
      <c r="A178" s="5" t="str">
        <f>Sales_Data!A175</f>
        <v>2025-03-03</v>
      </c>
      <c r="B178" s="5" t="str">
        <f>Sales_Data!B175</f>
        <v>Ahmedabad West</v>
      </c>
      <c r="C178" s="5" t="str">
        <f>Sales_Data!C175</f>
        <v>E037</v>
      </c>
      <c r="D178" s="5" t="str">
        <f>IFERROR(INDEX(Employee_Master!$B$2:$B$44,MATCH($C178,Employee_Master!$A$2:$A$44,0)),"Not Found")</f>
        <v>Thomas Harris</v>
      </c>
      <c r="E178" s="5" t="str">
        <f>IFERROR(INDEX(Employee_Master!$C$2:$C$44,MATCH($C178,Employee_Master!$A$2:$A$44,0)),"Not Found")</f>
        <v>Customer Support</v>
      </c>
      <c r="F178" s="5" t="str">
        <f>IFERROR(INDEX(Employee_Master!$D$2:$D$44,MATCH($C178,Employee_Master!$A$2:$A$44,0)),"Not Found")</f>
        <v>Joseph Brown</v>
      </c>
      <c r="G178" s="5" t="str">
        <f>IFERROR(INDEX(Employee_Master!$E$2:$E$44,MATCH($C178,Employee_Master!$A$2:$A$44,0)),"Not Found")</f>
        <v>West</v>
      </c>
      <c r="H178" s="5" t="str">
        <f>Sales_Data!D175</f>
        <v>P023 - Sunscreen SPF50</v>
      </c>
      <c r="I178" s="5" t="str">
        <f>IFERROR(INDEX(Product_Master!$B$2:$B$30,MATCH($H178,Product_Master!$A$2:$A$30,0)),"Invalid Product Code")</f>
        <v>Beauty</v>
      </c>
      <c r="J178" s="5">
        <f>IFERROR(INDEX(Product_Master!$C$2:$C$30,MATCH($H178,Product_Master!$A$2:$A$30,0)),0)</f>
        <v>818.95</v>
      </c>
      <c r="K178" s="5">
        <f>Sales_Data!E175</f>
        <v>12</v>
      </c>
      <c r="L178" s="5">
        <f>Sales_Data!F175</f>
        <v>10431.530000000001</v>
      </c>
      <c r="M178" s="5">
        <f>Sales_Data!G175</f>
        <v>11175.37</v>
      </c>
      <c r="N178" s="5" t="str">
        <f>IFERROR(INDEX(Branch_Master!$B$2:$B$9,MATCH($B178,Branch_Master!$A$2:$A$9,0)),"Not Found")</f>
        <v>Ahmedabad</v>
      </c>
      <c r="O178" s="5" t="str">
        <f>IFERROR(INDEX(Branch_Master!$C$2:$C$9,MATCH($B178,Branch_Master!$A$2:$A$9,0)),"Not Found")</f>
        <v>Gujarat</v>
      </c>
      <c r="P178" s="5">
        <f>IFERROR(INDEX(Targets!$B$2:$B$9,MATCH($B178,Targets!$A$2:$A$9,0)),0)</f>
        <v>1590000</v>
      </c>
      <c r="Q178" s="5" t="str">
        <f t="shared" si="4"/>
        <v>No</v>
      </c>
      <c r="R178" s="5" t="str">
        <f t="shared" si="5"/>
        <v>Mar</v>
      </c>
    </row>
    <row r="179" spans="1:18" ht="15" customHeight="1" x14ac:dyDescent="0.3">
      <c r="A179" s="5" t="str">
        <f>Sales_Data!A176</f>
        <v>2025-03-03</v>
      </c>
      <c r="B179" s="5" t="str">
        <f>Sales_Data!B176</f>
        <v>Delhi NCR</v>
      </c>
      <c r="C179" s="5" t="str">
        <f>Sales_Data!C176</f>
        <v>E013</v>
      </c>
      <c r="D179" s="5" t="str">
        <f>IFERROR(INDEX(Employee_Master!$B$2:$B$44,MATCH($C179,Employee_Master!$A$2:$A$44,0)),"Not Found")</f>
        <v>Norma Wilson</v>
      </c>
      <c r="E179" s="5" t="str">
        <f>IFERROR(INDEX(Employee_Master!$C$2:$C$44,MATCH($C179,Employee_Master!$A$2:$A$44,0)),"Not Found")</f>
        <v>Customer Support</v>
      </c>
      <c r="F179" s="5" t="str">
        <f>IFERROR(INDEX(Employee_Master!$D$2:$D$44,MATCH($C179,Employee_Master!$A$2:$A$44,0)),"Not Found")</f>
        <v>William Oconnell</v>
      </c>
      <c r="G179" s="5" t="str">
        <f>IFERROR(INDEX(Employee_Master!$E$2:$E$44,MATCH($C179,Employee_Master!$A$2:$A$44,0)),"Not Found")</f>
        <v>North</v>
      </c>
      <c r="H179" s="5" t="str">
        <f>Sales_Data!D176</f>
        <v>P014 - Air Fryer</v>
      </c>
      <c r="I179" s="5" t="str">
        <f>IFERROR(INDEX(Product_Master!$B$2:$B$30,MATCH($H179,Product_Master!$A$2:$A$30,0)),"Invalid Product Code")</f>
        <v>Home &amp; Kitchen</v>
      </c>
      <c r="J179" s="5">
        <f>IFERROR(INDEX(Product_Master!$C$2:$C$30,MATCH($H179,Product_Master!$A$2:$A$30,0)),0)</f>
        <v>729.85</v>
      </c>
      <c r="K179" s="5">
        <f>Sales_Data!E176</f>
        <v>4</v>
      </c>
      <c r="L179" s="5">
        <f>Sales_Data!F176</f>
        <v>3159.41</v>
      </c>
      <c r="M179" s="5">
        <f>Sales_Data!G176</f>
        <v>2561.0500000000002</v>
      </c>
      <c r="N179" s="5" t="str">
        <f>IFERROR(INDEX(Branch_Master!$B$2:$B$9,MATCH($B179,Branch_Master!$A$2:$A$9,0)),"Not Found")</f>
        <v>New Delhi</v>
      </c>
      <c r="O179" s="5" t="str">
        <f>IFERROR(INDEX(Branch_Master!$C$2:$C$9,MATCH($B179,Branch_Master!$A$2:$A$9,0)),"Not Found")</f>
        <v>Delhi</v>
      </c>
      <c r="P179" s="5">
        <f>IFERROR(INDEX(Targets!$B$2:$B$9,MATCH($B179,Targets!$A$2:$A$9,0)),0)</f>
        <v>2070000</v>
      </c>
      <c r="Q179" s="5" t="str">
        <f t="shared" si="4"/>
        <v>Yes</v>
      </c>
      <c r="R179" s="5" t="str">
        <f t="shared" si="5"/>
        <v>Mar</v>
      </c>
    </row>
    <row r="180" spans="1:18" ht="15" customHeight="1" x14ac:dyDescent="0.3">
      <c r="A180" s="5" t="str">
        <f>Sales_Data!A177</f>
        <v>2025-03-05</v>
      </c>
      <c r="B180" s="5" t="str">
        <f>Sales_Data!B177</f>
        <v>Bangalore North</v>
      </c>
      <c r="C180" s="5" t="str">
        <f>Sales_Data!C177</f>
        <v>E006</v>
      </c>
      <c r="D180" s="5" t="str">
        <f>IFERROR(INDEX(Employee_Master!$B$2:$B$44,MATCH($C180,Employee_Master!$A$2:$A$44,0)),"Not Found")</f>
        <v>Dylan Jones</v>
      </c>
      <c r="E180" s="5" t="str">
        <f>IFERROR(INDEX(Employee_Master!$C$2:$C$44,MATCH($C180,Employee_Master!$A$2:$A$44,0)),"Not Found")</f>
        <v>Sales</v>
      </c>
      <c r="F180" s="5" t="str">
        <f>IFERROR(INDEX(Employee_Master!$D$2:$D$44,MATCH($C180,Employee_Master!$A$2:$A$44,0)),"Not Found")</f>
        <v>Jose Soto</v>
      </c>
      <c r="G180" s="5" t="str">
        <f>IFERROR(INDEX(Employee_Master!$E$2:$E$44,MATCH($C180,Employee_Master!$A$2:$A$44,0)),"Not Found")</f>
        <v>South</v>
      </c>
      <c r="H180" s="5" t="str">
        <f>Sales_Data!D177</f>
        <v>P016 - Dinner Set</v>
      </c>
      <c r="I180" s="5" t="str">
        <f>IFERROR(INDEX(Product_Master!$B$2:$B$30,MATCH($H180,Product_Master!$A$2:$A$30,0)),"Invalid Product Code")</f>
        <v>Home &amp; Kitchen</v>
      </c>
      <c r="J180" s="5">
        <f>IFERROR(INDEX(Product_Master!$C$2:$C$30,MATCH($H180,Product_Master!$A$2:$A$30,0)),0)</f>
        <v>225.06</v>
      </c>
      <c r="K180" s="5">
        <f>Sales_Data!E177</f>
        <v>7</v>
      </c>
      <c r="L180" s="5">
        <f>Sales_Data!F177</f>
        <v>1427.76</v>
      </c>
      <c r="M180" s="5">
        <f>Sales_Data!G177</f>
        <v>1543.25</v>
      </c>
      <c r="N180" s="5" t="str">
        <f>IFERROR(INDEX(Branch_Master!$B$2:$B$9,MATCH($B180,Branch_Master!$A$2:$A$9,0)),"Not Found")</f>
        <v>Bangalore</v>
      </c>
      <c r="O180" s="5" t="str">
        <f>IFERROR(INDEX(Branch_Master!$C$2:$C$9,MATCH($B180,Branch_Master!$A$2:$A$9,0)),"Not Found")</f>
        <v>Karnataka</v>
      </c>
      <c r="P180" s="5">
        <f>IFERROR(INDEX(Targets!$B$2:$B$9,MATCH($B180,Targets!$A$2:$A$9,0)),0)</f>
        <v>900000</v>
      </c>
      <c r="Q180" s="5" t="str">
        <f t="shared" si="4"/>
        <v>No</v>
      </c>
      <c r="R180" s="5" t="str">
        <f t="shared" si="5"/>
        <v>Mar</v>
      </c>
    </row>
    <row r="181" spans="1:18" ht="15" customHeight="1" x14ac:dyDescent="0.3">
      <c r="A181" s="5" t="str">
        <f>Sales_Data!A178</f>
        <v>2025-03-05</v>
      </c>
      <c r="B181" s="5" t="str">
        <f>Sales_Data!B178</f>
        <v>Kolkata Central</v>
      </c>
      <c r="C181" s="5" t="str">
        <f>Sales_Data!C178</f>
        <v>E028</v>
      </c>
      <c r="D181" s="5" t="str">
        <f>IFERROR(INDEX(Employee_Master!$B$2:$B$44,MATCH($C181,Employee_Master!$A$2:$A$44,0)),"Not Found")</f>
        <v>Sabrina Wright</v>
      </c>
      <c r="E181" s="5" t="str">
        <f>IFERROR(INDEX(Employee_Master!$C$2:$C$44,MATCH($C181,Employee_Master!$A$2:$A$44,0)),"Not Found")</f>
        <v>Customer Support</v>
      </c>
      <c r="F181" s="5" t="str">
        <f>IFERROR(INDEX(Employee_Master!$D$2:$D$44,MATCH($C181,Employee_Master!$A$2:$A$44,0)),"Not Found")</f>
        <v>Lisa Moore</v>
      </c>
      <c r="G181" s="5" t="str">
        <f>IFERROR(INDEX(Employee_Master!$E$2:$E$44,MATCH($C181,Employee_Master!$A$2:$A$44,0)),"Not Found")</f>
        <v>East</v>
      </c>
      <c r="H181" s="5" t="str">
        <f>Sales_Data!D178</f>
        <v>P014 - Air Fryer</v>
      </c>
      <c r="I181" s="5" t="str">
        <f>IFERROR(INDEX(Product_Master!$B$2:$B$30,MATCH($H181,Product_Master!$A$2:$A$30,0)),"Invalid Product Code")</f>
        <v>Home &amp; Kitchen</v>
      </c>
      <c r="J181" s="5">
        <f>IFERROR(INDEX(Product_Master!$C$2:$C$30,MATCH($H181,Product_Master!$A$2:$A$30,0)),0)</f>
        <v>729.85</v>
      </c>
      <c r="K181" s="5">
        <f>Sales_Data!E178</f>
        <v>3</v>
      </c>
      <c r="L181" s="5">
        <f>Sales_Data!F178</f>
        <v>2227.8000000000002</v>
      </c>
      <c r="M181" s="5">
        <f>Sales_Data!G178</f>
        <v>2271.39</v>
      </c>
      <c r="N181" s="5" t="str">
        <f>IFERROR(INDEX(Branch_Master!$B$2:$B$9,MATCH($B181,Branch_Master!$A$2:$A$9,0)),"Not Found")</f>
        <v>Kolkata</v>
      </c>
      <c r="O181" s="5" t="str">
        <f>IFERROR(INDEX(Branch_Master!$C$2:$C$9,MATCH($B181,Branch_Master!$A$2:$A$9,0)),"Not Found")</f>
        <v>West Bengal</v>
      </c>
      <c r="P181" s="5">
        <f>IFERROR(INDEX(Targets!$B$2:$B$9,MATCH($B181,Targets!$A$2:$A$9,0)),0)</f>
        <v>1910000</v>
      </c>
      <c r="Q181" s="5" t="str">
        <f t="shared" si="4"/>
        <v>No</v>
      </c>
      <c r="R181" s="5" t="str">
        <f t="shared" si="5"/>
        <v>Mar</v>
      </c>
    </row>
    <row r="182" spans="1:18" ht="15" customHeight="1" x14ac:dyDescent="0.3">
      <c r="A182" s="5" t="str">
        <f>Sales_Data!A179</f>
        <v>2025-03-05</v>
      </c>
      <c r="B182" s="5" t="str">
        <f>Sales_Data!B179</f>
        <v>Kolkata Central</v>
      </c>
      <c r="C182" s="5" t="str">
        <f>Sales_Data!C179</f>
        <v>E028</v>
      </c>
      <c r="D182" s="5" t="str">
        <f>IFERROR(INDEX(Employee_Master!$B$2:$B$44,MATCH($C182,Employee_Master!$A$2:$A$44,0)),"Not Found")</f>
        <v>Sabrina Wright</v>
      </c>
      <c r="E182" s="5" t="str">
        <f>IFERROR(INDEX(Employee_Master!$C$2:$C$44,MATCH($C182,Employee_Master!$A$2:$A$44,0)),"Not Found")</f>
        <v>Customer Support</v>
      </c>
      <c r="F182" s="5" t="str">
        <f>IFERROR(INDEX(Employee_Master!$D$2:$D$44,MATCH($C182,Employee_Master!$A$2:$A$44,0)),"Not Found")</f>
        <v>Lisa Moore</v>
      </c>
      <c r="G182" s="5" t="str">
        <f>IFERROR(INDEX(Employee_Master!$E$2:$E$44,MATCH($C182,Employee_Master!$A$2:$A$44,0)),"Not Found")</f>
        <v>East</v>
      </c>
      <c r="H182" s="5" t="str">
        <f>Sales_Data!D179</f>
        <v>P023 - Sunscreen SPF50</v>
      </c>
      <c r="I182" s="5" t="str">
        <f>IFERROR(INDEX(Product_Master!$B$2:$B$30,MATCH($H182,Product_Master!$A$2:$A$30,0)),"Invalid Product Code")</f>
        <v>Beauty</v>
      </c>
      <c r="J182" s="5">
        <f>IFERROR(INDEX(Product_Master!$C$2:$C$30,MATCH($H182,Product_Master!$A$2:$A$30,0)),0)</f>
        <v>818.95</v>
      </c>
      <c r="K182" s="5">
        <f>Sales_Data!E179</f>
        <v>7</v>
      </c>
      <c r="L182" s="5">
        <f>Sales_Data!F179</f>
        <v>5522.76</v>
      </c>
      <c r="M182" s="5">
        <f>Sales_Data!G179</f>
        <v>5775.86</v>
      </c>
      <c r="N182" s="5" t="str">
        <f>IFERROR(INDEX(Branch_Master!$B$2:$B$9,MATCH($B182,Branch_Master!$A$2:$A$9,0)),"Not Found")</f>
        <v>Kolkata</v>
      </c>
      <c r="O182" s="5" t="str">
        <f>IFERROR(INDEX(Branch_Master!$C$2:$C$9,MATCH($B182,Branch_Master!$A$2:$A$9,0)),"Not Found")</f>
        <v>West Bengal</v>
      </c>
      <c r="P182" s="5">
        <f>IFERROR(INDEX(Targets!$B$2:$B$9,MATCH($B182,Targets!$A$2:$A$9,0)),0)</f>
        <v>1910000</v>
      </c>
      <c r="Q182" s="5" t="str">
        <f t="shared" si="4"/>
        <v>No</v>
      </c>
      <c r="R182" s="5" t="str">
        <f t="shared" si="5"/>
        <v>Mar</v>
      </c>
    </row>
    <row r="183" spans="1:18" ht="15" customHeight="1" x14ac:dyDescent="0.3">
      <c r="A183" s="5" t="str">
        <f>Sales_Data!A180</f>
        <v>2025-03-06</v>
      </c>
      <c r="B183" s="5" t="str">
        <f>Sales_Data!B180</f>
        <v>Delhi NCR</v>
      </c>
      <c r="C183" s="5" t="str">
        <f>Sales_Data!C180</f>
        <v>E031</v>
      </c>
      <c r="D183" s="5" t="str">
        <f>IFERROR(INDEX(Employee_Master!$B$2:$B$44,MATCH($C183,Employee_Master!$A$2:$A$44,0)),"Not Found")</f>
        <v>Jennifer Garcia</v>
      </c>
      <c r="E183" s="5" t="str">
        <f>IFERROR(INDEX(Employee_Master!$C$2:$C$44,MATCH($C183,Employee_Master!$A$2:$A$44,0)),"Not Found")</f>
        <v>Sales</v>
      </c>
      <c r="F183" s="5" t="str">
        <f>IFERROR(INDEX(Employee_Master!$D$2:$D$44,MATCH($C183,Employee_Master!$A$2:$A$44,0)),"Not Found")</f>
        <v>William Oconnell</v>
      </c>
      <c r="G183" s="5" t="str">
        <f>IFERROR(INDEX(Employee_Master!$E$2:$E$44,MATCH($C183,Employee_Master!$A$2:$A$44,0)),"Not Found")</f>
        <v>North</v>
      </c>
      <c r="H183" s="5" t="str">
        <f>Sales_Data!D180</f>
        <v>P003 - Bluetooth Speaker</v>
      </c>
      <c r="I183" s="5" t="str">
        <f>IFERROR(INDEX(Product_Master!$B$2:$B$30,MATCH($H183,Product_Master!$A$2:$A$30,0)),"Invalid Product Code")</f>
        <v>Electronics</v>
      </c>
      <c r="J183" s="5">
        <f>IFERROR(INDEX(Product_Master!$C$2:$C$30,MATCH($H183,Product_Master!$A$2:$A$30,0)),0)</f>
        <v>351.01</v>
      </c>
      <c r="K183" s="5">
        <f>Sales_Data!E180</f>
        <v>10</v>
      </c>
      <c r="L183" s="5">
        <f>Sales_Data!F180</f>
        <v>3605.29</v>
      </c>
      <c r="M183" s="5">
        <f>Sales_Data!G180</f>
        <v>3222.74</v>
      </c>
      <c r="N183" s="5" t="str">
        <f>IFERROR(INDEX(Branch_Master!$B$2:$B$9,MATCH($B183,Branch_Master!$A$2:$A$9,0)),"Not Found")</f>
        <v>New Delhi</v>
      </c>
      <c r="O183" s="5" t="str">
        <f>IFERROR(INDEX(Branch_Master!$C$2:$C$9,MATCH($B183,Branch_Master!$A$2:$A$9,0)),"Not Found")</f>
        <v>Delhi</v>
      </c>
      <c r="P183" s="5">
        <f>IFERROR(INDEX(Targets!$B$2:$B$9,MATCH($B183,Targets!$A$2:$A$9,0)),0)</f>
        <v>2070000</v>
      </c>
      <c r="Q183" s="5" t="str">
        <f t="shared" si="4"/>
        <v>Yes</v>
      </c>
      <c r="R183" s="5" t="str">
        <f t="shared" si="5"/>
        <v>Mar</v>
      </c>
    </row>
    <row r="184" spans="1:18" ht="15" customHeight="1" x14ac:dyDescent="0.3">
      <c r="A184" s="5" t="str">
        <f>Sales_Data!A181</f>
        <v>2025-03-06</v>
      </c>
      <c r="B184" s="5" t="str">
        <f>Sales_Data!B181</f>
        <v>Ahmedabad West</v>
      </c>
      <c r="C184" s="5" t="str">
        <f>Sales_Data!C181</f>
        <v>E001</v>
      </c>
      <c r="D184" s="5" t="str">
        <f>IFERROR(INDEX(Employee_Master!$B$2:$B$44,MATCH($C184,Employee_Master!$A$2:$A$44,0)),"Not Found")</f>
        <v>David Johnson</v>
      </c>
      <c r="E184" s="5" t="str">
        <f>IFERROR(INDEX(Employee_Master!$C$2:$C$44,MATCH($C184,Employee_Master!$A$2:$A$44,0)),"Not Found")</f>
        <v>Customer Support</v>
      </c>
      <c r="F184" s="5" t="str">
        <f>IFERROR(INDEX(Employee_Master!$D$2:$D$44,MATCH($C184,Employee_Master!$A$2:$A$44,0)),"Not Found")</f>
        <v>Joseph Brown</v>
      </c>
      <c r="G184" s="5" t="str">
        <f>IFERROR(INDEX(Employee_Master!$E$2:$E$44,MATCH($C184,Employee_Master!$A$2:$A$44,0)),"Not Found")</f>
        <v>West</v>
      </c>
      <c r="H184" s="5" t="str">
        <f>Sales_Data!D181</f>
        <v>P012 - Non-Stick Pan</v>
      </c>
      <c r="I184" s="5" t="str">
        <f>IFERROR(INDEX(Product_Master!$B$2:$B$30,MATCH($H184,Product_Master!$A$2:$A$30,0)),"Invalid Product Code")</f>
        <v>Home &amp; Kitchen</v>
      </c>
      <c r="J184" s="5">
        <f>IFERROR(INDEX(Product_Master!$C$2:$C$30,MATCH($H184,Product_Master!$A$2:$A$30,0)),0)</f>
        <v>353.18</v>
      </c>
      <c r="K184" s="5">
        <f>Sales_Data!E181</f>
        <v>10</v>
      </c>
      <c r="L184" s="5">
        <f>Sales_Data!F181</f>
        <v>3766.24</v>
      </c>
      <c r="M184" s="5">
        <f>Sales_Data!G181</f>
        <v>3443.08</v>
      </c>
      <c r="N184" s="5" t="str">
        <f>IFERROR(INDEX(Branch_Master!$B$2:$B$9,MATCH($B184,Branch_Master!$A$2:$A$9,0)),"Not Found")</f>
        <v>Ahmedabad</v>
      </c>
      <c r="O184" s="5" t="str">
        <f>IFERROR(INDEX(Branch_Master!$C$2:$C$9,MATCH($B184,Branch_Master!$A$2:$A$9,0)),"Not Found")</f>
        <v>Gujarat</v>
      </c>
      <c r="P184" s="5">
        <f>IFERROR(INDEX(Targets!$B$2:$B$9,MATCH($B184,Targets!$A$2:$A$9,0)),0)</f>
        <v>1590000</v>
      </c>
      <c r="Q184" s="5" t="str">
        <f t="shared" si="4"/>
        <v>Yes</v>
      </c>
      <c r="R184" s="5" t="str">
        <f t="shared" si="5"/>
        <v>Mar</v>
      </c>
    </row>
    <row r="185" spans="1:18" ht="15" customHeight="1" x14ac:dyDescent="0.3">
      <c r="A185" s="5" t="str">
        <f>Sales_Data!A182</f>
        <v>2025-03-06</v>
      </c>
      <c r="B185" s="5" t="str">
        <f>Sales_Data!B182</f>
        <v>Ahmedabad West</v>
      </c>
      <c r="C185" s="5" t="str">
        <f>Sales_Data!C182</f>
        <v>E001</v>
      </c>
      <c r="D185" s="5" t="str">
        <f>IFERROR(INDEX(Employee_Master!$B$2:$B$44,MATCH($C185,Employee_Master!$A$2:$A$44,0)),"Not Found")</f>
        <v>David Johnson</v>
      </c>
      <c r="E185" s="5" t="str">
        <f>IFERROR(INDEX(Employee_Master!$C$2:$C$44,MATCH($C185,Employee_Master!$A$2:$A$44,0)),"Not Found")</f>
        <v>Customer Support</v>
      </c>
      <c r="F185" s="5" t="str">
        <f>IFERROR(INDEX(Employee_Master!$D$2:$D$44,MATCH($C185,Employee_Master!$A$2:$A$44,0)),"Not Found")</f>
        <v>Joseph Brown</v>
      </c>
      <c r="G185" s="5" t="str">
        <f>IFERROR(INDEX(Employee_Master!$E$2:$E$44,MATCH($C185,Employee_Master!$A$2:$A$44,0)),"Not Found")</f>
        <v>West</v>
      </c>
      <c r="H185" s="5" t="str">
        <f>Sales_Data!D182</f>
        <v>P008 - Denim Jeans</v>
      </c>
      <c r="I185" s="5" t="str">
        <f>IFERROR(INDEX(Product_Master!$B$2:$B$30,MATCH($H185,Product_Master!$A$2:$A$30,0)),"Invalid Product Code")</f>
        <v>Apparel</v>
      </c>
      <c r="J185" s="5">
        <f>IFERROR(INDEX(Product_Master!$C$2:$C$30,MATCH($H185,Product_Master!$A$2:$A$30,0)),0)</f>
        <v>614.48</v>
      </c>
      <c r="K185" s="5">
        <f>Sales_Data!E182</f>
        <v>3</v>
      </c>
      <c r="L185" s="5">
        <f>Sales_Data!F182</f>
        <v>1968.87</v>
      </c>
      <c r="M185" s="5">
        <f>Sales_Data!G182</f>
        <v>1925.97</v>
      </c>
      <c r="N185" s="5" t="str">
        <f>IFERROR(INDEX(Branch_Master!$B$2:$B$9,MATCH($B185,Branch_Master!$A$2:$A$9,0)),"Not Found")</f>
        <v>Ahmedabad</v>
      </c>
      <c r="O185" s="5" t="str">
        <f>IFERROR(INDEX(Branch_Master!$C$2:$C$9,MATCH($B185,Branch_Master!$A$2:$A$9,0)),"Not Found")</f>
        <v>Gujarat</v>
      </c>
      <c r="P185" s="5">
        <f>IFERROR(INDEX(Targets!$B$2:$B$9,MATCH($B185,Targets!$A$2:$A$9,0)),0)</f>
        <v>1590000</v>
      </c>
      <c r="Q185" s="5" t="str">
        <f t="shared" si="4"/>
        <v>Yes</v>
      </c>
      <c r="R185" s="5" t="str">
        <f t="shared" si="5"/>
        <v>Mar</v>
      </c>
    </row>
    <row r="186" spans="1:18" ht="15" customHeight="1" x14ac:dyDescent="0.3">
      <c r="A186" s="5" t="str">
        <f>Sales_Data!A183</f>
        <v>2025-03-06</v>
      </c>
      <c r="B186" s="5" t="str">
        <f>Sales_Data!B183</f>
        <v>Delhi NCR</v>
      </c>
      <c r="C186" s="5" t="str">
        <f>Sales_Data!C183</f>
        <v>E013</v>
      </c>
      <c r="D186" s="5" t="str">
        <f>IFERROR(INDEX(Employee_Master!$B$2:$B$44,MATCH($C186,Employee_Master!$A$2:$A$44,0)),"Not Found")</f>
        <v>Norma Wilson</v>
      </c>
      <c r="E186" s="5" t="str">
        <f>IFERROR(INDEX(Employee_Master!$C$2:$C$44,MATCH($C186,Employee_Master!$A$2:$A$44,0)),"Not Found")</f>
        <v>Customer Support</v>
      </c>
      <c r="F186" s="5" t="str">
        <f>IFERROR(INDEX(Employee_Master!$D$2:$D$44,MATCH($C186,Employee_Master!$A$2:$A$44,0)),"Not Found")</f>
        <v>William Oconnell</v>
      </c>
      <c r="G186" s="5" t="str">
        <f>IFERROR(INDEX(Employee_Master!$E$2:$E$44,MATCH($C186,Employee_Master!$A$2:$A$44,0)),"Not Found")</f>
        <v>North</v>
      </c>
      <c r="H186" s="5" t="str">
        <f>Sales_Data!D183</f>
        <v>P028 - Football</v>
      </c>
      <c r="I186" s="5" t="str">
        <f>IFERROR(INDEX(Product_Master!$B$2:$B$30,MATCH($H186,Product_Master!$A$2:$A$30,0)),"Invalid Product Code")</f>
        <v>Sports</v>
      </c>
      <c r="J186" s="5">
        <f>IFERROR(INDEX(Product_Master!$C$2:$C$30,MATCH($H186,Product_Master!$A$2:$A$30,0)),0)</f>
        <v>314.25</v>
      </c>
      <c r="K186" s="5">
        <f>Sales_Data!E183</f>
        <v>10</v>
      </c>
      <c r="L186" s="5">
        <f>Sales_Data!F183</f>
        <v>3364.53</v>
      </c>
      <c r="M186" s="5">
        <f>Sales_Data!G183</f>
        <v>3465.45</v>
      </c>
      <c r="N186" s="5" t="str">
        <f>IFERROR(INDEX(Branch_Master!$B$2:$B$9,MATCH($B186,Branch_Master!$A$2:$A$9,0)),"Not Found")</f>
        <v>New Delhi</v>
      </c>
      <c r="O186" s="5" t="str">
        <f>IFERROR(INDEX(Branch_Master!$C$2:$C$9,MATCH($B186,Branch_Master!$A$2:$A$9,0)),"Not Found")</f>
        <v>Delhi</v>
      </c>
      <c r="P186" s="5">
        <f>IFERROR(INDEX(Targets!$B$2:$B$9,MATCH($B186,Targets!$A$2:$A$9,0)),0)</f>
        <v>2070000</v>
      </c>
      <c r="Q186" s="5" t="str">
        <f t="shared" si="4"/>
        <v>No</v>
      </c>
      <c r="R186" s="5" t="str">
        <f t="shared" si="5"/>
        <v>Mar</v>
      </c>
    </row>
    <row r="187" spans="1:18" ht="15" customHeight="1" x14ac:dyDescent="0.3">
      <c r="A187" s="5" t="str">
        <f>Sales_Data!A184</f>
        <v>2025-03-07</v>
      </c>
      <c r="B187" s="5" t="str">
        <f>Sales_Data!B184</f>
        <v>Bangalore North</v>
      </c>
      <c r="C187" s="5" t="str">
        <f>Sales_Data!C184</f>
        <v>E040</v>
      </c>
      <c r="D187" s="5" t="str">
        <f>IFERROR(INDEX(Employee_Master!$B$2:$B$44,MATCH($C187,Employee_Master!$A$2:$A$44,0)),"Not Found")</f>
        <v>Bonnie Cox</v>
      </c>
      <c r="E187" s="5" t="str">
        <f>IFERROR(INDEX(Employee_Master!$C$2:$C$44,MATCH($C187,Employee_Master!$A$2:$A$44,0)),"Not Found")</f>
        <v>Customer Support</v>
      </c>
      <c r="F187" s="5" t="str">
        <f>IFERROR(INDEX(Employee_Master!$D$2:$D$44,MATCH($C187,Employee_Master!$A$2:$A$44,0)),"Not Found")</f>
        <v>Jose Soto</v>
      </c>
      <c r="G187" s="5" t="str">
        <f>IFERROR(INDEX(Employee_Master!$E$2:$E$44,MATCH($C187,Employee_Master!$A$2:$A$44,0)),"Not Found")</f>
        <v>South</v>
      </c>
      <c r="H187" s="5" t="str">
        <f>Sales_Data!D184</f>
        <v>P015 - Water Bottle</v>
      </c>
      <c r="I187" s="5" t="str">
        <f>IFERROR(INDEX(Product_Master!$B$2:$B$30,MATCH($H187,Product_Master!$A$2:$A$30,0)),"Invalid Product Code")</f>
        <v>Home &amp; Kitchen</v>
      </c>
      <c r="J187" s="5">
        <f>IFERROR(INDEX(Product_Master!$C$2:$C$30,MATCH($H187,Product_Master!$A$2:$A$30,0)),0)</f>
        <v>197.57</v>
      </c>
      <c r="K187" s="5">
        <f>Sales_Data!E184</f>
        <v>1</v>
      </c>
      <c r="L187" s="5">
        <f>Sales_Data!F184</f>
        <v>182.91</v>
      </c>
      <c r="M187" s="5">
        <f>Sales_Data!G184</f>
        <v>174.81</v>
      </c>
      <c r="N187" s="5" t="str">
        <f>IFERROR(INDEX(Branch_Master!$B$2:$B$9,MATCH($B187,Branch_Master!$A$2:$A$9,0)),"Not Found")</f>
        <v>Bangalore</v>
      </c>
      <c r="O187" s="5" t="str">
        <f>IFERROR(INDEX(Branch_Master!$C$2:$C$9,MATCH($B187,Branch_Master!$A$2:$A$9,0)),"Not Found")</f>
        <v>Karnataka</v>
      </c>
      <c r="P187" s="5">
        <f>IFERROR(INDEX(Targets!$B$2:$B$9,MATCH($B187,Targets!$A$2:$A$9,0)),0)</f>
        <v>900000</v>
      </c>
      <c r="Q187" s="5" t="str">
        <f t="shared" si="4"/>
        <v>Yes</v>
      </c>
      <c r="R187" s="5" t="str">
        <f t="shared" si="5"/>
        <v>Mar</v>
      </c>
    </row>
    <row r="188" spans="1:18" ht="15" customHeight="1" x14ac:dyDescent="0.3">
      <c r="A188" s="5" t="str">
        <f>Sales_Data!A185</f>
        <v>2025-03-07</v>
      </c>
      <c r="B188" s="5" t="str">
        <f>Sales_Data!B185</f>
        <v>Hyderabad Hitech</v>
      </c>
      <c r="C188" s="5" t="str">
        <f>Sales_Data!C185</f>
        <v>E035</v>
      </c>
      <c r="D188" s="5" t="str">
        <f>IFERROR(INDEX(Employee_Master!$B$2:$B$44,MATCH($C188,Employee_Master!$A$2:$A$44,0)),"Not Found")</f>
        <v>Andrea Perez</v>
      </c>
      <c r="E188" s="5" t="str">
        <f>IFERROR(INDEX(Employee_Master!$C$2:$C$44,MATCH($C188,Employee_Master!$A$2:$A$44,0)),"Not Found")</f>
        <v>Sales</v>
      </c>
      <c r="F188" s="5" t="str">
        <f>IFERROR(INDEX(Employee_Master!$D$2:$D$44,MATCH($C188,Employee_Master!$A$2:$A$44,0)),"Not Found")</f>
        <v>Anna Turner</v>
      </c>
      <c r="G188" s="5" t="str">
        <f>IFERROR(INDEX(Employee_Master!$E$2:$E$44,MATCH($C188,Employee_Master!$A$2:$A$44,0)),"Not Found")</f>
        <v>South</v>
      </c>
      <c r="H188" s="5" t="str">
        <f>Sales_Data!D185</f>
        <v>P023 - Sunscreen SPF50</v>
      </c>
      <c r="I188" s="5" t="str">
        <f>IFERROR(INDEX(Product_Master!$B$2:$B$30,MATCH($H188,Product_Master!$A$2:$A$30,0)),"Invalid Product Code")</f>
        <v>Beauty</v>
      </c>
      <c r="J188" s="5">
        <f>IFERROR(INDEX(Product_Master!$C$2:$C$30,MATCH($H188,Product_Master!$A$2:$A$30,0)),0)</f>
        <v>818.95</v>
      </c>
      <c r="K188" s="5">
        <f>Sales_Data!E185</f>
        <v>5</v>
      </c>
      <c r="L188" s="5">
        <f>Sales_Data!F185</f>
        <v>4348.3100000000004</v>
      </c>
      <c r="M188" s="5">
        <f>Sales_Data!G185</f>
        <v>4464.8500000000004</v>
      </c>
      <c r="N188" s="5" t="str">
        <f>IFERROR(INDEX(Branch_Master!$B$2:$B$9,MATCH($B188,Branch_Master!$A$2:$A$9,0)),"Not Found")</f>
        <v>Hyderabad</v>
      </c>
      <c r="O188" s="5" t="str">
        <f>IFERROR(INDEX(Branch_Master!$C$2:$C$9,MATCH($B188,Branch_Master!$A$2:$A$9,0)),"Not Found")</f>
        <v>Telangana</v>
      </c>
      <c r="P188" s="5">
        <f>IFERROR(INDEX(Targets!$B$2:$B$9,MATCH($B188,Targets!$A$2:$A$9,0)),0)</f>
        <v>1210000</v>
      </c>
      <c r="Q188" s="5" t="str">
        <f t="shared" si="4"/>
        <v>No</v>
      </c>
      <c r="R188" s="5" t="str">
        <f t="shared" si="5"/>
        <v>Mar</v>
      </c>
    </row>
    <row r="189" spans="1:18" ht="15" customHeight="1" x14ac:dyDescent="0.3">
      <c r="A189" s="5" t="str">
        <f>Sales_Data!A186</f>
        <v>2025-03-07</v>
      </c>
      <c r="B189" s="5" t="str">
        <f>Sales_Data!B186</f>
        <v>Kolkata Central</v>
      </c>
      <c r="C189" s="5" t="str">
        <f>Sales_Data!C186</f>
        <v>E029</v>
      </c>
      <c r="D189" s="5" t="str">
        <f>IFERROR(INDEX(Employee_Master!$B$2:$B$44,MATCH($C189,Employee_Master!$A$2:$A$44,0)),"Not Found")</f>
        <v>Patrick Shepard</v>
      </c>
      <c r="E189" s="5" t="str">
        <f>IFERROR(INDEX(Employee_Master!$C$2:$C$44,MATCH($C189,Employee_Master!$A$2:$A$44,0)),"Not Found")</f>
        <v>Sales</v>
      </c>
      <c r="F189" s="5" t="str">
        <f>IFERROR(INDEX(Employee_Master!$D$2:$D$44,MATCH($C189,Employee_Master!$A$2:$A$44,0)),"Not Found")</f>
        <v>Lisa Moore</v>
      </c>
      <c r="G189" s="5" t="str">
        <f>IFERROR(INDEX(Employee_Master!$E$2:$E$44,MATCH($C189,Employee_Master!$A$2:$A$44,0)),"Not Found")</f>
        <v>East</v>
      </c>
      <c r="H189" s="5" t="str">
        <f>Sales_Data!D186</f>
        <v>P019 - Organic Honey</v>
      </c>
      <c r="I189" s="5" t="str">
        <f>IFERROR(INDEX(Product_Master!$B$2:$B$30,MATCH($H189,Product_Master!$A$2:$A$30,0)),"Invalid Product Code")</f>
        <v>Grocery</v>
      </c>
      <c r="J189" s="5">
        <f>IFERROR(INDEX(Product_Master!$C$2:$C$30,MATCH($H189,Product_Master!$A$2:$A$30,0)),0)</f>
        <v>482.15</v>
      </c>
      <c r="K189" s="5">
        <f>Sales_Data!E186</f>
        <v>12</v>
      </c>
      <c r="L189" s="5">
        <f>Sales_Data!F186</f>
        <v>5490.49</v>
      </c>
      <c r="M189" s="5">
        <f>Sales_Data!G186</f>
        <v>6332.38</v>
      </c>
      <c r="N189" s="5" t="str">
        <f>IFERROR(INDEX(Branch_Master!$B$2:$B$9,MATCH($B189,Branch_Master!$A$2:$A$9,0)),"Not Found")</f>
        <v>Kolkata</v>
      </c>
      <c r="O189" s="5" t="str">
        <f>IFERROR(INDEX(Branch_Master!$C$2:$C$9,MATCH($B189,Branch_Master!$A$2:$A$9,0)),"Not Found")</f>
        <v>West Bengal</v>
      </c>
      <c r="P189" s="5">
        <f>IFERROR(INDEX(Targets!$B$2:$B$9,MATCH($B189,Targets!$A$2:$A$9,0)),0)</f>
        <v>1910000</v>
      </c>
      <c r="Q189" s="5" t="str">
        <f t="shared" si="4"/>
        <v>No</v>
      </c>
      <c r="R189" s="5" t="str">
        <f t="shared" si="5"/>
        <v>Mar</v>
      </c>
    </row>
    <row r="190" spans="1:18" ht="15" customHeight="1" x14ac:dyDescent="0.3">
      <c r="A190" s="5" t="str">
        <f>Sales_Data!A187</f>
        <v>2025-03-08</v>
      </c>
      <c r="B190" s="5" t="str">
        <f>Sales_Data!B187</f>
        <v>Pune East</v>
      </c>
      <c r="C190" s="5" t="str">
        <f>Sales_Data!C187</f>
        <v>E034</v>
      </c>
      <c r="D190" s="5" t="str">
        <f>IFERROR(INDEX(Employee_Master!$B$2:$B$44,MATCH($C190,Employee_Master!$A$2:$A$44,0)),"Not Found")</f>
        <v>Elaine Thompson</v>
      </c>
      <c r="E190" s="5" t="str">
        <f>IFERROR(INDEX(Employee_Master!$C$2:$C$44,MATCH($C190,Employee_Master!$A$2:$A$44,0)),"Not Found")</f>
        <v>Marketing</v>
      </c>
      <c r="F190" s="5" t="str">
        <f>IFERROR(INDEX(Employee_Master!$D$2:$D$44,MATCH($C190,Employee_Master!$A$2:$A$44,0)),"Not Found")</f>
        <v>Jordan Matthews</v>
      </c>
      <c r="G190" s="5" t="str">
        <f>IFERROR(INDEX(Employee_Master!$E$2:$E$44,MATCH($C190,Employee_Master!$A$2:$A$44,0)),"Not Found")</f>
        <v>West</v>
      </c>
      <c r="H190" s="5" t="str">
        <f>Sales_Data!D187</f>
        <v>P017 - Basmati Rice 5kg</v>
      </c>
      <c r="I190" s="5" t="str">
        <f>IFERROR(INDEX(Product_Master!$B$2:$B$30,MATCH($H190,Product_Master!$A$2:$A$30,0)),"Invalid Product Code")</f>
        <v>Grocery</v>
      </c>
      <c r="J190" s="5">
        <f>IFERROR(INDEX(Product_Master!$C$2:$C$30,MATCH($H190,Product_Master!$A$2:$A$30,0)),0)</f>
        <v>825.33</v>
      </c>
      <c r="K190" s="5">
        <f>Sales_Data!E187</f>
        <v>5</v>
      </c>
      <c r="L190" s="5">
        <f>Sales_Data!F187</f>
        <v>3956.61</v>
      </c>
      <c r="M190" s="5">
        <f>Sales_Data!G187</f>
        <v>4470.16</v>
      </c>
      <c r="N190" s="5" t="str">
        <f>IFERROR(INDEX(Branch_Master!$B$2:$B$9,MATCH($B190,Branch_Master!$A$2:$A$9,0)),"Not Found")</f>
        <v>Pune</v>
      </c>
      <c r="O190" s="5" t="str">
        <f>IFERROR(INDEX(Branch_Master!$C$2:$C$9,MATCH($B190,Branch_Master!$A$2:$A$9,0)),"Not Found")</f>
        <v>Maharashtra</v>
      </c>
      <c r="P190" s="5">
        <f>IFERROR(INDEX(Targets!$B$2:$B$9,MATCH($B190,Targets!$A$2:$A$9,0)),0)</f>
        <v>1250000</v>
      </c>
      <c r="Q190" s="5" t="str">
        <f t="shared" si="4"/>
        <v>No</v>
      </c>
      <c r="R190" s="5" t="str">
        <f t="shared" si="5"/>
        <v>Mar</v>
      </c>
    </row>
    <row r="191" spans="1:18" ht="15" customHeight="1" x14ac:dyDescent="0.3">
      <c r="A191" s="5" t="str">
        <f>Sales_Data!A188</f>
        <v>2025-03-08</v>
      </c>
      <c r="B191" s="5" t="str">
        <f>Sales_Data!B188</f>
        <v>Hyderabad Hitech</v>
      </c>
      <c r="C191" s="5" t="str">
        <f>Sales_Data!C188</f>
        <v>E026</v>
      </c>
      <c r="D191" s="5" t="str">
        <f>IFERROR(INDEX(Employee_Master!$B$2:$B$44,MATCH($C191,Employee_Master!$A$2:$A$44,0)),"Not Found")</f>
        <v>Karen Andrews</v>
      </c>
      <c r="E191" s="5" t="str">
        <f>IFERROR(INDEX(Employee_Master!$C$2:$C$44,MATCH($C191,Employee_Master!$A$2:$A$44,0)),"Not Found")</f>
        <v>Marketing</v>
      </c>
      <c r="F191" s="5" t="str">
        <f>IFERROR(INDEX(Employee_Master!$D$2:$D$44,MATCH($C191,Employee_Master!$A$2:$A$44,0)),"Not Found")</f>
        <v>Anna Turner</v>
      </c>
      <c r="G191" s="5" t="str">
        <f>IFERROR(INDEX(Employee_Master!$E$2:$E$44,MATCH($C191,Employee_Master!$A$2:$A$44,0)),"Not Found")</f>
        <v>South</v>
      </c>
      <c r="H191" s="5" t="str">
        <f>Sales_Data!D188</f>
        <v>P015 - Water Bottle</v>
      </c>
      <c r="I191" s="5" t="str">
        <f>IFERROR(INDEX(Product_Master!$B$2:$B$30,MATCH($H191,Product_Master!$A$2:$A$30,0)),"Invalid Product Code")</f>
        <v>Home &amp; Kitchen</v>
      </c>
      <c r="J191" s="5">
        <f>IFERROR(INDEX(Product_Master!$C$2:$C$30,MATCH($H191,Product_Master!$A$2:$A$30,0)),0)</f>
        <v>197.57</v>
      </c>
      <c r="K191" s="5">
        <f>Sales_Data!E188</f>
        <v>4</v>
      </c>
      <c r="L191" s="5">
        <f>Sales_Data!F188</f>
        <v>844.65</v>
      </c>
      <c r="M191" s="5">
        <f>Sales_Data!G188</f>
        <v>818.64</v>
      </c>
      <c r="N191" s="5" t="str">
        <f>IFERROR(INDEX(Branch_Master!$B$2:$B$9,MATCH($B191,Branch_Master!$A$2:$A$9,0)),"Not Found")</f>
        <v>Hyderabad</v>
      </c>
      <c r="O191" s="5" t="str">
        <f>IFERROR(INDEX(Branch_Master!$C$2:$C$9,MATCH($B191,Branch_Master!$A$2:$A$9,0)),"Not Found")</f>
        <v>Telangana</v>
      </c>
      <c r="P191" s="5">
        <f>IFERROR(INDEX(Targets!$B$2:$B$9,MATCH($B191,Targets!$A$2:$A$9,0)),0)</f>
        <v>1210000</v>
      </c>
      <c r="Q191" s="5" t="str">
        <f t="shared" si="4"/>
        <v>Yes</v>
      </c>
      <c r="R191" s="5" t="str">
        <f t="shared" si="5"/>
        <v>Mar</v>
      </c>
    </row>
    <row r="192" spans="1:18" ht="15" customHeight="1" x14ac:dyDescent="0.3">
      <c r="A192" s="5" t="str">
        <f>Sales_Data!A189</f>
        <v>2025-03-09</v>
      </c>
      <c r="B192" s="5" t="str">
        <f>Sales_Data!B189</f>
        <v>Mumbai Central</v>
      </c>
      <c r="C192" s="5" t="str">
        <f>Sales_Data!C189</f>
        <v>E027</v>
      </c>
      <c r="D192" s="5" t="str">
        <f>IFERROR(INDEX(Employee_Master!$B$2:$B$44,MATCH($C192,Employee_Master!$A$2:$A$44,0)),"Not Found")</f>
        <v>Catherine Moore</v>
      </c>
      <c r="E192" s="5" t="str">
        <f>IFERROR(INDEX(Employee_Master!$C$2:$C$44,MATCH($C192,Employee_Master!$A$2:$A$44,0)),"Not Found")</f>
        <v>Customer Support</v>
      </c>
      <c r="F192" s="5" t="str">
        <f>IFERROR(INDEX(Employee_Master!$D$2:$D$44,MATCH($C192,Employee_Master!$A$2:$A$44,0)),"Not Found")</f>
        <v>Justin Glass</v>
      </c>
      <c r="G192" s="5" t="str">
        <f>IFERROR(INDEX(Employee_Master!$E$2:$E$44,MATCH($C192,Employee_Master!$A$2:$A$44,0)),"Not Found")</f>
        <v>West</v>
      </c>
      <c r="H192" s="5" t="str">
        <f>Sales_Data!D189</f>
        <v>P028 - Football</v>
      </c>
      <c r="I192" s="5" t="str">
        <f>IFERROR(INDEX(Product_Master!$B$2:$B$30,MATCH($H192,Product_Master!$A$2:$A$30,0)),"Invalid Product Code")</f>
        <v>Sports</v>
      </c>
      <c r="J192" s="5">
        <f>IFERROR(INDEX(Product_Master!$C$2:$C$30,MATCH($H192,Product_Master!$A$2:$A$30,0)),0)</f>
        <v>314.25</v>
      </c>
      <c r="K192" s="5">
        <f>Sales_Data!E189</f>
        <v>8</v>
      </c>
      <c r="L192" s="5">
        <f>Sales_Data!F189</f>
        <v>2511.66</v>
      </c>
      <c r="M192" s="5">
        <f>Sales_Data!G189</f>
        <v>2475.3200000000002</v>
      </c>
      <c r="N192" s="5" t="str">
        <f>IFERROR(INDEX(Branch_Master!$B$2:$B$9,MATCH($B192,Branch_Master!$A$2:$A$9,0)),"Not Found")</f>
        <v>Mumbai</v>
      </c>
      <c r="O192" s="5" t="str">
        <f>IFERROR(INDEX(Branch_Master!$C$2:$C$9,MATCH($B192,Branch_Master!$A$2:$A$9,0)),"Not Found")</f>
        <v>Maharashtra</v>
      </c>
      <c r="P192" s="5">
        <f>IFERROR(INDEX(Targets!$B$2:$B$9,MATCH($B192,Targets!$A$2:$A$9,0)),0)</f>
        <v>900000</v>
      </c>
      <c r="Q192" s="5" t="str">
        <f t="shared" si="4"/>
        <v>Yes</v>
      </c>
      <c r="R192" s="5" t="str">
        <f t="shared" si="5"/>
        <v>Mar</v>
      </c>
    </row>
    <row r="193" spans="1:18" ht="15" customHeight="1" x14ac:dyDescent="0.3">
      <c r="A193" s="5" t="str">
        <f>Sales_Data!A190</f>
        <v>2025-03-09</v>
      </c>
      <c r="B193" s="5" t="str">
        <f>Sales_Data!B190</f>
        <v>Pune East</v>
      </c>
      <c r="C193" s="5" t="str">
        <f>Sales_Data!C190</f>
        <v>E023</v>
      </c>
      <c r="D193" s="5" t="str">
        <f>IFERROR(INDEX(Employee_Master!$B$2:$B$44,MATCH($C193,Employee_Master!$A$2:$A$44,0)),"Not Found")</f>
        <v>Edward Jones</v>
      </c>
      <c r="E193" s="5" t="str">
        <f>IFERROR(INDEX(Employee_Master!$C$2:$C$44,MATCH($C193,Employee_Master!$A$2:$A$44,0)),"Not Found")</f>
        <v>Operations</v>
      </c>
      <c r="F193" s="5" t="str">
        <f>IFERROR(INDEX(Employee_Master!$D$2:$D$44,MATCH($C193,Employee_Master!$A$2:$A$44,0)),"Not Found")</f>
        <v>Jordan Matthews</v>
      </c>
      <c r="G193" s="5" t="str">
        <f>IFERROR(INDEX(Employee_Master!$E$2:$E$44,MATCH($C193,Employee_Master!$A$2:$A$44,0)),"Not Found")</f>
        <v>West</v>
      </c>
      <c r="H193" s="5" t="str">
        <f>Sales_Data!D190</f>
        <v>P005 - LED Monitor</v>
      </c>
      <c r="I193" s="5" t="str">
        <f>IFERROR(INDEX(Product_Master!$B$2:$B$30,MATCH($H193,Product_Master!$A$2:$A$30,0)),"Invalid Product Code")</f>
        <v>Electronics</v>
      </c>
      <c r="J193" s="5">
        <f>IFERROR(INDEX(Product_Master!$C$2:$C$30,MATCH($H193,Product_Master!$A$2:$A$30,0)),0)</f>
        <v>489.9</v>
      </c>
      <c r="K193" s="5">
        <f>Sales_Data!E190</f>
        <v>8</v>
      </c>
      <c r="L193" s="5">
        <f>Sales_Data!F190</f>
        <v>4295.83</v>
      </c>
      <c r="M193" s="5">
        <f>Sales_Data!G190</f>
        <v>4103.71</v>
      </c>
      <c r="N193" s="5" t="str">
        <f>IFERROR(INDEX(Branch_Master!$B$2:$B$9,MATCH($B193,Branch_Master!$A$2:$A$9,0)),"Not Found")</f>
        <v>Pune</v>
      </c>
      <c r="O193" s="5" t="str">
        <f>IFERROR(INDEX(Branch_Master!$C$2:$C$9,MATCH($B193,Branch_Master!$A$2:$A$9,0)),"Not Found")</f>
        <v>Maharashtra</v>
      </c>
      <c r="P193" s="5">
        <f>IFERROR(INDEX(Targets!$B$2:$B$9,MATCH($B193,Targets!$A$2:$A$9,0)),0)</f>
        <v>1250000</v>
      </c>
      <c r="Q193" s="5" t="str">
        <f t="shared" si="4"/>
        <v>Yes</v>
      </c>
      <c r="R193" s="5" t="str">
        <f t="shared" si="5"/>
        <v>Mar</v>
      </c>
    </row>
    <row r="194" spans="1:18" ht="15" customHeight="1" x14ac:dyDescent="0.3">
      <c r="A194" s="5" t="str">
        <f>Sales_Data!A191</f>
        <v>2025-03-10</v>
      </c>
      <c r="B194" s="5" t="str">
        <f>Sales_Data!B191</f>
        <v>Chennai South</v>
      </c>
      <c r="C194" s="5" t="str">
        <f>Sales_Data!C191</f>
        <v>E032</v>
      </c>
      <c r="D194" s="5" t="str">
        <f>IFERROR(INDEX(Employee_Master!$B$2:$B$44,MATCH($C194,Employee_Master!$A$2:$A$44,0)),"Not Found")</f>
        <v>Victor Allen</v>
      </c>
      <c r="E194" s="5" t="str">
        <f>IFERROR(INDEX(Employee_Master!$C$2:$C$44,MATCH($C194,Employee_Master!$A$2:$A$44,0)),"Not Found")</f>
        <v>Operations</v>
      </c>
      <c r="F194" s="5" t="str">
        <f>IFERROR(INDEX(Employee_Master!$D$2:$D$44,MATCH($C194,Employee_Master!$A$2:$A$44,0)),"Not Found")</f>
        <v>Robert Steele</v>
      </c>
      <c r="G194" s="5" t="str">
        <f>IFERROR(INDEX(Employee_Master!$E$2:$E$44,MATCH($C194,Employee_Master!$A$2:$A$44,0)),"Not Found")</f>
        <v>South</v>
      </c>
      <c r="H194" s="5" t="str">
        <f>Sales_Data!D191</f>
        <v>P009 - Formal Shirt</v>
      </c>
      <c r="I194" s="5" t="str">
        <f>IFERROR(INDEX(Product_Master!$B$2:$B$30,MATCH($H194,Product_Master!$A$2:$A$30,0)),"Invalid Product Code")</f>
        <v>Apparel</v>
      </c>
      <c r="J194" s="5">
        <f>IFERROR(INDEX(Product_Master!$C$2:$C$30,MATCH($H194,Product_Master!$A$2:$A$30,0)),0)</f>
        <v>661.65</v>
      </c>
      <c r="K194" s="5">
        <f>Sales_Data!E191</f>
        <v>7</v>
      </c>
      <c r="L194" s="5">
        <f>Sales_Data!F191</f>
        <v>4401.8</v>
      </c>
      <c r="M194" s="5">
        <f>Sales_Data!G191</f>
        <v>4861.8900000000003</v>
      </c>
      <c r="N194" s="5" t="str">
        <f>IFERROR(INDEX(Branch_Master!$B$2:$B$9,MATCH($B194,Branch_Master!$A$2:$A$9,0)),"Not Found")</f>
        <v>Chennai</v>
      </c>
      <c r="O194" s="5" t="str">
        <f>IFERROR(INDEX(Branch_Master!$C$2:$C$9,MATCH($B194,Branch_Master!$A$2:$A$9,0)),"Not Found")</f>
        <v>Tamil Nadu</v>
      </c>
      <c r="P194" s="5">
        <f>IFERROR(INDEX(Targets!$B$2:$B$9,MATCH($B194,Targets!$A$2:$A$9,0)),0)</f>
        <v>1910000</v>
      </c>
      <c r="Q194" s="5" t="str">
        <f t="shared" si="4"/>
        <v>No</v>
      </c>
      <c r="R194" s="5" t="str">
        <f t="shared" si="5"/>
        <v>Mar</v>
      </c>
    </row>
    <row r="195" spans="1:18" ht="15" customHeight="1" x14ac:dyDescent="0.3">
      <c r="A195" s="5" t="str">
        <f>Sales_Data!A192</f>
        <v>2025-03-10</v>
      </c>
      <c r="B195" s="5" t="str">
        <f>Sales_Data!B192</f>
        <v>Ahmedabad West</v>
      </c>
      <c r="C195" s="5" t="str">
        <f>Sales_Data!C192</f>
        <v>E005</v>
      </c>
      <c r="D195" s="5" t="str">
        <f>IFERROR(INDEX(Employee_Master!$B$2:$B$44,MATCH($C195,Employee_Master!$A$2:$A$44,0)),"Not Found")</f>
        <v>Dr. Sara Zimmerman MD</v>
      </c>
      <c r="E195" s="5" t="str">
        <f>IFERROR(INDEX(Employee_Master!$C$2:$C$44,MATCH($C195,Employee_Master!$A$2:$A$44,0)),"Not Found")</f>
        <v>Operations</v>
      </c>
      <c r="F195" s="5" t="str">
        <f>IFERROR(INDEX(Employee_Master!$D$2:$D$44,MATCH($C195,Employee_Master!$A$2:$A$44,0)),"Not Found")</f>
        <v>Joseph Brown</v>
      </c>
      <c r="G195" s="5" t="str">
        <f>IFERROR(INDEX(Employee_Master!$E$2:$E$44,MATCH($C195,Employee_Master!$A$2:$A$44,0)),"Not Found")</f>
        <v>West</v>
      </c>
      <c r="H195" s="5" t="str">
        <f>Sales_Data!D192</f>
        <v>P027 - Cricket Bat</v>
      </c>
      <c r="I195" s="5" t="str">
        <f>IFERROR(INDEX(Product_Master!$B$2:$B$30,MATCH($H195,Product_Master!$A$2:$A$30,0)),"Invalid Product Code")</f>
        <v>Sports</v>
      </c>
      <c r="J195" s="5">
        <f>IFERROR(INDEX(Product_Master!$C$2:$C$30,MATCH($H195,Product_Master!$A$2:$A$30,0)),0)</f>
        <v>822.7</v>
      </c>
      <c r="K195" s="5">
        <f>Sales_Data!E192</f>
        <v>1</v>
      </c>
      <c r="L195" s="5">
        <f>Sales_Data!F192</f>
        <v>857.45</v>
      </c>
      <c r="M195" s="5">
        <f>Sales_Data!G192</f>
        <v>933.76</v>
      </c>
      <c r="N195" s="5" t="str">
        <f>IFERROR(INDEX(Branch_Master!$B$2:$B$9,MATCH($B195,Branch_Master!$A$2:$A$9,0)),"Not Found")</f>
        <v>Ahmedabad</v>
      </c>
      <c r="O195" s="5" t="str">
        <f>IFERROR(INDEX(Branch_Master!$C$2:$C$9,MATCH($B195,Branch_Master!$A$2:$A$9,0)),"Not Found")</f>
        <v>Gujarat</v>
      </c>
      <c r="P195" s="5">
        <f>IFERROR(INDEX(Targets!$B$2:$B$9,MATCH($B195,Targets!$A$2:$A$9,0)),0)</f>
        <v>1590000</v>
      </c>
      <c r="Q195" s="5" t="str">
        <f t="shared" si="4"/>
        <v>No</v>
      </c>
      <c r="R195" s="5" t="str">
        <f t="shared" si="5"/>
        <v>Mar</v>
      </c>
    </row>
    <row r="196" spans="1:18" ht="15" customHeight="1" x14ac:dyDescent="0.3">
      <c r="A196" s="5" t="str">
        <f>Sales_Data!A193</f>
        <v>2025-03-10</v>
      </c>
      <c r="B196" s="5" t="str">
        <f>Sales_Data!B193</f>
        <v>Kolkata Central</v>
      </c>
      <c r="C196" s="5" t="str">
        <f>Sales_Data!C193</f>
        <v>E028</v>
      </c>
      <c r="D196" s="5" t="str">
        <f>IFERROR(INDEX(Employee_Master!$B$2:$B$44,MATCH($C196,Employee_Master!$A$2:$A$44,0)),"Not Found")</f>
        <v>Sabrina Wright</v>
      </c>
      <c r="E196" s="5" t="str">
        <f>IFERROR(INDEX(Employee_Master!$C$2:$C$44,MATCH($C196,Employee_Master!$A$2:$A$44,0)),"Not Found")</f>
        <v>Customer Support</v>
      </c>
      <c r="F196" s="5" t="str">
        <f>IFERROR(INDEX(Employee_Master!$D$2:$D$44,MATCH($C196,Employee_Master!$A$2:$A$44,0)),"Not Found")</f>
        <v>Lisa Moore</v>
      </c>
      <c r="G196" s="5" t="str">
        <f>IFERROR(INDEX(Employee_Master!$E$2:$E$44,MATCH($C196,Employee_Master!$A$2:$A$44,0)),"Not Found")</f>
        <v>East</v>
      </c>
      <c r="H196" s="5" t="str">
        <f>Sales_Data!D193</f>
        <v>P026 - Yoga Mat</v>
      </c>
      <c r="I196" s="5" t="str">
        <f>IFERROR(INDEX(Product_Master!$B$2:$B$30,MATCH($H196,Product_Master!$A$2:$A$30,0)),"Invalid Product Code")</f>
        <v>Sports</v>
      </c>
      <c r="J196" s="5">
        <f>IFERROR(INDEX(Product_Master!$C$2:$C$30,MATCH($H196,Product_Master!$A$2:$A$30,0)),0)</f>
        <v>518.76</v>
      </c>
      <c r="K196" s="5">
        <f>Sales_Data!E193</f>
        <v>1</v>
      </c>
      <c r="L196" s="5">
        <f>Sales_Data!F193</f>
        <v>535.11</v>
      </c>
      <c r="M196" s="5">
        <f>Sales_Data!G193</f>
        <v>477.93</v>
      </c>
      <c r="N196" s="5" t="str">
        <f>IFERROR(INDEX(Branch_Master!$B$2:$B$9,MATCH($B196,Branch_Master!$A$2:$A$9,0)),"Not Found")</f>
        <v>Kolkata</v>
      </c>
      <c r="O196" s="5" t="str">
        <f>IFERROR(INDEX(Branch_Master!$C$2:$C$9,MATCH($B196,Branch_Master!$A$2:$A$9,0)),"Not Found")</f>
        <v>West Bengal</v>
      </c>
      <c r="P196" s="5">
        <f>IFERROR(INDEX(Targets!$B$2:$B$9,MATCH($B196,Targets!$A$2:$A$9,0)),0)</f>
        <v>1910000</v>
      </c>
      <c r="Q196" s="5" t="str">
        <f t="shared" si="4"/>
        <v>Yes</v>
      </c>
      <c r="R196" s="5" t="str">
        <f t="shared" si="5"/>
        <v>Mar</v>
      </c>
    </row>
    <row r="197" spans="1:18" ht="15" customHeight="1" x14ac:dyDescent="0.3">
      <c r="A197" s="5" t="str">
        <f>Sales_Data!A194</f>
        <v>2025-03-11</v>
      </c>
      <c r="B197" s="5" t="str">
        <f>Sales_Data!B194</f>
        <v>Pune East</v>
      </c>
      <c r="C197" s="5" t="str">
        <f>Sales_Data!C194</f>
        <v>E023</v>
      </c>
      <c r="D197" s="5" t="str">
        <f>IFERROR(INDEX(Employee_Master!$B$2:$B$44,MATCH($C197,Employee_Master!$A$2:$A$44,0)),"Not Found")</f>
        <v>Edward Jones</v>
      </c>
      <c r="E197" s="5" t="str">
        <f>IFERROR(INDEX(Employee_Master!$C$2:$C$44,MATCH($C197,Employee_Master!$A$2:$A$44,0)),"Not Found")</f>
        <v>Operations</v>
      </c>
      <c r="F197" s="5" t="str">
        <f>IFERROR(INDEX(Employee_Master!$D$2:$D$44,MATCH($C197,Employee_Master!$A$2:$A$44,0)),"Not Found")</f>
        <v>Jordan Matthews</v>
      </c>
      <c r="G197" s="5" t="str">
        <f>IFERROR(INDEX(Employee_Master!$E$2:$E$44,MATCH($C197,Employee_Master!$A$2:$A$44,0)),"Not Found")</f>
        <v>West</v>
      </c>
      <c r="H197" s="5" t="str">
        <f>Sales_Data!D194</f>
        <v>P006 - Laptop Stand</v>
      </c>
      <c r="I197" s="5" t="str">
        <f>IFERROR(INDEX(Product_Master!$B$2:$B$30,MATCH($H197,Product_Master!$A$2:$A$30,0)),"Invalid Product Code")</f>
        <v>Electronics</v>
      </c>
      <c r="J197" s="5">
        <f>IFERROR(INDEX(Product_Master!$C$2:$C$30,MATCH($H197,Product_Master!$A$2:$A$30,0)),0)</f>
        <v>393.96</v>
      </c>
      <c r="K197" s="5">
        <f>Sales_Data!E194</f>
        <v>1</v>
      </c>
      <c r="L197" s="5">
        <f>Sales_Data!F194</f>
        <v>371.7</v>
      </c>
      <c r="M197" s="5">
        <f>Sales_Data!G194</f>
        <v>375.61</v>
      </c>
      <c r="N197" s="5" t="str">
        <f>IFERROR(INDEX(Branch_Master!$B$2:$B$9,MATCH($B197,Branch_Master!$A$2:$A$9,0)),"Not Found")</f>
        <v>Pune</v>
      </c>
      <c r="O197" s="5" t="str">
        <f>IFERROR(INDEX(Branch_Master!$C$2:$C$9,MATCH($B197,Branch_Master!$A$2:$A$9,0)),"Not Found")</f>
        <v>Maharashtra</v>
      </c>
      <c r="P197" s="5">
        <f>IFERROR(INDEX(Targets!$B$2:$B$9,MATCH($B197,Targets!$A$2:$A$9,0)),0)</f>
        <v>1250000</v>
      </c>
      <c r="Q197" s="5" t="str">
        <f t="shared" ref="Q197:Q260" si="6">IF(L197&gt;=M197,"Yes","No")</f>
        <v>No</v>
      </c>
      <c r="R197" s="5" t="str">
        <f t="shared" ref="R197:R260" si="7">TEXT(A197,"MMM")</f>
        <v>Mar</v>
      </c>
    </row>
    <row r="198" spans="1:18" ht="15" customHeight="1" x14ac:dyDescent="0.3">
      <c r="A198" s="5" t="str">
        <f>Sales_Data!A195</f>
        <v>2025-03-11</v>
      </c>
      <c r="B198" s="5" t="str">
        <f>Sales_Data!B195</f>
        <v>Bangalore North</v>
      </c>
      <c r="C198" s="5" t="str">
        <f>Sales_Data!C195</f>
        <v>E006</v>
      </c>
      <c r="D198" s="5" t="str">
        <f>IFERROR(INDEX(Employee_Master!$B$2:$B$44,MATCH($C198,Employee_Master!$A$2:$A$44,0)),"Not Found")</f>
        <v>Dylan Jones</v>
      </c>
      <c r="E198" s="5" t="str">
        <f>IFERROR(INDEX(Employee_Master!$C$2:$C$44,MATCH($C198,Employee_Master!$A$2:$A$44,0)),"Not Found")</f>
        <v>Sales</v>
      </c>
      <c r="F198" s="5" t="str">
        <f>IFERROR(INDEX(Employee_Master!$D$2:$D$44,MATCH($C198,Employee_Master!$A$2:$A$44,0)),"Not Found")</f>
        <v>Jose Soto</v>
      </c>
      <c r="G198" s="5" t="str">
        <f>IFERROR(INDEX(Employee_Master!$E$2:$E$44,MATCH($C198,Employee_Master!$A$2:$A$44,0)),"Not Found")</f>
        <v>South</v>
      </c>
      <c r="H198" s="5" t="str">
        <f>Sales_Data!D195</f>
        <v>P007 - Cotton T-Shirt</v>
      </c>
      <c r="I198" s="5" t="str">
        <f>IFERROR(INDEX(Product_Master!$B$2:$B$30,MATCH($H198,Product_Master!$A$2:$A$30,0)),"Invalid Product Code")</f>
        <v>Apparel</v>
      </c>
      <c r="J198" s="5">
        <f>IFERROR(INDEX(Product_Master!$C$2:$C$30,MATCH($H198,Product_Master!$A$2:$A$30,0)),0)</f>
        <v>338.44</v>
      </c>
      <c r="K198" s="5">
        <f>Sales_Data!E195</f>
        <v>3</v>
      </c>
      <c r="L198" s="5">
        <f>Sales_Data!F195</f>
        <v>959.74</v>
      </c>
      <c r="M198" s="5">
        <f>Sales_Data!G195</f>
        <v>1155.53</v>
      </c>
      <c r="N198" s="5" t="str">
        <f>IFERROR(INDEX(Branch_Master!$B$2:$B$9,MATCH($B198,Branch_Master!$A$2:$A$9,0)),"Not Found")</f>
        <v>Bangalore</v>
      </c>
      <c r="O198" s="5" t="str">
        <f>IFERROR(INDEX(Branch_Master!$C$2:$C$9,MATCH($B198,Branch_Master!$A$2:$A$9,0)),"Not Found")</f>
        <v>Karnataka</v>
      </c>
      <c r="P198" s="5">
        <f>IFERROR(INDEX(Targets!$B$2:$B$9,MATCH($B198,Targets!$A$2:$A$9,0)),0)</f>
        <v>900000</v>
      </c>
      <c r="Q198" s="5" t="str">
        <f t="shared" si="6"/>
        <v>No</v>
      </c>
      <c r="R198" s="5" t="str">
        <f t="shared" si="7"/>
        <v>Mar</v>
      </c>
    </row>
    <row r="199" spans="1:18" ht="15" customHeight="1" x14ac:dyDescent="0.3">
      <c r="A199" s="5" t="str">
        <f>Sales_Data!A196</f>
        <v>2025-03-13</v>
      </c>
      <c r="B199" s="5" t="str">
        <f>Sales_Data!B196</f>
        <v>Ahmedabad West</v>
      </c>
      <c r="C199" s="5" t="str">
        <f>Sales_Data!C196</f>
        <v>E002</v>
      </c>
      <c r="D199" s="5" t="str">
        <f>IFERROR(INDEX(Employee_Master!$B$2:$B$44,MATCH($C199,Employee_Master!$A$2:$A$44,0)),"Not Found")</f>
        <v>Jeremiah Kirby</v>
      </c>
      <c r="E199" s="5" t="str">
        <f>IFERROR(INDEX(Employee_Master!$C$2:$C$44,MATCH($C199,Employee_Master!$A$2:$A$44,0)),"Not Found")</f>
        <v>Marketing</v>
      </c>
      <c r="F199" s="5" t="str">
        <f>IFERROR(INDEX(Employee_Master!$D$2:$D$44,MATCH($C199,Employee_Master!$A$2:$A$44,0)),"Not Found")</f>
        <v>Joseph Brown</v>
      </c>
      <c r="G199" s="5" t="str">
        <f>IFERROR(INDEX(Employee_Master!$E$2:$E$44,MATCH($C199,Employee_Master!$A$2:$A$44,0)),"Not Found")</f>
        <v>West</v>
      </c>
      <c r="H199" s="5" t="str">
        <f>Sales_Data!D196</f>
        <v>P017 - Basmati Rice 5kg</v>
      </c>
      <c r="I199" s="5" t="str">
        <f>IFERROR(INDEX(Product_Master!$B$2:$B$30,MATCH($H199,Product_Master!$A$2:$A$30,0)),"Invalid Product Code")</f>
        <v>Grocery</v>
      </c>
      <c r="J199" s="5">
        <f>IFERROR(INDEX(Product_Master!$C$2:$C$30,MATCH($H199,Product_Master!$A$2:$A$30,0)),0)</f>
        <v>825.33</v>
      </c>
      <c r="K199" s="5">
        <f>Sales_Data!E196</f>
        <v>12</v>
      </c>
      <c r="L199" s="5">
        <f>Sales_Data!F196</f>
        <v>9940.0400000000009</v>
      </c>
      <c r="M199" s="5">
        <f>Sales_Data!G196</f>
        <v>10432.49</v>
      </c>
      <c r="N199" s="5" t="str">
        <f>IFERROR(INDEX(Branch_Master!$B$2:$B$9,MATCH($B199,Branch_Master!$A$2:$A$9,0)),"Not Found")</f>
        <v>Ahmedabad</v>
      </c>
      <c r="O199" s="5" t="str">
        <f>IFERROR(INDEX(Branch_Master!$C$2:$C$9,MATCH($B199,Branch_Master!$A$2:$A$9,0)),"Not Found")</f>
        <v>Gujarat</v>
      </c>
      <c r="P199" s="5">
        <f>IFERROR(INDEX(Targets!$B$2:$B$9,MATCH($B199,Targets!$A$2:$A$9,0)),0)</f>
        <v>1590000</v>
      </c>
      <c r="Q199" s="5" t="str">
        <f t="shared" si="6"/>
        <v>No</v>
      </c>
      <c r="R199" s="5" t="str">
        <f t="shared" si="7"/>
        <v>Mar</v>
      </c>
    </row>
    <row r="200" spans="1:18" ht="15" customHeight="1" x14ac:dyDescent="0.3">
      <c r="A200" s="5" t="str">
        <f>Sales_Data!A197</f>
        <v>2025-03-13</v>
      </c>
      <c r="B200" s="5" t="str">
        <f>Sales_Data!B197</f>
        <v>Kolkata Central</v>
      </c>
      <c r="C200" s="5" t="str">
        <f>Sales_Data!C197</f>
        <v>E018</v>
      </c>
      <c r="D200" s="5" t="str">
        <f>IFERROR(INDEX(Employee_Master!$B$2:$B$44,MATCH($C200,Employee_Master!$A$2:$A$44,0)),"Not Found")</f>
        <v>Daniel Nelson</v>
      </c>
      <c r="E200" s="5" t="str">
        <f>IFERROR(INDEX(Employee_Master!$C$2:$C$44,MATCH($C200,Employee_Master!$A$2:$A$44,0)),"Not Found")</f>
        <v>Sales</v>
      </c>
      <c r="F200" s="5" t="str">
        <f>IFERROR(INDEX(Employee_Master!$D$2:$D$44,MATCH($C200,Employee_Master!$A$2:$A$44,0)),"Not Found")</f>
        <v>Lisa Moore</v>
      </c>
      <c r="G200" s="5" t="str">
        <f>IFERROR(INDEX(Employee_Master!$E$2:$E$44,MATCH($C200,Employee_Master!$A$2:$A$44,0)),"Not Found")</f>
        <v>East</v>
      </c>
      <c r="H200" s="5" t="str">
        <f>Sales_Data!D197</f>
        <v>P010 - Running Shoes</v>
      </c>
      <c r="I200" s="5" t="str">
        <f>IFERROR(INDEX(Product_Master!$B$2:$B$30,MATCH($H200,Product_Master!$A$2:$A$30,0)),"Invalid Product Code")</f>
        <v>Apparel</v>
      </c>
      <c r="J200" s="5">
        <f>IFERROR(INDEX(Product_Master!$C$2:$C$30,MATCH($H200,Product_Master!$A$2:$A$30,0)),0)</f>
        <v>233.71</v>
      </c>
      <c r="K200" s="5">
        <f>Sales_Data!E197</f>
        <v>11</v>
      </c>
      <c r="L200" s="5">
        <f>Sales_Data!F197</f>
        <v>2569.9899999999998</v>
      </c>
      <c r="M200" s="5">
        <f>Sales_Data!G197</f>
        <v>2766.81</v>
      </c>
      <c r="N200" s="5" t="str">
        <f>IFERROR(INDEX(Branch_Master!$B$2:$B$9,MATCH($B200,Branch_Master!$A$2:$A$9,0)),"Not Found")</f>
        <v>Kolkata</v>
      </c>
      <c r="O200" s="5" t="str">
        <f>IFERROR(INDEX(Branch_Master!$C$2:$C$9,MATCH($B200,Branch_Master!$A$2:$A$9,0)),"Not Found")</f>
        <v>West Bengal</v>
      </c>
      <c r="P200" s="5">
        <f>IFERROR(INDEX(Targets!$B$2:$B$9,MATCH($B200,Targets!$A$2:$A$9,0)),0)</f>
        <v>1910000</v>
      </c>
      <c r="Q200" s="5" t="str">
        <f t="shared" si="6"/>
        <v>No</v>
      </c>
      <c r="R200" s="5" t="str">
        <f t="shared" si="7"/>
        <v>Mar</v>
      </c>
    </row>
    <row r="201" spans="1:18" ht="15" customHeight="1" x14ac:dyDescent="0.3">
      <c r="A201" s="5" t="str">
        <f>Sales_Data!A198</f>
        <v>2025-03-14</v>
      </c>
      <c r="B201" s="5" t="str">
        <f>Sales_Data!B198</f>
        <v>Pune East</v>
      </c>
      <c r="C201" s="5" t="str">
        <f>Sales_Data!C198</f>
        <v>E034</v>
      </c>
      <c r="D201" s="5" t="str">
        <f>IFERROR(INDEX(Employee_Master!$B$2:$B$44,MATCH($C201,Employee_Master!$A$2:$A$44,0)),"Not Found")</f>
        <v>Elaine Thompson</v>
      </c>
      <c r="E201" s="5" t="str">
        <f>IFERROR(INDEX(Employee_Master!$C$2:$C$44,MATCH($C201,Employee_Master!$A$2:$A$44,0)),"Not Found")</f>
        <v>Marketing</v>
      </c>
      <c r="F201" s="5" t="str">
        <f>IFERROR(INDEX(Employee_Master!$D$2:$D$44,MATCH($C201,Employee_Master!$A$2:$A$44,0)),"Not Found")</f>
        <v>Jordan Matthews</v>
      </c>
      <c r="G201" s="5" t="str">
        <f>IFERROR(INDEX(Employee_Master!$E$2:$E$44,MATCH($C201,Employee_Master!$A$2:$A$44,0)),"Not Found")</f>
        <v>West</v>
      </c>
      <c r="H201" s="5" t="str">
        <f>Sales_Data!D198</f>
        <v>P009 - Formal Shirt</v>
      </c>
      <c r="I201" s="5" t="str">
        <f>IFERROR(INDEX(Product_Master!$B$2:$B$30,MATCH($H201,Product_Master!$A$2:$A$30,0)),"Invalid Product Code")</f>
        <v>Apparel</v>
      </c>
      <c r="J201" s="5">
        <f>IFERROR(INDEX(Product_Master!$C$2:$C$30,MATCH($H201,Product_Master!$A$2:$A$30,0)),0)</f>
        <v>661.65</v>
      </c>
      <c r="K201" s="5">
        <f>Sales_Data!E198</f>
        <v>8</v>
      </c>
      <c r="L201" s="5">
        <f>Sales_Data!F198</f>
        <v>5003.01</v>
      </c>
      <c r="M201" s="5">
        <f>Sales_Data!G198</f>
        <v>5892.95</v>
      </c>
      <c r="N201" s="5" t="str">
        <f>IFERROR(INDEX(Branch_Master!$B$2:$B$9,MATCH($B201,Branch_Master!$A$2:$A$9,0)),"Not Found")</f>
        <v>Pune</v>
      </c>
      <c r="O201" s="5" t="str">
        <f>IFERROR(INDEX(Branch_Master!$C$2:$C$9,MATCH($B201,Branch_Master!$A$2:$A$9,0)),"Not Found")</f>
        <v>Maharashtra</v>
      </c>
      <c r="P201" s="5">
        <f>IFERROR(INDEX(Targets!$B$2:$B$9,MATCH($B201,Targets!$A$2:$A$9,0)),0)</f>
        <v>1250000</v>
      </c>
      <c r="Q201" s="5" t="str">
        <f t="shared" si="6"/>
        <v>No</v>
      </c>
      <c r="R201" s="5" t="str">
        <f t="shared" si="7"/>
        <v>Mar</v>
      </c>
    </row>
    <row r="202" spans="1:18" ht="15" customHeight="1" x14ac:dyDescent="0.3">
      <c r="A202" s="5" t="str">
        <f>Sales_Data!A199</f>
        <v>2025-03-14</v>
      </c>
      <c r="B202" s="5" t="str">
        <f>Sales_Data!B199</f>
        <v>Ahmedabad West</v>
      </c>
      <c r="C202" s="5" t="str">
        <f>Sales_Data!C199</f>
        <v>E005</v>
      </c>
      <c r="D202" s="5" t="str">
        <f>IFERROR(INDEX(Employee_Master!$B$2:$B$44,MATCH($C202,Employee_Master!$A$2:$A$44,0)),"Not Found")</f>
        <v>Dr. Sara Zimmerman MD</v>
      </c>
      <c r="E202" s="5" t="str">
        <f>IFERROR(INDEX(Employee_Master!$C$2:$C$44,MATCH($C202,Employee_Master!$A$2:$A$44,0)),"Not Found")</f>
        <v>Operations</v>
      </c>
      <c r="F202" s="5" t="str">
        <f>IFERROR(INDEX(Employee_Master!$D$2:$D$44,MATCH($C202,Employee_Master!$A$2:$A$44,0)),"Not Found")</f>
        <v>Joseph Brown</v>
      </c>
      <c r="G202" s="5" t="str">
        <f>IFERROR(INDEX(Employee_Master!$E$2:$E$44,MATCH($C202,Employee_Master!$A$2:$A$44,0)),"Not Found")</f>
        <v>West</v>
      </c>
      <c r="H202" s="5" t="str">
        <f>Sales_Data!D199</f>
        <v>P025 - Lipstick Set</v>
      </c>
      <c r="I202" s="5" t="str">
        <f>IFERROR(INDEX(Product_Master!$B$2:$B$30,MATCH($H202,Product_Master!$A$2:$A$30,0)),"Invalid Product Code")</f>
        <v>Beauty</v>
      </c>
      <c r="J202" s="5">
        <f>IFERROR(INDEX(Product_Master!$C$2:$C$30,MATCH($H202,Product_Master!$A$2:$A$30,0)),0)</f>
        <v>765.9</v>
      </c>
      <c r="K202" s="5">
        <f>Sales_Data!E199</f>
        <v>1</v>
      </c>
      <c r="L202" s="5">
        <f>Sales_Data!F199</f>
        <v>840.04</v>
      </c>
      <c r="M202" s="5">
        <f>Sales_Data!G199</f>
        <v>789.28</v>
      </c>
      <c r="N202" s="5" t="str">
        <f>IFERROR(INDEX(Branch_Master!$B$2:$B$9,MATCH($B202,Branch_Master!$A$2:$A$9,0)),"Not Found")</f>
        <v>Ahmedabad</v>
      </c>
      <c r="O202" s="5" t="str">
        <f>IFERROR(INDEX(Branch_Master!$C$2:$C$9,MATCH($B202,Branch_Master!$A$2:$A$9,0)),"Not Found")</f>
        <v>Gujarat</v>
      </c>
      <c r="P202" s="5">
        <f>IFERROR(INDEX(Targets!$B$2:$B$9,MATCH($B202,Targets!$A$2:$A$9,0)),0)</f>
        <v>1590000</v>
      </c>
      <c r="Q202" s="5" t="str">
        <f t="shared" si="6"/>
        <v>Yes</v>
      </c>
      <c r="R202" s="5" t="str">
        <f t="shared" si="7"/>
        <v>Mar</v>
      </c>
    </row>
    <row r="203" spans="1:18" ht="15" customHeight="1" x14ac:dyDescent="0.3">
      <c r="A203" s="5" t="str">
        <f>Sales_Data!A200</f>
        <v>2025-03-14</v>
      </c>
      <c r="B203" s="5" t="str">
        <f>Sales_Data!B200</f>
        <v>Ahmedabad West</v>
      </c>
      <c r="C203" s="5" t="str">
        <f>Sales_Data!C200</f>
        <v>E002</v>
      </c>
      <c r="D203" s="5" t="str">
        <f>IFERROR(INDEX(Employee_Master!$B$2:$B$44,MATCH($C203,Employee_Master!$A$2:$A$44,0)),"Not Found")</f>
        <v>Jeremiah Kirby</v>
      </c>
      <c r="E203" s="5" t="str">
        <f>IFERROR(INDEX(Employee_Master!$C$2:$C$44,MATCH($C203,Employee_Master!$A$2:$A$44,0)),"Not Found")</f>
        <v>Marketing</v>
      </c>
      <c r="F203" s="5" t="str">
        <f>IFERROR(INDEX(Employee_Master!$D$2:$D$44,MATCH($C203,Employee_Master!$A$2:$A$44,0)),"Not Found")</f>
        <v>Joseph Brown</v>
      </c>
      <c r="G203" s="5" t="str">
        <f>IFERROR(INDEX(Employee_Master!$E$2:$E$44,MATCH($C203,Employee_Master!$A$2:$A$44,0)),"Not Found")</f>
        <v>West</v>
      </c>
      <c r="H203" s="5" t="str">
        <f>Sales_Data!D200</f>
        <v>P007 - Cotton T-Shirt</v>
      </c>
      <c r="I203" s="5" t="str">
        <f>IFERROR(INDEX(Product_Master!$B$2:$B$30,MATCH($H203,Product_Master!$A$2:$A$30,0)),"Invalid Product Code")</f>
        <v>Apparel</v>
      </c>
      <c r="J203" s="5">
        <f>IFERROR(INDEX(Product_Master!$C$2:$C$30,MATCH($H203,Product_Master!$A$2:$A$30,0)),0)</f>
        <v>338.44</v>
      </c>
      <c r="K203" s="5">
        <f>Sales_Data!E200</f>
        <v>2</v>
      </c>
      <c r="L203" s="5">
        <f>Sales_Data!F200</f>
        <v>674.41</v>
      </c>
      <c r="M203" s="5">
        <f>Sales_Data!G200</f>
        <v>632.49</v>
      </c>
      <c r="N203" s="5" t="str">
        <f>IFERROR(INDEX(Branch_Master!$B$2:$B$9,MATCH($B203,Branch_Master!$A$2:$A$9,0)),"Not Found")</f>
        <v>Ahmedabad</v>
      </c>
      <c r="O203" s="5" t="str">
        <f>IFERROR(INDEX(Branch_Master!$C$2:$C$9,MATCH($B203,Branch_Master!$A$2:$A$9,0)),"Not Found")</f>
        <v>Gujarat</v>
      </c>
      <c r="P203" s="5">
        <f>IFERROR(INDEX(Targets!$B$2:$B$9,MATCH($B203,Targets!$A$2:$A$9,0)),0)</f>
        <v>1590000</v>
      </c>
      <c r="Q203" s="5" t="str">
        <f t="shared" si="6"/>
        <v>Yes</v>
      </c>
      <c r="R203" s="5" t="str">
        <f t="shared" si="7"/>
        <v>Mar</v>
      </c>
    </row>
    <row r="204" spans="1:18" ht="15" customHeight="1" x14ac:dyDescent="0.3">
      <c r="A204" s="5" t="str">
        <f>Sales_Data!A201</f>
        <v>2025-03-14</v>
      </c>
      <c r="B204" s="5" t="str">
        <f>Sales_Data!B201</f>
        <v>Pune East</v>
      </c>
      <c r="C204" s="5" t="str">
        <f>Sales_Data!C201</f>
        <v>E022</v>
      </c>
      <c r="D204" s="5" t="str">
        <f>IFERROR(INDEX(Employee_Master!$B$2:$B$44,MATCH($C204,Employee_Master!$A$2:$A$44,0)),"Not Found")</f>
        <v>Cindy Green PhD</v>
      </c>
      <c r="E204" s="5" t="str">
        <f>IFERROR(INDEX(Employee_Master!$C$2:$C$44,MATCH($C204,Employee_Master!$A$2:$A$44,0)),"Not Found")</f>
        <v>Customer Support</v>
      </c>
      <c r="F204" s="5" t="str">
        <f>IFERROR(INDEX(Employee_Master!$D$2:$D$44,MATCH($C204,Employee_Master!$A$2:$A$44,0)),"Not Found")</f>
        <v>Jordan Matthews</v>
      </c>
      <c r="G204" s="5" t="str">
        <f>IFERROR(INDEX(Employee_Master!$E$2:$E$44,MATCH($C204,Employee_Master!$A$2:$A$44,0)),"Not Found")</f>
        <v>West</v>
      </c>
      <c r="H204" s="5" t="str">
        <f>Sales_Data!D201</f>
        <v>P017 - Basmati Rice 5kg</v>
      </c>
      <c r="I204" s="5" t="str">
        <f>IFERROR(INDEX(Product_Master!$B$2:$B$30,MATCH($H204,Product_Master!$A$2:$A$30,0)),"Invalid Product Code")</f>
        <v>Grocery</v>
      </c>
      <c r="J204" s="5">
        <f>IFERROR(INDEX(Product_Master!$C$2:$C$30,MATCH($H204,Product_Master!$A$2:$A$30,0)),0)</f>
        <v>825.33</v>
      </c>
      <c r="K204" s="5">
        <f>Sales_Data!E201</f>
        <v>5</v>
      </c>
      <c r="L204" s="5">
        <f>Sales_Data!F201</f>
        <v>4534.1000000000004</v>
      </c>
      <c r="M204" s="5">
        <f>Sales_Data!G201</f>
        <v>3587.9</v>
      </c>
      <c r="N204" s="5" t="str">
        <f>IFERROR(INDEX(Branch_Master!$B$2:$B$9,MATCH($B204,Branch_Master!$A$2:$A$9,0)),"Not Found")</f>
        <v>Pune</v>
      </c>
      <c r="O204" s="5" t="str">
        <f>IFERROR(INDEX(Branch_Master!$C$2:$C$9,MATCH($B204,Branch_Master!$A$2:$A$9,0)),"Not Found")</f>
        <v>Maharashtra</v>
      </c>
      <c r="P204" s="5">
        <f>IFERROR(INDEX(Targets!$B$2:$B$9,MATCH($B204,Targets!$A$2:$A$9,0)),0)</f>
        <v>1250000</v>
      </c>
      <c r="Q204" s="5" t="str">
        <f t="shared" si="6"/>
        <v>Yes</v>
      </c>
      <c r="R204" s="5" t="str">
        <f t="shared" si="7"/>
        <v>Mar</v>
      </c>
    </row>
    <row r="205" spans="1:18" ht="15" customHeight="1" x14ac:dyDescent="0.3">
      <c r="A205" s="5" t="str">
        <f>Sales_Data!A202</f>
        <v>2025-03-15</v>
      </c>
      <c r="B205" s="5" t="str">
        <f>Sales_Data!B202</f>
        <v>Chennai South</v>
      </c>
      <c r="C205" s="5" t="str">
        <f>Sales_Data!C202</f>
        <v>E019</v>
      </c>
      <c r="D205" s="5" t="str">
        <f>IFERROR(INDEX(Employee_Master!$B$2:$B$44,MATCH($C205,Employee_Master!$A$2:$A$44,0)),"Not Found")</f>
        <v>Regina Torres</v>
      </c>
      <c r="E205" s="5" t="str">
        <f>IFERROR(INDEX(Employee_Master!$C$2:$C$44,MATCH($C205,Employee_Master!$A$2:$A$44,0)),"Not Found")</f>
        <v>Operations</v>
      </c>
      <c r="F205" s="5" t="str">
        <f>IFERROR(INDEX(Employee_Master!$D$2:$D$44,MATCH($C205,Employee_Master!$A$2:$A$44,0)),"Not Found")</f>
        <v>Robert Steele</v>
      </c>
      <c r="G205" s="5" t="str">
        <f>IFERROR(INDEX(Employee_Master!$E$2:$E$44,MATCH($C205,Employee_Master!$A$2:$A$44,0)),"Not Found")</f>
        <v>South</v>
      </c>
      <c r="H205" s="5" t="str">
        <f>Sales_Data!D202</f>
        <v>P016 - Dinner Set</v>
      </c>
      <c r="I205" s="5" t="str">
        <f>IFERROR(INDEX(Product_Master!$B$2:$B$30,MATCH($H205,Product_Master!$A$2:$A$30,0)),"Invalid Product Code")</f>
        <v>Home &amp; Kitchen</v>
      </c>
      <c r="J205" s="5">
        <f>IFERROR(INDEX(Product_Master!$C$2:$C$30,MATCH($H205,Product_Master!$A$2:$A$30,0)),0)</f>
        <v>225.06</v>
      </c>
      <c r="K205" s="5">
        <f>Sales_Data!E202</f>
        <v>10</v>
      </c>
      <c r="L205" s="5">
        <f>Sales_Data!F202</f>
        <v>2066</v>
      </c>
      <c r="M205" s="5">
        <f>Sales_Data!G202</f>
        <v>2437.67</v>
      </c>
      <c r="N205" s="5" t="str">
        <f>IFERROR(INDEX(Branch_Master!$B$2:$B$9,MATCH($B205,Branch_Master!$A$2:$A$9,0)),"Not Found")</f>
        <v>Chennai</v>
      </c>
      <c r="O205" s="5" t="str">
        <f>IFERROR(INDEX(Branch_Master!$C$2:$C$9,MATCH($B205,Branch_Master!$A$2:$A$9,0)),"Not Found")</f>
        <v>Tamil Nadu</v>
      </c>
      <c r="P205" s="5">
        <f>IFERROR(INDEX(Targets!$B$2:$B$9,MATCH($B205,Targets!$A$2:$A$9,0)),0)</f>
        <v>1910000</v>
      </c>
      <c r="Q205" s="5" t="str">
        <f t="shared" si="6"/>
        <v>No</v>
      </c>
      <c r="R205" s="5" t="str">
        <f t="shared" si="7"/>
        <v>Mar</v>
      </c>
    </row>
    <row r="206" spans="1:18" ht="15" customHeight="1" x14ac:dyDescent="0.3">
      <c r="A206" s="5" t="str">
        <f>Sales_Data!A203</f>
        <v>2025-03-15</v>
      </c>
      <c r="B206" s="5" t="str">
        <f>Sales_Data!B203</f>
        <v>Bangalore North</v>
      </c>
      <c r="C206" s="5" t="str">
        <f>Sales_Data!C203</f>
        <v>E038</v>
      </c>
      <c r="D206" s="5" t="str">
        <f>IFERROR(INDEX(Employee_Master!$B$2:$B$44,MATCH($C206,Employee_Master!$A$2:$A$44,0)),"Not Found")</f>
        <v>Derrick Griffin</v>
      </c>
      <c r="E206" s="5" t="str">
        <f>IFERROR(INDEX(Employee_Master!$C$2:$C$44,MATCH($C206,Employee_Master!$A$2:$A$44,0)),"Not Found")</f>
        <v>Marketing</v>
      </c>
      <c r="F206" s="5" t="str">
        <f>IFERROR(INDEX(Employee_Master!$D$2:$D$44,MATCH($C206,Employee_Master!$A$2:$A$44,0)),"Not Found")</f>
        <v>Jose Soto</v>
      </c>
      <c r="G206" s="5" t="str">
        <f>IFERROR(INDEX(Employee_Master!$E$2:$E$44,MATCH($C206,Employee_Master!$A$2:$A$44,0)),"Not Found")</f>
        <v>South</v>
      </c>
      <c r="H206" s="5" t="str">
        <f>Sales_Data!D203</f>
        <v>P020 - Green Tea Pack</v>
      </c>
      <c r="I206" s="5" t="str">
        <f>IFERROR(INDEX(Product_Master!$B$2:$B$30,MATCH($H206,Product_Master!$A$2:$A$30,0)),"Invalid Product Code")</f>
        <v>Grocery</v>
      </c>
      <c r="J206" s="5">
        <f>IFERROR(INDEX(Product_Master!$C$2:$C$30,MATCH($H206,Product_Master!$A$2:$A$30,0)),0)</f>
        <v>305.39</v>
      </c>
      <c r="K206" s="5">
        <f>Sales_Data!E203</f>
        <v>10</v>
      </c>
      <c r="L206" s="5">
        <f>Sales_Data!F203</f>
        <v>3336.95</v>
      </c>
      <c r="M206" s="5">
        <f>Sales_Data!G203</f>
        <v>3248.91</v>
      </c>
      <c r="N206" s="5" t="str">
        <f>IFERROR(INDEX(Branch_Master!$B$2:$B$9,MATCH($B206,Branch_Master!$A$2:$A$9,0)),"Not Found")</f>
        <v>Bangalore</v>
      </c>
      <c r="O206" s="5" t="str">
        <f>IFERROR(INDEX(Branch_Master!$C$2:$C$9,MATCH($B206,Branch_Master!$A$2:$A$9,0)),"Not Found")</f>
        <v>Karnataka</v>
      </c>
      <c r="P206" s="5">
        <f>IFERROR(INDEX(Targets!$B$2:$B$9,MATCH($B206,Targets!$A$2:$A$9,0)),0)</f>
        <v>900000</v>
      </c>
      <c r="Q206" s="5" t="str">
        <f t="shared" si="6"/>
        <v>Yes</v>
      </c>
      <c r="R206" s="5" t="str">
        <f t="shared" si="7"/>
        <v>Mar</v>
      </c>
    </row>
    <row r="207" spans="1:18" ht="15" customHeight="1" x14ac:dyDescent="0.3">
      <c r="A207" s="5" t="str">
        <f>Sales_Data!A204</f>
        <v>2025-03-15</v>
      </c>
      <c r="B207" s="5" t="str">
        <f>Sales_Data!B204</f>
        <v>Kolkata Central</v>
      </c>
      <c r="C207" s="5" t="str">
        <f>Sales_Data!C204</f>
        <v>E029</v>
      </c>
      <c r="D207" s="5" t="str">
        <f>IFERROR(INDEX(Employee_Master!$B$2:$B$44,MATCH($C207,Employee_Master!$A$2:$A$44,0)),"Not Found")</f>
        <v>Patrick Shepard</v>
      </c>
      <c r="E207" s="5" t="str">
        <f>IFERROR(INDEX(Employee_Master!$C$2:$C$44,MATCH($C207,Employee_Master!$A$2:$A$44,0)),"Not Found")</f>
        <v>Sales</v>
      </c>
      <c r="F207" s="5" t="str">
        <f>IFERROR(INDEX(Employee_Master!$D$2:$D$44,MATCH($C207,Employee_Master!$A$2:$A$44,0)),"Not Found")</f>
        <v>Lisa Moore</v>
      </c>
      <c r="G207" s="5" t="str">
        <f>IFERROR(INDEX(Employee_Master!$E$2:$E$44,MATCH($C207,Employee_Master!$A$2:$A$44,0)),"Not Found")</f>
        <v>East</v>
      </c>
      <c r="H207" s="5" t="str">
        <f>Sales_Data!D204</f>
        <v>P018 - Cooking Oil 1L</v>
      </c>
      <c r="I207" s="5" t="str">
        <f>IFERROR(INDEX(Product_Master!$B$2:$B$30,MATCH($H207,Product_Master!$A$2:$A$30,0)),"Invalid Product Code")</f>
        <v>Grocery</v>
      </c>
      <c r="J207" s="5">
        <f>IFERROR(INDEX(Product_Master!$C$2:$C$30,MATCH($H207,Product_Master!$A$2:$A$30,0)),0)</f>
        <v>1483.63</v>
      </c>
      <c r="K207" s="5">
        <f>Sales_Data!E204</f>
        <v>10</v>
      </c>
      <c r="L207" s="5">
        <f>Sales_Data!F204</f>
        <v>14718.62</v>
      </c>
      <c r="M207" s="5">
        <f>Sales_Data!G204</f>
        <v>14090.48</v>
      </c>
      <c r="N207" s="5" t="str">
        <f>IFERROR(INDEX(Branch_Master!$B$2:$B$9,MATCH($B207,Branch_Master!$A$2:$A$9,0)),"Not Found")</f>
        <v>Kolkata</v>
      </c>
      <c r="O207" s="5" t="str">
        <f>IFERROR(INDEX(Branch_Master!$C$2:$C$9,MATCH($B207,Branch_Master!$A$2:$A$9,0)),"Not Found")</f>
        <v>West Bengal</v>
      </c>
      <c r="P207" s="5">
        <f>IFERROR(INDEX(Targets!$B$2:$B$9,MATCH($B207,Targets!$A$2:$A$9,0)),0)</f>
        <v>1910000</v>
      </c>
      <c r="Q207" s="5" t="str">
        <f t="shared" si="6"/>
        <v>Yes</v>
      </c>
      <c r="R207" s="5" t="str">
        <f t="shared" si="7"/>
        <v>Mar</v>
      </c>
    </row>
    <row r="208" spans="1:18" ht="15" customHeight="1" x14ac:dyDescent="0.3">
      <c r="A208" s="5" t="str">
        <f>Sales_Data!A205</f>
        <v>2025-03-15</v>
      </c>
      <c r="B208" s="5" t="str">
        <f>Sales_Data!B205</f>
        <v>Bangalore North</v>
      </c>
      <c r="C208" s="5" t="str">
        <f>Sales_Data!C205</f>
        <v>E038</v>
      </c>
      <c r="D208" s="5" t="str">
        <f>IFERROR(INDEX(Employee_Master!$B$2:$B$44,MATCH($C208,Employee_Master!$A$2:$A$44,0)),"Not Found")</f>
        <v>Derrick Griffin</v>
      </c>
      <c r="E208" s="5" t="str">
        <f>IFERROR(INDEX(Employee_Master!$C$2:$C$44,MATCH($C208,Employee_Master!$A$2:$A$44,0)),"Not Found")</f>
        <v>Marketing</v>
      </c>
      <c r="F208" s="5" t="str">
        <f>IFERROR(INDEX(Employee_Master!$D$2:$D$44,MATCH($C208,Employee_Master!$A$2:$A$44,0)),"Not Found")</f>
        <v>Jose Soto</v>
      </c>
      <c r="G208" s="5" t="str">
        <f>IFERROR(INDEX(Employee_Master!$E$2:$E$44,MATCH($C208,Employee_Master!$A$2:$A$44,0)),"Not Found")</f>
        <v>South</v>
      </c>
      <c r="H208" s="5" t="str">
        <f>Sales_Data!D205</f>
        <v>P010 - Running Shoes</v>
      </c>
      <c r="I208" s="5" t="str">
        <f>IFERROR(INDEX(Product_Master!$B$2:$B$30,MATCH($H208,Product_Master!$A$2:$A$30,0)),"Invalid Product Code")</f>
        <v>Apparel</v>
      </c>
      <c r="J208" s="5">
        <f>IFERROR(INDEX(Product_Master!$C$2:$C$30,MATCH($H208,Product_Master!$A$2:$A$30,0)),0)</f>
        <v>233.71</v>
      </c>
      <c r="K208" s="5">
        <f>Sales_Data!E205</f>
        <v>11</v>
      </c>
      <c r="L208" s="5">
        <f>Sales_Data!F205</f>
        <v>2332.6</v>
      </c>
      <c r="M208" s="5">
        <f>Sales_Data!G205</f>
        <v>2681.88</v>
      </c>
      <c r="N208" s="5" t="str">
        <f>IFERROR(INDEX(Branch_Master!$B$2:$B$9,MATCH($B208,Branch_Master!$A$2:$A$9,0)),"Not Found")</f>
        <v>Bangalore</v>
      </c>
      <c r="O208" s="5" t="str">
        <f>IFERROR(INDEX(Branch_Master!$C$2:$C$9,MATCH($B208,Branch_Master!$A$2:$A$9,0)),"Not Found")</f>
        <v>Karnataka</v>
      </c>
      <c r="P208" s="5">
        <f>IFERROR(INDEX(Targets!$B$2:$B$9,MATCH($B208,Targets!$A$2:$A$9,0)),0)</f>
        <v>900000</v>
      </c>
      <c r="Q208" s="5" t="str">
        <f t="shared" si="6"/>
        <v>No</v>
      </c>
      <c r="R208" s="5" t="str">
        <f t="shared" si="7"/>
        <v>Mar</v>
      </c>
    </row>
    <row r="209" spans="1:18" ht="15" customHeight="1" x14ac:dyDescent="0.3">
      <c r="A209" s="5" t="str">
        <f>Sales_Data!A206</f>
        <v>2025-03-15</v>
      </c>
      <c r="B209" s="5" t="str">
        <f>Sales_Data!B206</f>
        <v>Mumbai Central</v>
      </c>
      <c r="C209" s="5" t="str">
        <f>Sales_Data!C206</f>
        <v>E016</v>
      </c>
      <c r="D209" s="5" t="str">
        <f>IFERROR(INDEX(Employee_Master!$B$2:$B$44,MATCH($C209,Employee_Master!$A$2:$A$44,0)),"Not Found")</f>
        <v>Connor Dennis</v>
      </c>
      <c r="E209" s="5" t="str">
        <f>IFERROR(INDEX(Employee_Master!$C$2:$C$44,MATCH($C209,Employee_Master!$A$2:$A$44,0)),"Not Found")</f>
        <v>Sales</v>
      </c>
      <c r="F209" s="5" t="str">
        <f>IFERROR(INDEX(Employee_Master!$D$2:$D$44,MATCH($C209,Employee_Master!$A$2:$A$44,0)),"Not Found")</f>
        <v>Justin Glass</v>
      </c>
      <c r="G209" s="5" t="str">
        <f>IFERROR(INDEX(Employee_Master!$E$2:$E$44,MATCH($C209,Employee_Master!$A$2:$A$44,0)),"Not Found")</f>
        <v>West</v>
      </c>
      <c r="H209" s="5" t="str">
        <f>Sales_Data!D206</f>
        <v>P018 - Cooking Oil 1L</v>
      </c>
      <c r="I209" s="5" t="str">
        <f>IFERROR(INDEX(Product_Master!$B$2:$B$30,MATCH($H209,Product_Master!$A$2:$A$30,0)),"Invalid Product Code")</f>
        <v>Grocery</v>
      </c>
      <c r="J209" s="5">
        <f>IFERROR(INDEX(Product_Master!$C$2:$C$30,MATCH($H209,Product_Master!$A$2:$A$30,0)),0)</f>
        <v>1483.63</v>
      </c>
      <c r="K209" s="5">
        <f>Sales_Data!E206</f>
        <v>8</v>
      </c>
      <c r="L209" s="5">
        <f>Sales_Data!F206</f>
        <v>10801.49</v>
      </c>
      <c r="M209" s="5">
        <f>Sales_Data!G206</f>
        <v>11086.54</v>
      </c>
      <c r="N209" s="5" t="str">
        <f>IFERROR(INDEX(Branch_Master!$B$2:$B$9,MATCH($B209,Branch_Master!$A$2:$A$9,0)),"Not Found")</f>
        <v>Mumbai</v>
      </c>
      <c r="O209" s="5" t="str">
        <f>IFERROR(INDEX(Branch_Master!$C$2:$C$9,MATCH($B209,Branch_Master!$A$2:$A$9,0)),"Not Found")</f>
        <v>Maharashtra</v>
      </c>
      <c r="P209" s="5">
        <f>IFERROR(INDEX(Targets!$B$2:$B$9,MATCH($B209,Targets!$A$2:$A$9,0)),0)</f>
        <v>900000</v>
      </c>
      <c r="Q209" s="5" t="str">
        <f t="shared" si="6"/>
        <v>No</v>
      </c>
      <c r="R209" s="5" t="str">
        <f t="shared" si="7"/>
        <v>Mar</v>
      </c>
    </row>
    <row r="210" spans="1:18" ht="15" customHeight="1" x14ac:dyDescent="0.3">
      <c r="A210" s="5" t="str">
        <f>Sales_Data!A207</f>
        <v>2025-03-16</v>
      </c>
      <c r="B210" s="5" t="str">
        <f>Sales_Data!B207</f>
        <v>Ahmedabad West</v>
      </c>
      <c r="C210" s="5" t="str">
        <f>Sales_Data!C207</f>
        <v>E037</v>
      </c>
      <c r="D210" s="5" t="str">
        <f>IFERROR(INDEX(Employee_Master!$B$2:$B$44,MATCH($C210,Employee_Master!$A$2:$A$44,0)),"Not Found")</f>
        <v>Thomas Harris</v>
      </c>
      <c r="E210" s="5" t="str">
        <f>IFERROR(INDEX(Employee_Master!$C$2:$C$44,MATCH($C210,Employee_Master!$A$2:$A$44,0)),"Not Found")</f>
        <v>Customer Support</v>
      </c>
      <c r="F210" s="5" t="str">
        <f>IFERROR(INDEX(Employee_Master!$D$2:$D$44,MATCH($C210,Employee_Master!$A$2:$A$44,0)),"Not Found")</f>
        <v>Joseph Brown</v>
      </c>
      <c r="G210" s="5" t="str">
        <f>IFERROR(INDEX(Employee_Master!$E$2:$E$44,MATCH($C210,Employee_Master!$A$2:$A$44,0)),"Not Found")</f>
        <v>West</v>
      </c>
      <c r="H210" s="5" t="str">
        <f>Sales_Data!D207</f>
        <v>P003 - Bluetooth Speaker</v>
      </c>
      <c r="I210" s="5" t="str">
        <f>IFERROR(INDEX(Product_Master!$B$2:$B$30,MATCH($H210,Product_Master!$A$2:$A$30,0)),"Invalid Product Code")</f>
        <v>Electronics</v>
      </c>
      <c r="J210" s="5">
        <f>IFERROR(INDEX(Product_Master!$C$2:$C$30,MATCH($H210,Product_Master!$A$2:$A$30,0)),0)</f>
        <v>351.01</v>
      </c>
      <c r="K210" s="5">
        <f>Sales_Data!E207</f>
        <v>3</v>
      </c>
      <c r="L210" s="5">
        <f>Sales_Data!F207</f>
        <v>972.99</v>
      </c>
      <c r="M210" s="5">
        <f>Sales_Data!G207</f>
        <v>920.12</v>
      </c>
      <c r="N210" s="5" t="str">
        <f>IFERROR(INDEX(Branch_Master!$B$2:$B$9,MATCH($B210,Branch_Master!$A$2:$A$9,0)),"Not Found")</f>
        <v>Ahmedabad</v>
      </c>
      <c r="O210" s="5" t="str">
        <f>IFERROR(INDEX(Branch_Master!$C$2:$C$9,MATCH($B210,Branch_Master!$A$2:$A$9,0)),"Not Found")</f>
        <v>Gujarat</v>
      </c>
      <c r="P210" s="5">
        <f>IFERROR(INDEX(Targets!$B$2:$B$9,MATCH($B210,Targets!$A$2:$A$9,0)),0)</f>
        <v>1590000</v>
      </c>
      <c r="Q210" s="5" t="str">
        <f t="shared" si="6"/>
        <v>Yes</v>
      </c>
      <c r="R210" s="5" t="str">
        <f t="shared" si="7"/>
        <v>Mar</v>
      </c>
    </row>
    <row r="211" spans="1:18" ht="15" customHeight="1" x14ac:dyDescent="0.3">
      <c r="A211" s="5" t="str">
        <f>Sales_Data!A208</f>
        <v>2025-03-16</v>
      </c>
      <c r="B211" s="5" t="str">
        <f>Sales_Data!B208</f>
        <v>Ahmedabad West</v>
      </c>
      <c r="C211" s="5" t="str">
        <f>Sales_Data!C208</f>
        <v>E017</v>
      </c>
      <c r="D211" s="5" t="str">
        <f>IFERROR(INDEX(Employee_Master!$B$2:$B$44,MATCH($C211,Employee_Master!$A$2:$A$44,0)),"Not Found")</f>
        <v>Mathew Wilson</v>
      </c>
      <c r="E211" s="5" t="str">
        <f>IFERROR(INDEX(Employee_Master!$C$2:$C$44,MATCH($C211,Employee_Master!$A$2:$A$44,0)),"Not Found")</f>
        <v>Operations</v>
      </c>
      <c r="F211" s="5" t="str">
        <f>IFERROR(INDEX(Employee_Master!$D$2:$D$44,MATCH($C211,Employee_Master!$A$2:$A$44,0)),"Not Found")</f>
        <v>Joseph Brown</v>
      </c>
      <c r="G211" s="5" t="str">
        <f>IFERROR(INDEX(Employee_Master!$E$2:$E$44,MATCH($C211,Employee_Master!$A$2:$A$44,0)),"Not Found")</f>
        <v>West</v>
      </c>
      <c r="H211" s="5" t="str">
        <f>Sales_Data!D208</f>
        <v>P011 - Winter Jacket</v>
      </c>
      <c r="I211" s="5" t="str">
        <f>IFERROR(INDEX(Product_Master!$B$2:$B$30,MATCH($H211,Product_Master!$A$2:$A$30,0)),"Invalid Product Code")</f>
        <v>Apparel</v>
      </c>
      <c r="J211" s="5">
        <f>IFERROR(INDEX(Product_Master!$C$2:$C$30,MATCH($H211,Product_Master!$A$2:$A$30,0)),0)</f>
        <v>264.97000000000003</v>
      </c>
      <c r="K211" s="5">
        <f>Sales_Data!E208</f>
        <v>10</v>
      </c>
      <c r="L211" s="5">
        <f>Sales_Data!F208</f>
        <v>2467.81</v>
      </c>
      <c r="M211" s="5">
        <f>Sales_Data!G208</f>
        <v>2600.9899999999998</v>
      </c>
      <c r="N211" s="5" t="str">
        <f>IFERROR(INDEX(Branch_Master!$B$2:$B$9,MATCH($B211,Branch_Master!$A$2:$A$9,0)),"Not Found")</f>
        <v>Ahmedabad</v>
      </c>
      <c r="O211" s="5" t="str">
        <f>IFERROR(INDEX(Branch_Master!$C$2:$C$9,MATCH($B211,Branch_Master!$A$2:$A$9,0)),"Not Found")</f>
        <v>Gujarat</v>
      </c>
      <c r="P211" s="5">
        <f>IFERROR(INDEX(Targets!$B$2:$B$9,MATCH($B211,Targets!$A$2:$A$9,0)),0)</f>
        <v>1590000</v>
      </c>
      <c r="Q211" s="5" t="str">
        <f t="shared" si="6"/>
        <v>No</v>
      </c>
      <c r="R211" s="5" t="str">
        <f t="shared" si="7"/>
        <v>Mar</v>
      </c>
    </row>
    <row r="212" spans="1:18" ht="15" customHeight="1" x14ac:dyDescent="0.3">
      <c r="A212" s="5" t="str">
        <f>Sales_Data!A209</f>
        <v>2025-03-17</v>
      </c>
      <c r="B212" s="5" t="str">
        <f>Sales_Data!B209</f>
        <v>Hyderabad Hitech</v>
      </c>
      <c r="C212" s="5" t="str">
        <f>Sales_Data!C209</f>
        <v>E035</v>
      </c>
      <c r="D212" s="5" t="str">
        <f>IFERROR(INDEX(Employee_Master!$B$2:$B$44,MATCH($C212,Employee_Master!$A$2:$A$44,0)),"Not Found")</f>
        <v>Andrea Perez</v>
      </c>
      <c r="E212" s="5" t="str">
        <f>IFERROR(INDEX(Employee_Master!$C$2:$C$44,MATCH($C212,Employee_Master!$A$2:$A$44,0)),"Not Found")</f>
        <v>Sales</v>
      </c>
      <c r="F212" s="5" t="str">
        <f>IFERROR(INDEX(Employee_Master!$D$2:$D$44,MATCH($C212,Employee_Master!$A$2:$A$44,0)),"Not Found")</f>
        <v>Anna Turner</v>
      </c>
      <c r="G212" s="5" t="str">
        <f>IFERROR(INDEX(Employee_Master!$E$2:$E$44,MATCH($C212,Employee_Master!$A$2:$A$44,0)),"Not Found")</f>
        <v>South</v>
      </c>
      <c r="H212" s="5" t="str">
        <f>Sales_Data!D209</f>
        <v>P024 - Hair Serum</v>
      </c>
      <c r="I212" s="5" t="str">
        <f>IFERROR(INDEX(Product_Master!$B$2:$B$30,MATCH($H212,Product_Master!$A$2:$A$30,0)),"Invalid Product Code")</f>
        <v>Beauty</v>
      </c>
      <c r="J212" s="5">
        <f>IFERROR(INDEX(Product_Master!$C$2:$C$30,MATCH($H212,Product_Master!$A$2:$A$30,0)),0)</f>
        <v>1457.31</v>
      </c>
      <c r="K212" s="5">
        <f>Sales_Data!E209</f>
        <v>11</v>
      </c>
      <c r="L212" s="5">
        <f>Sales_Data!F209</f>
        <v>15809.98</v>
      </c>
      <c r="M212" s="5">
        <f>Sales_Data!G209</f>
        <v>17892.14</v>
      </c>
      <c r="N212" s="5" t="str">
        <f>IFERROR(INDEX(Branch_Master!$B$2:$B$9,MATCH($B212,Branch_Master!$A$2:$A$9,0)),"Not Found")</f>
        <v>Hyderabad</v>
      </c>
      <c r="O212" s="5" t="str">
        <f>IFERROR(INDEX(Branch_Master!$C$2:$C$9,MATCH($B212,Branch_Master!$A$2:$A$9,0)),"Not Found")</f>
        <v>Telangana</v>
      </c>
      <c r="P212" s="5">
        <f>IFERROR(INDEX(Targets!$B$2:$B$9,MATCH($B212,Targets!$A$2:$A$9,0)),0)</f>
        <v>1210000</v>
      </c>
      <c r="Q212" s="5" t="str">
        <f t="shared" si="6"/>
        <v>No</v>
      </c>
      <c r="R212" s="5" t="str">
        <f t="shared" si="7"/>
        <v>Mar</v>
      </c>
    </row>
    <row r="213" spans="1:18" ht="15" customHeight="1" x14ac:dyDescent="0.3">
      <c r="A213" s="5" t="str">
        <f>Sales_Data!A210</f>
        <v>2025-03-18</v>
      </c>
      <c r="B213" s="5" t="str">
        <f>Sales_Data!B210</f>
        <v>Ahmedabad West</v>
      </c>
      <c r="C213" s="5" t="str">
        <f>Sales_Data!C210</f>
        <v>E037</v>
      </c>
      <c r="D213" s="5" t="str">
        <f>IFERROR(INDEX(Employee_Master!$B$2:$B$44,MATCH($C213,Employee_Master!$A$2:$A$44,0)),"Not Found")</f>
        <v>Thomas Harris</v>
      </c>
      <c r="E213" s="5" t="str">
        <f>IFERROR(INDEX(Employee_Master!$C$2:$C$44,MATCH($C213,Employee_Master!$A$2:$A$44,0)),"Not Found")</f>
        <v>Customer Support</v>
      </c>
      <c r="F213" s="5" t="str">
        <f>IFERROR(INDEX(Employee_Master!$D$2:$D$44,MATCH($C213,Employee_Master!$A$2:$A$44,0)),"Not Found")</f>
        <v>Joseph Brown</v>
      </c>
      <c r="G213" s="5" t="str">
        <f>IFERROR(INDEX(Employee_Master!$E$2:$E$44,MATCH($C213,Employee_Master!$A$2:$A$44,0)),"Not Found")</f>
        <v>West</v>
      </c>
      <c r="H213" s="5" t="str">
        <f>Sales_Data!D210</f>
        <v>P013 - Mixer Grinder</v>
      </c>
      <c r="I213" s="5" t="str">
        <f>IFERROR(INDEX(Product_Master!$B$2:$B$30,MATCH($H213,Product_Master!$A$2:$A$30,0)),"Invalid Product Code")</f>
        <v>Home &amp; Kitchen</v>
      </c>
      <c r="J213" s="5">
        <f>IFERROR(INDEX(Product_Master!$C$2:$C$30,MATCH($H213,Product_Master!$A$2:$A$30,0)),0)</f>
        <v>798.53</v>
      </c>
      <c r="K213" s="5">
        <f>Sales_Data!E210</f>
        <v>9</v>
      </c>
      <c r="L213" s="5">
        <f>Sales_Data!F210</f>
        <v>7681.89</v>
      </c>
      <c r="M213" s="5">
        <f>Sales_Data!G210</f>
        <v>6793.51</v>
      </c>
      <c r="N213" s="5" t="str">
        <f>IFERROR(INDEX(Branch_Master!$B$2:$B$9,MATCH($B213,Branch_Master!$A$2:$A$9,0)),"Not Found")</f>
        <v>Ahmedabad</v>
      </c>
      <c r="O213" s="5" t="str">
        <f>IFERROR(INDEX(Branch_Master!$C$2:$C$9,MATCH($B213,Branch_Master!$A$2:$A$9,0)),"Not Found")</f>
        <v>Gujarat</v>
      </c>
      <c r="P213" s="5">
        <f>IFERROR(INDEX(Targets!$B$2:$B$9,MATCH($B213,Targets!$A$2:$A$9,0)),0)</f>
        <v>1590000</v>
      </c>
      <c r="Q213" s="5" t="str">
        <f t="shared" si="6"/>
        <v>Yes</v>
      </c>
      <c r="R213" s="5" t="str">
        <f t="shared" si="7"/>
        <v>Mar</v>
      </c>
    </row>
    <row r="214" spans="1:18" ht="15" customHeight="1" x14ac:dyDescent="0.3">
      <c r="A214" s="5" t="str">
        <f>Sales_Data!A211</f>
        <v>2025-03-19</v>
      </c>
      <c r="B214" s="5" t="str">
        <f>Sales_Data!B211</f>
        <v>Delhi NCR</v>
      </c>
      <c r="C214" s="5" t="str">
        <f>Sales_Data!C211</f>
        <v>E013</v>
      </c>
      <c r="D214" s="5" t="str">
        <f>IFERROR(INDEX(Employee_Master!$B$2:$B$44,MATCH($C214,Employee_Master!$A$2:$A$44,0)),"Not Found")</f>
        <v>Norma Wilson</v>
      </c>
      <c r="E214" s="5" t="str">
        <f>IFERROR(INDEX(Employee_Master!$C$2:$C$44,MATCH($C214,Employee_Master!$A$2:$A$44,0)),"Not Found")</f>
        <v>Customer Support</v>
      </c>
      <c r="F214" s="5" t="str">
        <f>IFERROR(INDEX(Employee_Master!$D$2:$D$44,MATCH($C214,Employee_Master!$A$2:$A$44,0)),"Not Found")</f>
        <v>William Oconnell</v>
      </c>
      <c r="G214" s="5" t="str">
        <f>IFERROR(INDEX(Employee_Master!$E$2:$E$44,MATCH($C214,Employee_Master!$A$2:$A$44,0)),"Not Found")</f>
        <v>North</v>
      </c>
      <c r="H214" s="5" t="str">
        <f>Sales_Data!D211</f>
        <v>P009 - Formal Shirt</v>
      </c>
      <c r="I214" s="5" t="str">
        <f>IFERROR(INDEX(Product_Master!$B$2:$B$30,MATCH($H214,Product_Master!$A$2:$A$30,0)),"Invalid Product Code")</f>
        <v>Apparel</v>
      </c>
      <c r="J214" s="5">
        <f>IFERROR(INDEX(Product_Master!$C$2:$C$30,MATCH($H214,Product_Master!$A$2:$A$30,0)),0)</f>
        <v>661.65</v>
      </c>
      <c r="K214" s="5">
        <f>Sales_Data!E211</f>
        <v>10</v>
      </c>
      <c r="L214" s="5">
        <f>Sales_Data!F211</f>
        <v>6707.59</v>
      </c>
      <c r="M214" s="5">
        <f>Sales_Data!G211</f>
        <v>6167.45</v>
      </c>
      <c r="N214" s="5" t="str">
        <f>IFERROR(INDEX(Branch_Master!$B$2:$B$9,MATCH($B214,Branch_Master!$A$2:$A$9,0)),"Not Found")</f>
        <v>New Delhi</v>
      </c>
      <c r="O214" s="5" t="str">
        <f>IFERROR(INDEX(Branch_Master!$C$2:$C$9,MATCH($B214,Branch_Master!$A$2:$A$9,0)),"Not Found")</f>
        <v>Delhi</v>
      </c>
      <c r="P214" s="5">
        <f>IFERROR(INDEX(Targets!$B$2:$B$9,MATCH($B214,Targets!$A$2:$A$9,0)),0)</f>
        <v>2070000</v>
      </c>
      <c r="Q214" s="5" t="str">
        <f t="shared" si="6"/>
        <v>Yes</v>
      </c>
      <c r="R214" s="5" t="str">
        <f t="shared" si="7"/>
        <v>Mar</v>
      </c>
    </row>
    <row r="215" spans="1:18" ht="15" customHeight="1" x14ac:dyDescent="0.3">
      <c r="A215" s="5" t="str">
        <f>Sales_Data!A212</f>
        <v>2025-03-19</v>
      </c>
      <c r="B215" s="5" t="str">
        <f>Sales_Data!B212</f>
        <v>Bangalore North</v>
      </c>
      <c r="C215" s="5" t="str">
        <f>Sales_Data!C212</f>
        <v>E003</v>
      </c>
      <c r="D215" s="5" t="str">
        <f>IFERROR(INDEX(Employee_Master!$B$2:$B$44,MATCH($C215,Employee_Master!$A$2:$A$44,0)),"Not Found")</f>
        <v>Margaret Porter</v>
      </c>
      <c r="E215" s="5" t="str">
        <f>IFERROR(INDEX(Employee_Master!$C$2:$C$44,MATCH($C215,Employee_Master!$A$2:$A$44,0)),"Not Found")</f>
        <v>Customer Support</v>
      </c>
      <c r="F215" s="5" t="str">
        <f>IFERROR(INDEX(Employee_Master!$D$2:$D$44,MATCH($C215,Employee_Master!$A$2:$A$44,0)),"Not Found")</f>
        <v>Jose Soto</v>
      </c>
      <c r="G215" s="5" t="str">
        <f>IFERROR(INDEX(Employee_Master!$E$2:$E$44,MATCH($C215,Employee_Master!$A$2:$A$44,0)),"Not Found")</f>
        <v>South</v>
      </c>
      <c r="H215" s="5" t="str">
        <f>Sales_Data!D212</f>
        <v>P007 - Cotton T-Shirt</v>
      </c>
      <c r="I215" s="5" t="str">
        <f>IFERROR(INDEX(Product_Master!$B$2:$B$30,MATCH($H215,Product_Master!$A$2:$A$30,0)),"Invalid Product Code")</f>
        <v>Apparel</v>
      </c>
      <c r="J215" s="5">
        <f>IFERROR(INDEX(Product_Master!$C$2:$C$30,MATCH($H215,Product_Master!$A$2:$A$30,0)),0)</f>
        <v>338.44</v>
      </c>
      <c r="K215" s="5">
        <f>Sales_Data!E212</f>
        <v>5</v>
      </c>
      <c r="L215" s="5">
        <f>Sales_Data!F212</f>
        <v>1661.97</v>
      </c>
      <c r="M215" s="5">
        <f>Sales_Data!G212</f>
        <v>1681.35</v>
      </c>
      <c r="N215" s="5" t="str">
        <f>IFERROR(INDEX(Branch_Master!$B$2:$B$9,MATCH($B215,Branch_Master!$A$2:$A$9,0)),"Not Found")</f>
        <v>Bangalore</v>
      </c>
      <c r="O215" s="5" t="str">
        <f>IFERROR(INDEX(Branch_Master!$C$2:$C$9,MATCH($B215,Branch_Master!$A$2:$A$9,0)),"Not Found")</f>
        <v>Karnataka</v>
      </c>
      <c r="P215" s="5">
        <f>IFERROR(INDEX(Targets!$B$2:$B$9,MATCH($B215,Targets!$A$2:$A$9,0)),0)</f>
        <v>900000</v>
      </c>
      <c r="Q215" s="5" t="str">
        <f t="shared" si="6"/>
        <v>No</v>
      </c>
      <c r="R215" s="5" t="str">
        <f t="shared" si="7"/>
        <v>Mar</v>
      </c>
    </row>
    <row r="216" spans="1:18" ht="15" customHeight="1" x14ac:dyDescent="0.3">
      <c r="A216" s="5" t="str">
        <f>Sales_Data!A213</f>
        <v>2025-03-20</v>
      </c>
      <c r="B216" s="5" t="str">
        <f>Sales_Data!B213</f>
        <v>Chennai South</v>
      </c>
      <c r="C216" s="5" t="str">
        <f>Sales_Data!C213</f>
        <v>E015</v>
      </c>
      <c r="D216" s="5" t="str">
        <f>IFERROR(INDEX(Employee_Master!$B$2:$B$44,MATCH($C216,Employee_Master!$A$2:$A$44,0)),"Not Found")</f>
        <v>Cassandra Hansen</v>
      </c>
      <c r="E216" s="5" t="str">
        <f>IFERROR(INDEX(Employee_Master!$C$2:$C$44,MATCH($C216,Employee_Master!$A$2:$A$44,0)),"Not Found")</f>
        <v>Customer Support</v>
      </c>
      <c r="F216" s="5" t="str">
        <f>IFERROR(INDEX(Employee_Master!$D$2:$D$44,MATCH($C216,Employee_Master!$A$2:$A$44,0)),"Not Found")</f>
        <v>Robert Steele</v>
      </c>
      <c r="G216" s="5" t="str">
        <f>IFERROR(INDEX(Employee_Master!$E$2:$E$44,MATCH($C216,Employee_Master!$A$2:$A$44,0)),"Not Found")</f>
        <v>South</v>
      </c>
      <c r="H216" s="5" t="str">
        <f>Sales_Data!D213</f>
        <v>P027 - Cricket Bat</v>
      </c>
      <c r="I216" s="5" t="str">
        <f>IFERROR(INDEX(Product_Master!$B$2:$B$30,MATCH($H216,Product_Master!$A$2:$A$30,0)),"Invalid Product Code")</f>
        <v>Sports</v>
      </c>
      <c r="J216" s="5">
        <f>IFERROR(INDEX(Product_Master!$C$2:$C$30,MATCH($H216,Product_Master!$A$2:$A$30,0)),0)</f>
        <v>822.7</v>
      </c>
      <c r="K216" s="5">
        <f>Sales_Data!E213</f>
        <v>10</v>
      </c>
      <c r="L216" s="5">
        <f>Sales_Data!F213</f>
        <v>7814.82</v>
      </c>
      <c r="M216" s="5">
        <f>Sales_Data!G213</f>
        <v>7461.4</v>
      </c>
      <c r="N216" s="5" t="str">
        <f>IFERROR(INDEX(Branch_Master!$B$2:$B$9,MATCH($B216,Branch_Master!$A$2:$A$9,0)),"Not Found")</f>
        <v>Chennai</v>
      </c>
      <c r="O216" s="5" t="str">
        <f>IFERROR(INDEX(Branch_Master!$C$2:$C$9,MATCH($B216,Branch_Master!$A$2:$A$9,0)),"Not Found")</f>
        <v>Tamil Nadu</v>
      </c>
      <c r="P216" s="5">
        <f>IFERROR(INDEX(Targets!$B$2:$B$9,MATCH($B216,Targets!$A$2:$A$9,0)),0)</f>
        <v>1910000</v>
      </c>
      <c r="Q216" s="5" t="str">
        <f t="shared" si="6"/>
        <v>Yes</v>
      </c>
      <c r="R216" s="5" t="str">
        <f t="shared" si="7"/>
        <v>Mar</v>
      </c>
    </row>
    <row r="217" spans="1:18" ht="15" customHeight="1" x14ac:dyDescent="0.3">
      <c r="A217" s="5" t="str">
        <f>Sales_Data!A214</f>
        <v>2025-03-21</v>
      </c>
      <c r="B217" s="5" t="str">
        <f>Sales_Data!B214</f>
        <v>Bangalore North</v>
      </c>
      <c r="C217" s="5" t="str">
        <f>Sales_Data!C214</f>
        <v>E004</v>
      </c>
      <c r="D217" s="5" t="str">
        <f>IFERROR(INDEX(Employee_Master!$B$2:$B$44,MATCH($C217,Employee_Master!$A$2:$A$44,0)),"Not Found")</f>
        <v>Judith Ramirez</v>
      </c>
      <c r="E217" s="5" t="str">
        <f>IFERROR(INDEX(Employee_Master!$C$2:$C$44,MATCH($C217,Employee_Master!$A$2:$A$44,0)),"Not Found")</f>
        <v>Sales</v>
      </c>
      <c r="F217" s="5" t="str">
        <f>IFERROR(INDEX(Employee_Master!$D$2:$D$44,MATCH($C217,Employee_Master!$A$2:$A$44,0)),"Not Found")</f>
        <v>Jose Soto</v>
      </c>
      <c r="G217" s="5" t="str">
        <f>IFERROR(INDEX(Employee_Master!$E$2:$E$44,MATCH($C217,Employee_Master!$A$2:$A$44,0)),"Not Found")</f>
        <v>South</v>
      </c>
      <c r="H217" s="5" t="str">
        <f>Sales_Data!D214</f>
        <v>P003 - Bluetooth Speaker</v>
      </c>
      <c r="I217" s="5" t="str">
        <f>IFERROR(INDEX(Product_Master!$B$2:$B$30,MATCH($H217,Product_Master!$A$2:$A$30,0)),"Invalid Product Code")</f>
        <v>Electronics</v>
      </c>
      <c r="J217" s="5">
        <f>IFERROR(INDEX(Product_Master!$C$2:$C$30,MATCH($H217,Product_Master!$A$2:$A$30,0)),0)</f>
        <v>351.01</v>
      </c>
      <c r="K217" s="5">
        <f>Sales_Data!E214</f>
        <v>8</v>
      </c>
      <c r="L217" s="5">
        <f>Sales_Data!F214</f>
        <v>3022</v>
      </c>
      <c r="M217" s="5">
        <f>Sales_Data!G214</f>
        <v>2623.97</v>
      </c>
      <c r="N217" s="5" t="str">
        <f>IFERROR(INDEX(Branch_Master!$B$2:$B$9,MATCH($B217,Branch_Master!$A$2:$A$9,0)),"Not Found")</f>
        <v>Bangalore</v>
      </c>
      <c r="O217" s="5" t="str">
        <f>IFERROR(INDEX(Branch_Master!$C$2:$C$9,MATCH($B217,Branch_Master!$A$2:$A$9,0)),"Not Found")</f>
        <v>Karnataka</v>
      </c>
      <c r="P217" s="5">
        <f>IFERROR(INDEX(Targets!$B$2:$B$9,MATCH($B217,Targets!$A$2:$A$9,0)),0)</f>
        <v>900000</v>
      </c>
      <c r="Q217" s="5" t="str">
        <f t="shared" si="6"/>
        <v>Yes</v>
      </c>
      <c r="R217" s="5" t="str">
        <f t="shared" si="7"/>
        <v>Mar</v>
      </c>
    </row>
    <row r="218" spans="1:18" ht="15" customHeight="1" x14ac:dyDescent="0.3">
      <c r="A218" s="5" t="str">
        <f>Sales_Data!A215</f>
        <v>2025-03-21</v>
      </c>
      <c r="B218" s="5" t="str">
        <f>Sales_Data!B215</f>
        <v>Bangalore North</v>
      </c>
      <c r="C218" s="5" t="str">
        <f>Sales_Data!C215</f>
        <v>E004</v>
      </c>
      <c r="D218" s="5" t="str">
        <f>IFERROR(INDEX(Employee_Master!$B$2:$B$44,MATCH($C218,Employee_Master!$A$2:$A$44,0)),"Not Found")</f>
        <v>Judith Ramirez</v>
      </c>
      <c r="E218" s="5" t="str">
        <f>IFERROR(INDEX(Employee_Master!$C$2:$C$44,MATCH($C218,Employee_Master!$A$2:$A$44,0)),"Not Found")</f>
        <v>Sales</v>
      </c>
      <c r="F218" s="5" t="str">
        <f>IFERROR(INDEX(Employee_Master!$D$2:$D$44,MATCH($C218,Employee_Master!$A$2:$A$44,0)),"Not Found")</f>
        <v>Jose Soto</v>
      </c>
      <c r="G218" s="5" t="str">
        <f>IFERROR(INDEX(Employee_Master!$E$2:$E$44,MATCH($C218,Employee_Master!$A$2:$A$44,0)),"Not Found")</f>
        <v>South</v>
      </c>
      <c r="H218" s="5" t="str">
        <f>Sales_Data!D215</f>
        <v>P015 - Water Bottle</v>
      </c>
      <c r="I218" s="5" t="str">
        <f>IFERROR(INDEX(Product_Master!$B$2:$B$30,MATCH($H218,Product_Master!$A$2:$A$30,0)),"Invalid Product Code")</f>
        <v>Home &amp; Kitchen</v>
      </c>
      <c r="J218" s="5">
        <f>IFERROR(INDEX(Product_Master!$C$2:$C$30,MATCH($H218,Product_Master!$A$2:$A$30,0)),0)</f>
        <v>197.57</v>
      </c>
      <c r="K218" s="5">
        <f>Sales_Data!E215</f>
        <v>4</v>
      </c>
      <c r="L218" s="5">
        <f>Sales_Data!F215</f>
        <v>724.74</v>
      </c>
      <c r="M218" s="5">
        <f>Sales_Data!G215</f>
        <v>804.59</v>
      </c>
      <c r="N218" s="5" t="str">
        <f>IFERROR(INDEX(Branch_Master!$B$2:$B$9,MATCH($B218,Branch_Master!$A$2:$A$9,0)),"Not Found")</f>
        <v>Bangalore</v>
      </c>
      <c r="O218" s="5" t="str">
        <f>IFERROR(INDEX(Branch_Master!$C$2:$C$9,MATCH($B218,Branch_Master!$A$2:$A$9,0)),"Not Found")</f>
        <v>Karnataka</v>
      </c>
      <c r="P218" s="5">
        <f>IFERROR(INDEX(Targets!$B$2:$B$9,MATCH($B218,Targets!$A$2:$A$9,0)),0)</f>
        <v>900000</v>
      </c>
      <c r="Q218" s="5" t="str">
        <f t="shared" si="6"/>
        <v>No</v>
      </c>
      <c r="R218" s="5" t="str">
        <f t="shared" si="7"/>
        <v>Mar</v>
      </c>
    </row>
    <row r="219" spans="1:18" ht="15" customHeight="1" x14ac:dyDescent="0.3">
      <c r="A219" s="5" t="str">
        <f>Sales_Data!A216</f>
        <v>2025-03-21</v>
      </c>
      <c r="B219" s="5" t="str">
        <f>Sales_Data!B216</f>
        <v>Bangalore North</v>
      </c>
      <c r="C219" s="5" t="str">
        <f>Sales_Data!C216</f>
        <v>E006</v>
      </c>
      <c r="D219" s="5" t="str">
        <f>IFERROR(INDEX(Employee_Master!$B$2:$B$44,MATCH($C219,Employee_Master!$A$2:$A$44,0)),"Not Found")</f>
        <v>Dylan Jones</v>
      </c>
      <c r="E219" s="5" t="str">
        <f>IFERROR(INDEX(Employee_Master!$C$2:$C$44,MATCH($C219,Employee_Master!$A$2:$A$44,0)),"Not Found")</f>
        <v>Sales</v>
      </c>
      <c r="F219" s="5" t="str">
        <f>IFERROR(INDEX(Employee_Master!$D$2:$D$44,MATCH($C219,Employee_Master!$A$2:$A$44,0)),"Not Found")</f>
        <v>Jose Soto</v>
      </c>
      <c r="G219" s="5" t="str">
        <f>IFERROR(INDEX(Employee_Master!$E$2:$E$44,MATCH($C219,Employee_Master!$A$2:$A$44,0)),"Not Found")</f>
        <v>South</v>
      </c>
      <c r="H219" s="5" t="str">
        <f>Sales_Data!D216</f>
        <v>P012 - Non-Stick Pan</v>
      </c>
      <c r="I219" s="5" t="str">
        <f>IFERROR(INDEX(Product_Master!$B$2:$B$30,MATCH($H219,Product_Master!$A$2:$A$30,0)),"Invalid Product Code")</f>
        <v>Home &amp; Kitchen</v>
      </c>
      <c r="J219" s="5">
        <f>IFERROR(INDEX(Product_Master!$C$2:$C$30,MATCH($H219,Product_Master!$A$2:$A$30,0)),0)</f>
        <v>353.18</v>
      </c>
      <c r="K219" s="5">
        <f>Sales_Data!E216</f>
        <v>3</v>
      </c>
      <c r="L219" s="5">
        <f>Sales_Data!F216</f>
        <v>1044.8699999999999</v>
      </c>
      <c r="M219" s="5">
        <f>Sales_Data!G216</f>
        <v>903.61</v>
      </c>
      <c r="N219" s="5" t="str">
        <f>IFERROR(INDEX(Branch_Master!$B$2:$B$9,MATCH($B219,Branch_Master!$A$2:$A$9,0)),"Not Found")</f>
        <v>Bangalore</v>
      </c>
      <c r="O219" s="5" t="str">
        <f>IFERROR(INDEX(Branch_Master!$C$2:$C$9,MATCH($B219,Branch_Master!$A$2:$A$9,0)),"Not Found")</f>
        <v>Karnataka</v>
      </c>
      <c r="P219" s="5">
        <f>IFERROR(INDEX(Targets!$B$2:$B$9,MATCH($B219,Targets!$A$2:$A$9,0)),0)</f>
        <v>900000</v>
      </c>
      <c r="Q219" s="5" t="str">
        <f t="shared" si="6"/>
        <v>Yes</v>
      </c>
      <c r="R219" s="5" t="str">
        <f t="shared" si="7"/>
        <v>Mar</v>
      </c>
    </row>
    <row r="220" spans="1:18" ht="15" customHeight="1" x14ac:dyDescent="0.3">
      <c r="A220" s="5" t="str">
        <f>Sales_Data!A217</f>
        <v>2025-03-22</v>
      </c>
      <c r="B220" s="5" t="str">
        <f>Sales_Data!B217</f>
        <v>Chennai South</v>
      </c>
      <c r="C220" s="5" t="str">
        <f>Sales_Data!C217</f>
        <v>E032</v>
      </c>
      <c r="D220" s="5" t="str">
        <f>IFERROR(INDEX(Employee_Master!$B$2:$B$44,MATCH($C220,Employee_Master!$A$2:$A$44,0)),"Not Found")</f>
        <v>Victor Allen</v>
      </c>
      <c r="E220" s="5" t="str">
        <f>IFERROR(INDEX(Employee_Master!$C$2:$C$44,MATCH($C220,Employee_Master!$A$2:$A$44,0)),"Not Found")</f>
        <v>Operations</v>
      </c>
      <c r="F220" s="5" t="str">
        <f>IFERROR(INDEX(Employee_Master!$D$2:$D$44,MATCH($C220,Employee_Master!$A$2:$A$44,0)),"Not Found")</f>
        <v>Robert Steele</v>
      </c>
      <c r="G220" s="5" t="str">
        <f>IFERROR(INDEX(Employee_Master!$E$2:$E$44,MATCH($C220,Employee_Master!$A$2:$A$44,0)),"Not Found")</f>
        <v>South</v>
      </c>
      <c r="H220" s="5" t="str">
        <f>Sales_Data!D217</f>
        <v>P004 - Power Bank</v>
      </c>
      <c r="I220" s="5" t="str">
        <f>IFERROR(INDEX(Product_Master!$B$2:$B$30,MATCH($H220,Product_Master!$A$2:$A$30,0)),"Invalid Product Code")</f>
        <v>Electronics</v>
      </c>
      <c r="J220" s="5">
        <f>IFERROR(INDEX(Product_Master!$C$2:$C$30,MATCH($H220,Product_Master!$A$2:$A$30,0)),0)</f>
        <v>76.91</v>
      </c>
      <c r="K220" s="5">
        <f>Sales_Data!E217</f>
        <v>10</v>
      </c>
      <c r="L220" s="5">
        <f>Sales_Data!F217</f>
        <v>701.72</v>
      </c>
      <c r="M220" s="5">
        <f>Sales_Data!G217</f>
        <v>873.27</v>
      </c>
      <c r="N220" s="5" t="str">
        <f>IFERROR(INDEX(Branch_Master!$B$2:$B$9,MATCH($B220,Branch_Master!$A$2:$A$9,0)),"Not Found")</f>
        <v>Chennai</v>
      </c>
      <c r="O220" s="5" t="str">
        <f>IFERROR(INDEX(Branch_Master!$C$2:$C$9,MATCH($B220,Branch_Master!$A$2:$A$9,0)),"Not Found")</f>
        <v>Tamil Nadu</v>
      </c>
      <c r="P220" s="5">
        <f>IFERROR(INDEX(Targets!$B$2:$B$9,MATCH($B220,Targets!$A$2:$A$9,0)),0)</f>
        <v>1910000</v>
      </c>
      <c r="Q220" s="5" t="str">
        <f t="shared" si="6"/>
        <v>No</v>
      </c>
      <c r="R220" s="5" t="str">
        <f t="shared" si="7"/>
        <v>Mar</v>
      </c>
    </row>
    <row r="221" spans="1:18" ht="15" customHeight="1" x14ac:dyDescent="0.3">
      <c r="A221" s="5" t="str">
        <f>Sales_Data!A218</f>
        <v>2025-03-22</v>
      </c>
      <c r="B221" s="5" t="str">
        <f>Sales_Data!B218</f>
        <v>Mumbai Central</v>
      </c>
      <c r="C221" s="5" t="str">
        <f>Sales_Data!C218</f>
        <v>E010</v>
      </c>
      <c r="D221" s="5" t="str">
        <f>IFERROR(INDEX(Employee_Master!$B$2:$B$44,MATCH($C221,Employee_Master!$A$2:$A$44,0)),"Not Found")</f>
        <v>William Sanders</v>
      </c>
      <c r="E221" s="5" t="str">
        <f>IFERROR(INDEX(Employee_Master!$C$2:$C$44,MATCH($C221,Employee_Master!$A$2:$A$44,0)),"Not Found")</f>
        <v>Sales</v>
      </c>
      <c r="F221" s="5" t="str">
        <f>IFERROR(INDEX(Employee_Master!$D$2:$D$44,MATCH($C221,Employee_Master!$A$2:$A$44,0)),"Not Found")</f>
        <v>Justin Glass</v>
      </c>
      <c r="G221" s="5" t="str">
        <f>IFERROR(INDEX(Employee_Master!$E$2:$E$44,MATCH($C221,Employee_Master!$A$2:$A$44,0)),"Not Found")</f>
        <v>West</v>
      </c>
      <c r="H221" s="5" t="str">
        <f>Sales_Data!D218</f>
        <v>P025 - Lipstick Set</v>
      </c>
      <c r="I221" s="5" t="str">
        <f>IFERROR(INDEX(Product_Master!$B$2:$B$30,MATCH($H221,Product_Master!$A$2:$A$30,0)),"Invalid Product Code")</f>
        <v>Beauty</v>
      </c>
      <c r="J221" s="5">
        <f>IFERROR(INDEX(Product_Master!$C$2:$C$30,MATCH($H221,Product_Master!$A$2:$A$30,0)),0)</f>
        <v>765.9</v>
      </c>
      <c r="K221" s="5">
        <f>Sales_Data!E218</f>
        <v>10</v>
      </c>
      <c r="L221" s="5">
        <f>Sales_Data!F218</f>
        <v>7390.58</v>
      </c>
      <c r="M221" s="5">
        <f>Sales_Data!G218</f>
        <v>8179.61</v>
      </c>
      <c r="N221" s="5" t="str">
        <f>IFERROR(INDEX(Branch_Master!$B$2:$B$9,MATCH($B221,Branch_Master!$A$2:$A$9,0)),"Not Found")</f>
        <v>Mumbai</v>
      </c>
      <c r="O221" s="5" t="str">
        <f>IFERROR(INDEX(Branch_Master!$C$2:$C$9,MATCH($B221,Branch_Master!$A$2:$A$9,0)),"Not Found")</f>
        <v>Maharashtra</v>
      </c>
      <c r="P221" s="5">
        <f>IFERROR(INDEX(Targets!$B$2:$B$9,MATCH($B221,Targets!$A$2:$A$9,0)),0)</f>
        <v>900000</v>
      </c>
      <c r="Q221" s="5" t="str">
        <f t="shared" si="6"/>
        <v>No</v>
      </c>
      <c r="R221" s="5" t="str">
        <f t="shared" si="7"/>
        <v>Mar</v>
      </c>
    </row>
    <row r="222" spans="1:18" ht="15" customHeight="1" x14ac:dyDescent="0.3">
      <c r="A222" s="5" t="str">
        <f>Sales_Data!A219</f>
        <v>2025-03-22</v>
      </c>
      <c r="B222" s="5" t="str">
        <f>Sales_Data!B219</f>
        <v>Kolkata Central</v>
      </c>
      <c r="C222" s="5" t="str">
        <f>Sales_Data!C219</f>
        <v>E024</v>
      </c>
      <c r="D222" s="5" t="str">
        <f>IFERROR(INDEX(Employee_Master!$B$2:$B$44,MATCH($C222,Employee_Master!$A$2:$A$44,0)),"Not Found")</f>
        <v>Kevin Sanchez</v>
      </c>
      <c r="E222" s="5" t="str">
        <f>IFERROR(INDEX(Employee_Master!$C$2:$C$44,MATCH($C222,Employee_Master!$A$2:$A$44,0)),"Not Found")</f>
        <v>Sales</v>
      </c>
      <c r="F222" s="5" t="str">
        <f>IFERROR(INDEX(Employee_Master!$D$2:$D$44,MATCH($C222,Employee_Master!$A$2:$A$44,0)),"Not Found")</f>
        <v>Lisa Moore</v>
      </c>
      <c r="G222" s="5" t="str">
        <f>IFERROR(INDEX(Employee_Master!$E$2:$E$44,MATCH($C222,Employee_Master!$A$2:$A$44,0)),"Not Found")</f>
        <v>East</v>
      </c>
      <c r="H222" s="5" t="str">
        <f>Sales_Data!D219</f>
        <v>P025 - Lipstick Set</v>
      </c>
      <c r="I222" s="5" t="str">
        <f>IFERROR(INDEX(Product_Master!$B$2:$B$30,MATCH($H222,Product_Master!$A$2:$A$30,0)),"Invalid Product Code")</f>
        <v>Beauty</v>
      </c>
      <c r="J222" s="5">
        <f>IFERROR(INDEX(Product_Master!$C$2:$C$30,MATCH($H222,Product_Master!$A$2:$A$30,0)),0)</f>
        <v>765.9</v>
      </c>
      <c r="K222" s="5">
        <f>Sales_Data!E219</f>
        <v>6</v>
      </c>
      <c r="L222" s="5">
        <f>Sales_Data!F219</f>
        <v>4268.8900000000003</v>
      </c>
      <c r="M222" s="5">
        <f>Sales_Data!G219</f>
        <v>5158.0200000000004</v>
      </c>
      <c r="N222" s="5" t="str">
        <f>IFERROR(INDEX(Branch_Master!$B$2:$B$9,MATCH($B222,Branch_Master!$A$2:$A$9,0)),"Not Found")</f>
        <v>Kolkata</v>
      </c>
      <c r="O222" s="5" t="str">
        <f>IFERROR(INDEX(Branch_Master!$C$2:$C$9,MATCH($B222,Branch_Master!$A$2:$A$9,0)),"Not Found")</f>
        <v>West Bengal</v>
      </c>
      <c r="P222" s="5">
        <f>IFERROR(INDEX(Targets!$B$2:$B$9,MATCH($B222,Targets!$A$2:$A$9,0)),0)</f>
        <v>1910000</v>
      </c>
      <c r="Q222" s="5" t="str">
        <f t="shared" si="6"/>
        <v>No</v>
      </c>
      <c r="R222" s="5" t="str">
        <f t="shared" si="7"/>
        <v>Mar</v>
      </c>
    </row>
    <row r="223" spans="1:18" ht="15" customHeight="1" x14ac:dyDescent="0.3">
      <c r="A223" s="5" t="str">
        <f>Sales_Data!A220</f>
        <v>2025-03-22</v>
      </c>
      <c r="B223" s="5" t="str">
        <f>Sales_Data!B220</f>
        <v>Pune East</v>
      </c>
      <c r="C223" s="5" t="str">
        <f>Sales_Data!C220</f>
        <v>E022</v>
      </c>
      <c r="D223" s="5" t="str">
        <f>IFERROR(INDEX(Employee_Master!$B$2:$B$44,MATCH($C223,Employee_Master!$A$2:$A$44,0)),"Not Found")</f>
        <v>Cindy Green PhD</v>
      </c>
      <c r="E223" s="5" t="str">
        <f>IFERROR(INDEX(Employee_Master!$C$2:$C$44,MATCH($C223,Employee_Master!$A$2:$A$44,0)),"Not Found")</f>
        <v>Customer Support</v>
      </c>
      <c r="F223" s="5" t="str">
        <f>IFERROR(INDEX(Employee_Master!$D$2:$D$44,MATCH($C223,Employee_Master!$A$2:$A$44,0)),"Not Found")</f>
        <v>Jordan Matthews</v>
      </c>
      <c r="G223" s="5" t="str">
        <f>IFERROR(INDEX(Employee_Master!$E$2:$E$44,MATCH($C223,Employee_Master!$A$2:$A$44,0)),"Not Found")</f>
        <v>West</v>
      </c>
      <c r="H223" s="5" t="str">
        <f>Sales_Data!D220</f>
        <v>P001 - Wireless Earbuds</v>
      </c>
      <c r="I223" s="5" t="str">
        <f>IFERROR(INDEX(Product_Master!$B$2:$B$30,MATCH($H223,Product_Master!$A$2:$A$30,0)),"Invalid Product Code")</f>
        <v>Electronics</v>
      </c>
      <c r="J223" s="5">
        <f>IFERROR(INDEX(Product_Master!$C$2:$C$30,MATCH($H223,Product_Master!$A$2:$A$30,0)),0)</f>
        <v>1676.76</v>
      </c>
      <c r="K223" s="5">
        <f>Sales_Data!E220</f>
        <v>8</v>
      </c>
      <c r="L223" s="5">
        <f>Sales_Data!F220</f>
        <v>13669.04</v>
      </c>
      <c r="M223" s="5">
        <f>Sales_Data!G220</f>
        <v>14355.34</v>
      </c>
      <c r="N223" s="5" t="str">
        <f>IFERROR(INDEX(Branch_Master!$B$2:$B$9,MATCH($B223,Branch_Master!$A$2:$A$9,0)),"Not Found")</f>
        <v>Pune</v>
      </c>
      <c r="O223" s="5" t="str">
        <f>IFERROR(INDEX(Branch_Master!$C$2:$C$9,MATCH($B223,Branch_Master!$A$2:$A$9,0)),"Not Found")</f>
        <v>Maharashtra</v>
      </c>
      <c r="P223" s="5">
        <f>IFERROR(INDEX(Targets!$B$2:$B$9,MATCH($B223,Targets!$A$2:$A$9,0)),0)</f>
        <v>1250000</v>
      </c>
      <c r="Q223" s="5" t="str">
        <f t="shared" si="6"/>
        <v>No</v>
      </c>
      <c r="R223" s="5" t="str">
        <f t="shared" si="7"/>
        <v>Mar</v>
      </c>
    </row>
    <row r="224" spans="1:18" ht="15" customHeight="1" x14ac:dyDescent="0.3">
      <c r="A224" s="5" t="str">
        <f>Sales_Data!A221</f>
        <v>2025-03-23</v>
      </c>
      <c r="B224" s="5" t="str">
        <f>Sales_Data!B221</f>
        <v>Delhi NCR</v>
      </c>
      <c r="C224" s="5" t="str">
        <f>Sales_Data!C221</f>
        <v>E031</v>
      </c>
      <c r="D224" s="5" t="str">
        <f>IFERROR(INDEX(Employee_Master!$B$2:$B$44,MATCH($C224,Employee_Master!$A$2:$A$44,0)),"Not Found")</f>
        <v>Jennifer Garcia</v>
      </c>
      <c r="E224" s="5" t="str">
        <f>IFERROR(INDEX(Employee_Master!$C$2:$C$44,MATCH($C224,Employee_Master!$A$2:$A$44,0)),"Not Found")</f>
        <v>Sales</v>
      </c>
      <c r="F224" s="5" t="str">
        <f>IFERROR(INDEX(Employee_Master!$D$2:$D$44,MATCH($C224,Employee_Master!$A$2:$A$44,0)),"Not Found")</f>
        <v>William Oconnell</v>
      </c>
      <c r="G224" s="5" t="str">
        <f>IFERROR(INDEX(Employee_Master!$E$2:$E$44,MATCH($C224,Employee_Master!$A$2:$A$44,0)),"Not Found")</f>
        <v>North</v>
      </c>
      <c r="H224" s="5" t="str">
        <f>Sales_Data!D221</f>
        <v>P005 - LED Monitor</v>
      </c>
      <c r="I224" s="5" t="str">
        <f>IFERROR(INDEX(Product_Master!$B$2:$B$30,MATCH($H224,Product_Master!$A$2:$A$30,0)),"Invalid Product Code")</f>
        <v>Electronics</v>
      </c>
      <c r="J224" s="5">
        <f>IFERROR(INDEX(Product_Master!$C$2:$C$30,MATCH($H224,Product_Master!$A$2:$A$30,0)),0)</f>
        <v>489.9</v>
      </c>
      <c r="K224" s="5">
        <f>Sales_Data!E221</f>
        <v>11</v>
      </c>
      <c r="L224" s="5">
        <f>Sales_Data!F221</f>
        <v>5326.63</v>
      </c>
      <c r="M224" s="5">
        <f>Sales_Data!G221</f>
        <v>5515.91</v>
      </c>
      <c r="N224" s="5" t="str">
        <f>IFERROR(INDEX(Branch_Master!$B$2:$B$9,MATCH($B224,Branch_Master!$A$2:$A$9,0)),"Not Found")</f>
        <v>New Delhi</v>
      </c>
      <c r="O224" s="5" t="str">
        <f>IFERROR(INDEX(Branch_Master!$C$2:$C$9,MATCH($B224,Branch_Master!$A$2:$A$9,0)),"Not Found")</f>
        <v>Delhi</v>
      </c>
      <c r="P224" s="5">
        <f>IFERROR(INDEX(Targets!$B$2:$B$9,MATCH($B224,Targets!$A$2:$A$9,0)),0)</f>
        <v>2070000</v>
      </c>
      <c r="Q224" s="5" t="str">
        <f t="shared" si="6"/>
        <v>No</v>
      </c>
      <c r="R224" s="5" t="str">
        <f t="shared" si="7"/>
        <v>Mar</v>
      </c>
    </row>
    <row r="225" spans="1:18" ht="15" customHeight="1" x14ac:dyDescent="0.3">
      <c r="A225" s="5" t="str">
        <f>Sales_Data!A222</f>
        <v>2025-03-23</v>
      </c>
      <c r="B225" s="5" t="str">
        <f>Sales_Data!B222</f>
        <v>Pune East</v>
      </c>
      <c r="C225" s="5" t="str">
        <f>Sales_Data!C222</f>
        <v>E034</v>
      </c>
      <c r="D225" s="5" t="str">
        <f>IFERROR(INDEX(Employee_Master!$B$2:$B$44,MATCH($C225,Employee_Master!$A$2:$A$44,0)),"Not Found")</f>
        <v>Elaine Thompson</v>
      </c>
      <c r="E225" s="5" t="str">
        <f>IFERROR(INDEX(Employee_Master!$C$2:$C$44,MATCH($C225,Employee_Master!$A$2:$A$44,0)),"Not Found")</f>
        <v>Marketing</v>
      </c>
      <c r="F225" s="5" t="str">
        <f>IFERROR(INDEX(Employee_Master!$D$2:$D$44,MATCH($C225,Employee_Master!$A$2:$A$44,0)),"Not Found")</f>
        <v>Jordan Matthews</v>
      </c>
      <c r="G225" s="5" t="str">
        <f>IFERROR(INDEX(Employee_Master!$E$2:$E$44,MATCH($C225,Employee_Master!$A$2:$A$44,0)),"Not Found")</f>
        <v>West</v>
      </c>
      <c r="H225" s="5" t="str">
        <f>Sales_Data!D222</f>
        <v>P016 - Dinner Set</v>
      </c>
      <c r="I225" s="5" t="str">
        <f>IFERROR(INDEX(Product_Master!$B$2:$B$30,MATCH($H225,Product_Master!$A$2:$A$30,0)),"Invalid Product Code")</f>
        <v>Home &amp; Kitchen</v>
      </c>
      <c r="J225" s="5">
        <f>IFERROR(INDEX(Product_Master!$C$2:$C$30,MATCH($H225,Product_Master!$A$2:$A$30,0)),0)</f>
        <v>225.06</v>
      </c>
      <c r="K225" s="5">
        <f>Sales_Data!E222</f>
        <v>2</v>
      </c>
      <c r="L225" s="5">
        <f>Sales_Data!F222</f>
        <v>453.09</v>
      </c>
      <c r="M225" s="5">
        <f>Sales_Data!G222</f>
        <v>473.91</v>
      </c>
      <c r="N225" s="5" t="str">
        <f>IFERROR(INDEX(Branch_Master!$B$2:$B$9,MATCH($B225,Branch_Master!$A$2:$A$9,0)),"Not Found")</f>
        <v>Pune</v>
      </c>
      <c r="O225" s="5" t="str">
        <f>IFERROR(INDEX(Branch_Master!$C$2:$C$9,MATCH($B225,Branch_Master!$A$2:$A$9,0)),"Not Found")</f>
        <v>Maharashtra</v>
      </c>
      <c r="P225" s="5">
        <f>IFERROR(INDEX(Targets!$B$2:$B$9,MATCH($B225,Targets!$A$2:$A$9,0)),0)</f>
        <v>1250000</v>
      </c>
      <c r="Q225" s="5" t="str">
        <f t="shared" si="6"/>
        <v>No</v>
      </c>
      <c r="R225" s="5" t="str">
        <f t="shared" si="7"/>
        <v>Mar</v>
      </c>
    </row>
    <row r="226" spans="1:18" ht="15" customHeight="1" x14ac:dyDescent="0.3">
      <c r="A226" s="5" t="str">
        <f>Sales_Data!A223</f>
        <v>2025-03-23</v>
      </c>
      <c r="B226" s="5" t="str">
        <f>Sales_Data!B223</f>
        <v>Chennai South</v>
      </c>
      <c r="C226" s="5" t="str">
        <f>Sales_Data!C223</f>
        <v>E019</v>
      </c>
      <c r="D226" s="5" t="str">
        <f>IFERROR(INDEX(Employee_Master!$B$2:$B$44,MATCH($C226,Employee_Master!$A$2:$A$44,0)),"Not Found")</f>
        <v>Regina Torres</v>
      </c>
      <c r="E226" s="5" t="str">
        <f>IFERROR(INDEX(Employee_Master!$C$2:$C$44,MATCH($C226,Employee_Master!$A$2:$A$44,0)),"Not Found")</f>
        <v>Operations</v>
      </c>
      <c r="F226" s="5" t="str">
        <f>IFERROR(INDEX(Employee_Master!$D$2:$D$44,MATCH($C226,Employee_Master!$A$2:$A$44,0)),"Not Found")</f>
        <v>Robert Steele</v>
      </c>
      <c r="G226" s="5" t="str">
        <f>IFERROR(INDEX(Employee_Master!$E$2:$E$44,MATCH($C226,Employee_Master!$A$2:$A$44,0)),"Not Found")</f>
        <v>South</v>
      </c>
      <c r="H226" s="5" t="str">
        <f>Sales_Data!D223</f>
        <v>P026 - Yoga Mat</v>
      </c>
      <c r="I226" s="5" t="str">
        <f>IFERROR(INDEX(Product_Master!$B$2:$B$30,MATCH($H226,Product_Master!$A$2:$A$30,0)),"Invalid Product Code")</f>
        <v>Sports</v>
      </c>
      <c r="J226" s="5">
        <f>IFERROR(INDEX(Product_Master!$C$2:$C$30,MATCH($H226,Product_Master!$A$2:$A$30,0)),0)</f>
        <v>518.76</v>
      </c>
      <c r="K226" s="5">
        <f>Sales_Data!E223</f>
        <v>9</v>
      </c>
      <c r="L226" s="5">
        <f>Sales_Data!F223</f>
        <v>4674.66</v>
      </c>
      <c r="M226" s="5">
        <f>Sales_Data!G223</f>
        <v>4701.53</v>
      </c>
      <c r="N226" s="5" t="str">
        <f>IFERROR(INDEX(Branch_Master!$B$2:$B$9,MATCH($B226,Branch_Master!$A$2:$A$9,0)),"Not Found")</f>
        <v>Chennai</v>
      </c>
      <c r="O226" s="5" t="str">
        <f>IFERROR(INDEX(Branch_Master!$C$2:$C$9,MATCH($B226,Branch_Master!$A$2:$A$9,0)),"Not Found")</f>
        <v>Tamil Nadu</v>
      </c>
      <c r="P226" s="5">
        <f>IFERROR(INDEX(Targets!$B$2:$B$9,MATCH($B226,Targets!$A$2:$A$9,0)),0)</f>
        <v>1910000</v>
      </c>
      <c r="Q226" s="5" t="str">
        <f t="shared" si="6"/>
        <v>No</v>
      </c>
      <c r="R226" s="5" t="str">
        <f t="shared" si="7"/>
        <v>Mar</v>
      </c>
    </row>
    <row r="227" spans="1:18" ht="15" customHeight="1" x14ac:dyDescent="0.3">
      <c r="A227" s="5" t="str">
        <f>Sales_Data!A224</f>
        <v>2025-03-25</v>
      </c>
      <c r="B227" s="5" t="str">
        <f>Sales_Data!B224</f>
        <v>Chennai South</v>
      </c>
      <c r="C227" s="5" t="str">
        <f>Sales_Data!C224</f>
        <v>E019</v>
      </c>
      <c r="D227" s="5" t="str">
        <f>IFERROR(INDEX(Employee_Master!$B$2:$B$44,MATCH($C227,Employee_Master!$A$2:$A$44,0)),"Not Found")</f>
        <v>Regina Torres</v>
      </c>
      <c r="E227" s="5" t="str">
        <f>IFERROR(INDEX(Employee_Master!$C$2:$C$44,MATCH($C227,Employee_Master!$A$2:$A$44,0)),"Not Found")</f>
        <v>Operations</v>
      </c>
      <c r="F227" s="5" t="str">
        <f>IFERROR(INDEX(Employee_Master!$D$2:$D$44,MATCH($C227,Employee_Master!$A$2:$A$44,0)),"Not Found")</f>
        <v>Robert Steele</v>
      </c>
      <c r="G227" s="5" t="str">
        <f>IFERROR(INDEX(Employee_Master!$E$2:$E$44,MATCH($C227,Employee_Master!$A$2:$A$44,0)),"Not Found")</f>
        <v>South</v>
      </c>
      <c r="H227" s="5" t="str">
        <f>Sales_Data!D224</f>
        <v>P002 - Smart Watch</v>
      </c>
      <c r="I227" s="5" t="str">
        <f>IFERROR(INDEX(Product_Master!$B$2:$B$30,MATCH($H227,Product_Master!$A$2:$A$30,0)),"Invalid Product Code")</f>
        <v>Electronics</v>
      </c>
      <c r="J227" s="5">
        <f>IFERROR(INDEX(Product_Master!$C$2:$C$30,MATCH($H227,Product_Master!$A$2:$A$30,0)),0)</f>
        <v>403.33</v>
      </c>
      <c r="K227" s="5">
        <f>Sales_Data!E224</f>
        <v>7</v>
      </c>
      <c r="L227" s="5">
        <f>Sales_Data!F224</f>
        <v>3069.87</v>
      </c>
      <c r="M227" s="5">
        <f>Sales_Data!G224</f>
        <v>2707</v>
      </c>
      <c r="N227" s="5" t="str">
        <f>IFERROR(INDEX(Branch_Master!$B$2:$B$9,MATCH($B227,Branch_Master!$A$2:$A$9,0)),"Not Found")</f>
        <v>Chennai</v>
      </c>
      <c r="O227" s="5" t="str">
        <f>IFERROR(INDEX(Branch_Master!$C$2:$C$9,MATCH($B227,Branch_Master!$A$2:$A$9,0)),"Not Found")</f>
        <v>Tamil Nadu</v>
      </c>
      <c r="P227" s="5">
        <f>IFERROR(INDEX(Targets!$B$2:$B$9,MATCH($B227,Targets!$A$2:$A$9,0)),0)</f>
        <v>1910000</v>
      </c>
      <c r="Q227" s="5" t="str">
        <f t="shared" si="6"/>
        <v>Yes</v>
      </c>
      <c r="R227" s="5" t="str">
        <f t="shared" si="7"/>
        <v>Mar</v>
      </c>
    </row>
    <row r="228" spans="1:18" ht="15" customHeight="1" x14ac:dyDescent="0.3">
      <c r="A228" s="5" t="str">
        <f>Sales_Data!A225</f>
        <v>2025-03-25</v>
      </c>
      <c r="B228" s="5" t="str">
        <f>Sales_Data!B225</f>
        <v>Mumbai Central</v>
      </c>
      <c r="C228" s="5" t="str">
        <f>Sales_Data!C225</f>
        <v>E010</v>
      </c>
      <c r="D228" s="5" t="str">
        <f>IFERROR(INDEX(Employee_Master!$B$2:$B$44,MATCH($C228,Employee_Master!$A$2:$A$44,0)),"Not Found")</f>
        <v>William Sanders</v>
      </c>
      <c r="E228" s="5" t="str">
        <f>IFERROR(INDEX(Employee_Master!$C$2:$C$44,MATCH($C228,Employee_Master!$A$2:$A$44,0)),"Not Found")</f>
        <v>Sales</v>
      </c>
      <c r="F228" s="5" t="str">
        <f>IFERROR(INDEX(Employee_Master!$D$2:$D$44,MATCH($C228,Employee_Master!$A$2:$A$44,0)),"Not Found")</f>
        <v>Justin Glass</v>
      </c>
      <c r="G228" s="5" t="str">
        <f>IFERROR(INDEX(Employee_Master!$E$2:$E$44,MATCH($C228,Employee_Master!$A$2:$A$44,0)),"Not Found")</f>
        <v>West</v>
      </c>
      <c r="H228" s="5" t="str">
        <f>Sales_Data!D225</f>
        <v>P013 - Mixer Grinder</v>
      </c>
      <c r="I228" s="5" t="str">
        <f>IFERROR(INDEX(Product_Master!$B$2:$B$30,MATCH($H228,Product_Master!$A$2:$A$30,0)),"Invalid Product Code")</f>
        <v>Home &amp; Kitchen</v>
      </c>
      <c r="J228" s="5">
        <f>IFERROR(INDEX(Product_Master!$C$2:$C$30,MATCH($H228,Product_Master!$A$2:$A$30,0)),0)</f>
        <v>798.53</v>
      </c>
      <c r="K228" s="5">
        <f>Sales_Data!E225</f>
        <v>12</v>
      </c>
      <c r="L228" s="5">
        <f>Sales_Data!F225</f>
        <v>10200.61</v>
      </c>
      <c r="M228" s="5">
        <f>Sales_Data!G225</f>
        <v>10908.15</v>
      </c>
      <c r="N228" s="5" t="str">
        <f>IFERROR(INDEX(Branch_Master!$B$2:$B$9,MATCH($B228,Branch_Master!$A$2:$A$9,0)),"Not Found")</f>
        <v>Mumbai</v>
      </c>
      <c r="O228" s="5" t="str">
        <f>IFERROR(INDEX(Branch_Master!$C$2:$C$9,MATCH($B228,Branch_Master!$A$2:$A$9,0)),"Not Found")</f>
        <v>Maharashtra</v>
      </c>
      <c r="P228" s="5">
        <f>IFERROR(INDEX(Targets!$B$2:$B$9,MATCH($B228,Targets!$A$2:$A$9,0)),0)</f>
        <v>900000</v>
      </c>
      <c r="Q228" s="5" t="str">
        <f t="shared" si="6"/>
        <v>No</v>
      </c>
      <c r="R228" s="5" t="str">
        <f t="shared" si="7"/>
        <v>Mar</v>
      </c>
    </row>
    <row r="229" spans="1:18" ht="15" customHeight="1" x14ac:dyDescent="0.3">
      <c r="A229" s="5" t="str">
        <f>Sales_Data!A226</f>
        <v>2025-03-25</v>
      </c>
      <c r="B229" s="5" t="str">
        <f>Sales_Data!B226</f>
        <v>Ahmedabad West</v>
      </c>
      <c r="C229" s="5" t="str">
        <f>Sales_Data!C226</f>
        <v>E002</v>
      </c>
      <c r="D229" s="5" t="str">
        <f>IFERROR(INDEX(Employee_Master!$B$2:$B$44,MATCH($C229,Employee_Master!$A$2:$A$44,0)),"Not Found")</f>
        <v>Jeremiah Kirby</v>
      </c>
      <c r="E229" s="5" t="str">
        <f>IFERROR(INDEX(Employee_Master!$C$2:$C$44,MATCH($C229,Employee_Master!$A$2:$A$44,0)),"Not Found")</f>
        <v>Marketing</v>
      </c>
      <c r="F229" s="5" t="str">
        <f>IFERROR(INDEX(Employee_Master!$D$2:$D$44,MATCH($C229,Employee_Master!$A$2:$A$44,0)),"Not Found")</f>
        <v>Joseph Brown</v>
      </c>
      <c r="G229" s="5" t="str">
        <f>IFERROR(INDEX(Employee_Master!$E$2:$E$44,MATCH($C229,Employee_Master!$A$2:$A$44,0)),"Not Found")</f>
        <v>West</v>
      </c>
      <c r="H229" s="5" t="str">
        <f>Sales_Data!D226</f>
        <v>P013 - Mixer Grinder</v>
      </c>
      <c r="I229" s="5" t="str">
        <f>IFERROR(INDEX(Product_Master!$B$2:$B$30,MATCH($H229,Product_Master!$A$2:$A$30,0)),"Invalid Product Code")</f>
        <v>Home &amp; Kitchen</v>
      </c>
      <c r="J229" s="5">
        <f>IFERROR(INDEX(Product_Master!$C$2:$C$30,MATCH($H229,Product_Master!$A$2:$A$30,0)),0)</f>
        <v>798.53</v>
      </c>
      <c r="K229" s="5">
        <f>Sales_Data!E226</f>
        <v>4</v>
      </c>
      <c r="L229" s="5">
        <f>Sales_Data!F226</f>
        <v>3254.1</v>
      </c>
      <c r="M229" s="5">
        <f>Sales_Data!G226</f>
        <v>3442.88</v>
      </c>
      <c r="N229" s="5" t="str">
        <f>IFERROR(INDEX(Branch_Master!$B$2:$B$9,MATCH($B229,Branch_Master!$A$2:$A$9,0)),"Not Found")</f>
        <v>Ahmedabad</v>
      </c>
      <c r="O229" s="5" t="str">
        <f>IFERROR(INDEX(Branch_Master!$C$2:$C$9,MATCH($B229,Branch_Master!$A$2:$A$9,0)),"Not Found")</f>
        <v>Gujarat</v>
      </c>
      <c r="P229" s="5">
        <f>IFERROR(INDEX(Targets!$B$2:$B$9,MATCH($B229,Targets!$A$2:$A$9,0)),0)</f>
        <v>1590000</v>
      </c>
      <c r="Q229" s="5" t="str">
        <f t="shared" si="6"/>
        <v>No</v>
      </c>
      <c r="R229" s="5" t="str">
        <f t="shared" si="7"/>
        <v>Mar</v>
      </c>
    </row>
    <row r="230" spans="1:18" ht="15" customHeight="1" x14ac:dyDescent="0.3">
      <c r="A230" s="5" t="str">
        <f>Sales_Data!A227</f>
        <v>2025-03-25</v>
      </c>
      <c r="B230" s="5" t="str">
        <f>Sales_Data!B227</f>
        <v>Delhi NCR</v>
      </c>
      <c r="C230" s="5" t="str">
        <f>Sales_Data!C227</f>
        <v>E013</v>
      </c>
      <c r="D230" s="5" t="str">
        <f>IFERROR(INDEX(Employee_Master!$B$2:$B$44,MATCH($C230,Employee_Master!$A$2:$A$44,0)),"Not Found")</f>
        <v>Norma Wilson</v>
      </c>
      <c r="E230" s="5" t="str">
        <f>IFERROR(INDEX(Employee_Master!$C$2:$C$44,MATCH($C230,Employee_Master!$A$2:$A$44,0)),"Not Found")</f>
        <v>Customer Support</v>
      </c>
      <c r="F230" s="5" t="str">
        <f>IFERROR(INDEX(Employee_Master!$D$2:$D$44,MATCH($C230,Employee_Master!$A$2:$A$44,0)),"Not Found")</f>
        <v>William Oconnell</v>
      </c>
      <c r="G230" s="5" t="str">
        <f>IFERROR(INDEX(Employee_Master!$E$2:$E$44,MATCH($C230,Employee_Master!$A$2:$A$44,0)),"Not Found")</f>
        <v>North</v>
      </c>
      <c r="H230" s="5" t="str">
        <f>Sales_Data!D227</f>
        <v>P012 - Non-Stick Pan</v>
      </c>
      <c r="I230" s="5" t="str">
        <f>IFERROR(INDEX(Product_Master!$B$2:$B$30,MATCH($H230,Product_Master!$A$2:$A$30,0)),"Invalid Product Code")</f>
        <v>Home &amp; Kitchen</v>
      </c>
      <c r="J230" s="5">
        <f>IFERROR(INDEX(Product_Master!$C$2:$C$30,MATCH($H230,Product_Master!$A$2:$A$30,0)),0)</f>
        <v>353.18</v>
      </c>
      <c r="K230" s="5">
        <f>Sales_Data!E227</f>
        <v>2</v>
      </c>
      <c r="L230" s="5">
        <f>Sales_Data!F227</f>
        <v>656.59</v>
      </c>
      <c r="M230" s="5">
        <f>Sales_Data!G227</f>
        <v>634.79999999999995</v>
      </c>
      <c r="N230" s="5" t="str">
        <f>IFERROR(INDEX(Branch_Master!$B$2:$B$9,MATCH($B230,Branch_Master!$A$2:$A$9,0)),"Not Found")</f>
        <v>New Delhi</v>
      </c>
      <c r="O230" s="5" t="str">
        <f>IFERROR(INDEX(Branch_Master!$C$2:$C$9,MATCH($B230,Branch_Master!$A$2:$A$9,0)),"Not Found")</f>
        <v>Delhi</v>
      </c>
      <c r="P230" s="5">
        <f>IFERROR(INDEX(Targets!$B$2:$B$9,MATCH($B230,Targets!$A$2:$A$9,0)),0)</f>
        <v>2070000</v>
      </c>
      <c r="Q230" s="5" t="str">
        <f t="shared" si="6"/>
        <v>Yes</v>
      </c>
      <c r="R230" s="5" t="str">
        <f t="shared" si="7"/>
        <v>Mar</v>
      </c>
    </row>
    <row r="231" spans="1:18" ht="15" customHeight="1" x14ac:dyDescent="0.3">
      <c r="A231" s="5" t="str">
        <f>Sales_Data!A228</f>
        <v>2025-03-26</v>
      </c>
      <c r="B231" s="5" t="str">
        <f>Sales_Data!B228</f>
        <v>Bangalore North</v>
      </c>
      <c r="C231" s="5" t="str">
        <f>Sales_Data!C228</f>
        <v>E040</v>
      </c>
      <c r="D231" s="5" t="str">
        <f>IFERROR(INDEX(Employee_Master!$B$2:$B$44,MATCH($C231,Employee_Master!$A$2:$A$44,0)),"Not Found")</f>
        <v>Bonnie Cox</v>
      </c>
      <c r="E231" s="5" t="str">
        <f>IFERROR(INDEX(Employee_Master!$C$2:$C$44,MATCH($C231,Employee_Master!$A$2:$A$44,0)),"Not Found")</f>
        <v>Customer Support</v>
      </c>
      <c r="F231" s="5" t="str">
        <f>IFERROR(INDEX(Employee_Master!$D$2:$D$44,MATCH($C231,Employee_Master!$A$2:$A$44,0)),"Not Found")</f>
        <v>Jose Soto</v>
      </c>
      <c r="G231" s="5" t="str">
        <f>IFERROR(INDEX(Employee_Master!$E$2:$E$44,MATCH($C231,Employee_Master!$A$2:$A$44,0)),"Not Found")</f>
        <v>South</v>
      </c>
      <c r="H231" s="5" t="str">
        <f>Sales_Data!D228</f>
        <v>P018 - Cooking Oil 1L</v>
      </c>
      <c r="I231" s="5" t="str">
        <f>IFERROR(INDEX(Product_Master!$B$2:$B$30,MATCH($H231,Product_Master!$A$2:$A$30,0)),"Invalid Product Code")</f>
        <v>Grocery</v>
      </c>
      <c r="J231" s="5">
        <f>IFERROR(INDEX(Product_Master!$C$2:$C$30,MATCH($H231,Product_Master!$A$2:$A$30,0)),0)</f>
        <v>1483.63</v>
      </c>
      <c r="K231" s="5">
        <f>Sales_Data!E228</f>
        <v>2</v>
      </c>
      <c r="L231" s="5">
        <f>Sales_Data!F228</f>
        <v>2940.17</v>
      </c>
      <c r="M231" s="5">
        <f>Sales_Data!G228</f>
        <v>2881.26</v>
      </c>
      <c r="N231" s="5" t="str">
        <f>IFERROR(INDEX(Branch_Master!$B$2:$B$9,MATCH($B231,Branch_Master!$A$2:$A$9,0)),"Not Found")</f>
        <v>Bangalore</v>
      </c>
      <c r="O231" s="5" t="str">
        <f>IFERROR(INDEX(Branch_Master!$C$2:$C$9,MATCH($B231,Branch_Master!$A$2:$A$9,0)),"Not Found")</f>
        <v>Karnataka</v>
      </c>
      <c r="P231" s="5">
        <f>IFERROR(INDEX(Targets!$B$2:$B$9,MATCH($B231,Targets!$A$2:$A$9,0)),0)</f>
        <v>900000</v>
      </c>
      <c r="Q231" s="5" t="str">
        <f t="shared" si="6"/>
        <v>Yes</v>
      </c>
      <c r="R231" s="5" t="str">
        <f t="shared" si="7"/>
        <v>Mar</v>
      </c>
    </row>
    <row r="232" spans="1:18" ht="15" customHeight="1" x14ac:dyDescent="0.3">
      <c r="A232" s="5" t="str">
        <f>Sales_Data!A229</f>
        <v>2025-03-26</v>
      </c>
      <c r="B232" s="5" t="str">
        <f>Sales_Data!B229</f>
        <v>Kolkata Central</v>
      </c>
      <c r="C232" s="5" t="str">
        <f>Sales_Data!C229</f>
        <v>E029</v>
      </c>
      <c r="D232" s="5" t="str">
        <f>IFERROR(INDEX(Employee_Master!$B$2:$B$44,MATCH($C232,Employee_Master!$A$2:$A$44,0)),"Not Found")</f>
        <v>Patrick Shepard</v>
      </c>
      <c r="E232" s="5" t="str">
        <f>IFERROR(INDEX(Employee_Master!$C$2:$C$44,MATCH($C232,Employee_Master!$A$2:$A$44,0)),"Not Found")</f>
        <v>Sales</v>
      </c>
      <c r="F232" s="5" t="str">
        <f>IFERROR(INDEX(Employee_Master!$D$2:$D$44,MATCH($C232,Employee_Master!$A$2:$A$44,0)),"Not Found")</f>
        <v>Lisa Moore</v>
      </c>
      <c r="G232" s="5" t="str">
        <f>IFERROR(INDEX(Employee_Master!$E$2:$E$44,MATCH($C232,Employee_Master!$A$2:$A$44,0)),"Not Found")</f>
        <v>East</v>
      </c>
      <c r="H232" s="5" t="str">
        <f>Sales_Data!D229</f>
        <v>P021 - Assorted Spices Kit</v>
      </c>
      <c r="I232" s="5" t="str">
        <f>IFERROR(INDEX(Product_Master!$B$2:$B$30,MATCH($H232,Product_Master!$A$2:$A$30,0)),"Invalid Product Code")</f>
        <v>Grocery</v>
      </c>
      <c r="J232" s="5">
        <f>IFERROR(INDEX(Product_Master!$C$2:$C$30,MATCH($H232,Product_Master!$A$2:$A$30,0)),0)</f>
        <v>1060.97</v>
      </c>
      <c r="K232" s="5">
        <f>Sales_Data!E229</f>
        <v>1</v>
      </c>
      <c r="L232" s="5">
        <f>Sales_Data!F229</f>
        <v>1037.3499999999999</v>
      </c>
      <c r="M232" s="5">
        <f>Sales_Data!G229</f>
        <v>1213.3599999999999</v>
      </c>
      <c r="N232" s="5" t="str">
        <f>IFERROR(INDEX(Branch_Master!$B$2:$B$9,MATCH($B232,Branch_Master!$A$2:$A$9,0)),"Not Found")</f>
        <v>Kolkata</v>
      </c>
      <c r="O232" s="5" t="str">
        <f>IFERROR(INDEX(Branch_Master!$C$2:$C$9,MATCH($B232,Branch_Master!$A$2:$A$9,0)),"Not Found")</f>
        <v>West Bengal</v>
      </c>
      <c r="P232" s="5">
        <f>IFERROR(INDEX(Targets!$B$2:$B$9,MATCH($B232,Targets!$A$2:$A$9,0)),0)</f>
        <v>1910000</v>
      </c>
      <c r="Q232" s="5" t="str">
        <f t="shared" si="6"/>
        <v>No</v>
      </c>
      <c r="R232" s="5" t="str">
        <f t="shared" si="7"/>
        <v>Mar</v>
      </c>
    </row>
    <row r="233" spans="1:18" ht="15" customHeight="1" x14ac:dyDescent="0.3">
      <c r="A233" s="5" t="str">
        <f>Sales_Data!A230</f>
        <v>2025-03-26</v>
      </c>
      <c r="B233" s="5" t="str">
        <f>Sales_Data!B230</f>
        <v>Mumbai Central</v>
      </c>
      <c r="C233" s="5" t="str">
        <f>Sales_Data!C230</f>
        <v>E010</v>
      </c>
      <c r="D233" s="5" t="str">
        <f>IFERROR(INDEX(Employee_Master!$B$2:$B$44,MATCH($C233,Employee_Master!$A$2:$A$44,0)),"Not Found")</f>
        <v>William Sanders</v>
      </c>
      <c r="E233" s="5" t="str">
        <f>IFERROR(INDEX(Employee_Master!$C$2:$C$44,MATCH($C233,Employee_Master!$A$2:$A$44,0)),"Not Found")</f>
        <v>Sales</v>
      </c>
      <c r="F233" s="5" t="str">
        <f>IFERROR(INDEX(Employee_Master!$D$2:$D$44,MATCH($C233,Employee_Master!$A$2:$A$44,0)),"Not Found")</f>
        <v>Justin Glass</v>
      </c>
      <c r="G233" s="5" t="str">
        <f>IFERROR(INDEX(Employee_Master!$E$2:$E$44,MATCH($C233,Employee_Master!$A$2:$A$44,0)),"Not Found")</f>
        <v>West</v>
      </c>
      <c r="H233" s="5" t="str">
        <f>Sales_Data!D230</f>
        <v>P006 - Laptop Stand</v>
      </c>
      <c r="I233" s="5" t="str">
        <f>IFERROR(INDEX(Product_Master!$B$2:$B$30,MATCH($H233,Product_Master!$A$2:$A$30,0)),"Invalid Product Code")</f>
        <v>Electronics</v>
      </c>
      <c r="J233" s="5">
        <f>IFERROR(INDEX(Product_Master!$C$2:$C$30,MATCH($H233,Product_Master!$A$2:$A$30,0)),0)</f>
        <v>393.96</v>
      </c>
      <c r="K233" s="5">
        <f>Sales_Data!E230</f>
        <v>12</v>
      </c>
      <c r="L233" s="5">
        <f>Sales_Data!F230</f>
        <v>4426.8100000000004</v>
      </c>
      <c r="M233" s="5">
        <f>Sales_Data!G230</f>
        <v>4821.7700000000004</v>
      </c>
      <c r="N233" s="5" t="str">
        <f>IFERROR(INDEX(Branch_Master!$B$2:$B$9,MATCH($B233,Branch_Master!$A$2:$A$9,0)),"Not Found")</f>
        <v>Mumbai</v>
      </c>
      <c r="O233" s="5" t="str">
        <f>IFERROR(INDEX(Branch_Master!$C$2:$C$9,MATCH($B233,Branch_Master!$A$2:$A$9,0)),"Not Found")</f>
        <v>Maharashtra</v>
      </c>
      <c r="P233" s="5">
        <f>IFERROR(INDEX(Targets!$B$2:$B$9,MATCH($B233,Targets!$A$2:$A$9,0)),0)</f>
        <v>900000</v>
      </c>
      <c r="Q233" s="5" t="str">
        <f t="shared" si="6"/>
        <v>No</v>
      </c>
      <c r="R233" s="5" t="str">
        <f t="shared" si="7"/>
        <v>Mar</v>
      </c>
    </row>
    <row r="234" spans="1:18" ht="15" customHeight="1" x14ac:dyDescent="0.3">
      <c r="A234" s="5" t="str">
        <f>Sales_Data!A231</f>
        <v>2025-03-26</v>
      </c>
      <c r="B234" s="5" t="str">
        <f>Sales_Data!B231</f>
        <v>Delhi NCR</v>
      </c>
      <c r="C234" s="5" t="str">
        <f>Sales_Data!C231</f>
        <v>E013</v>
      </c>
      <c r="D234" s="5" t="str">
        <f>IFERROR(INDEX(Employee_Master!$B$2:$B$44,MATCH($C234,Employee_Master!$A$2:$A$44,0)),"Not Found")</f>
        <v>Norma Wilson</v>
      </c>
      <c r="E234" s="5" t="str">
        <f>IFERROR(INDEX(Employee_Master!$C$2:$C$44,MATCH($C234,Employee_Master!$A$2:$A$44,0)),"Not Found")</f>
        <v>Customer Support</v>
      </c>
      <c r="F234" s="5" t="str">
        <f>IFERROR(INDEX(Employee_Master!$D$2:$D$44,MATCH($C234,Employee_Master!$A$2:$A$44,0)),"Not Found")</f>
        <v>William Oconnell</v>
      </c>
      <c r="G234" s="5" t="str">
        <f>IFERROR(INDEX(Employee_Master!$E$2:$E$44,MATCH($C234,Employee_Master!$A$2:$A$44,0)),"Not Found")</f>
        <v>North</v>
      </c>
      <c r="H234" s="5" t="str">
        <f>Sales_Data!D231</f>
        <v>P025 - Lipstick Set</v>
      </c>
      <c r="I234" s="5" t="str">
        <f>IFERROR(INDEX(Product_Master!$B$2:$B$30,MATCH($H234,Product_Master!$A$2:$A$30,0)),"Invalid Product Code")</f>
        <v>Beauty</v>
      </c>
      <c r="J234" s="5">
        <f>IFERROR(INDEX(Product_Master!$C$2:$C$30,MATCH($H234,Product_Master!$A$2:$A$30,0)),0)</f>
        <v>765.9</v>
      </c>
      <c r="K234" s="5">
        <f>Sales_Data!E231</f>
        <v>8</v>
      </c>
      <c r="L234" s="5">
        <f>Sales_Data!F231</f>
        <v>6311.7</v>
      </c>
      <c r="M234" s="5">
        <f>Sales_Data!G231</f>
        <v>6464.38</v>
      </c>
      <c r="N234" s="5" t="str">
        <f>IFERROR(INDEX(Branch_Master!$B$2:$B$9,MATCH($B234,Branch_Master!$A$2:$A$9,0)),"Not Found")</f>
        <v>New Delhi</v>
      </c>
      <c r="O234" s="5" t="str">
        <f>IFERROR(INDEX(Branch_Master!$C$2:$C$9,MATCH($B234,Branch_Master!$A$2:$A$9,0)),"Not Found")</f>
        <v>Delhi</v>
      </c>
      <c r="P234" s="5">
        <f>IFERROR(INDEX(Targets!$B$2:$B$9,MATCH($B234,Targets!$A$2:$A$9,0)),0)</f>
        <v>2070000</v>
      </c>
      <c r="Q234" s="5" t="str">
        <f t="shared" si="6"/>
        <v>No</v>
      </c>
      <c r="R234" s="5" t="str">
        <f t="shared" si="7"/>
        <v>Mar</v>
      </c>
    </row>
    <row r="235" spans="1:18" ht="15" customHeight="1" x14ac:dyDescent="0.3">
      <c r="A235" s="5" t="str">
        <f>Sales_Data!A232</f>
        <v>2025-03-28</v>
      </c>
      <c r="B235" s="5" t="str">
        <f>Sales_Data!B232</f>
        <v>Pune East</v>
      </c>
      <c r="C235" s="5" t="str">
        <f>Sales_Data!C232</f>
        <v>E022</v>
      </c>
      <c r="D235" s="5" t="str">
        <f>IFERROR(INDEX(Employee_Master!$B$2:$B$44,MATCH($C235,Employee_Master!$A$2:$A$44,0)),"Not Found")</f>
        <v>Cindy Green PhD</v>
      </c>
      <c r="E235" s="5" t="str">
        <f>IFERROR(INDEX(Employee_Master!$C$2:$C$44,MATCH($C235,Employee_Master!$A$2:$A$44,0)),"Not Found")</f>
        <v>Customer Support</v>
      </c>
      <c r="F235" s="5" t="str">
        <f>IFERROR(INDEX(Employee_Master!$D$2:$D$44,MATCH($C235,Employee_Master!$A$2:$A$44,0)),"Not Found")</f>
        <v>Jordan Matthews</v>
      </c>
      <c r="G235" s="5" t="str">
        <f>IFERROR(INDEX(Employee_Master!$E$2:$E$44,MATCH($C235,Employee_Master!$A$2:$A$44,0)),"Not Found")</f>
        <v>West</v>
      </c>
      <c r="H235" s="5" t="str">
        <f>Sales_Data!D232</f>
        <v>P027 - Cricket Bat</v>
      </c>
      <c r="I235" s="5" t="str">
        <f>IFERROR(INDEX(Product_Master!$B$2:$B$30,MATCH($H235,Product_Master!$A$2:$A$30,0)),"Invalid Product Code")</f>
        <v>Sports</v>
      </c>
      <c r="J235" s="5">
        <f>IFERROR(INDEX(Product_Master!$C$2:$C$30,MATCH($H235,Product_Master!$A$2:$A$30,0)),0)</f>
        <v>822.7</v>
      </c>
      <c r="K235" s="5">
        <f>Sales_Data!E232</f>
        <v>9</v>
      </c>
      <c r="L235" s="5">
        <f>Sales_Data!F232</f>
        <v>7836.16</v>
      </c>
      <c r="M235" s="5">
        <f>Sales_Data!G232</f>
        <v>7203.87</v>
      </c>
      <c r="N235" s="5" t="str">
        <f>IFERROR(INDEX(Branch_Master!$B$2:$B$9,MATCH($B235,Branch_Master!$A$2:$A$9,0)),"Not Found")</f>
        <v>Pune</v>
      </c>
      <c r="O235" s="5" t="str">
        <f>IFERROR(INDEX(Branch_Master!$C$2:$C$9,MATCH($B235,Branch_Master!$A$2:$A$9,0)),"Not Found")</f>
        <v>Maharashtra</v>
      </c>
      <c r="P235" s="5">
        <f>IFERROR(INDEX(Targets!$B$2:$B$9,MATCH($B235,Targets!$A$2:$A$9,0)),0)</f>
        <v>1250000</v>
      </c>
      <c r="Q235" s="5" t="str">
        <f t="shared" si="6"/>
        <v>Yes</v>
      </c>
      <c r="R235" s="5" t="str">
        <f t="shared" si="7"/>
        <v>Mar</v>
      </c>
    </row>
    <row r="236" spans="1:18" ht="15" customHeight="1" x14ac:dyDescent="0.3">
      <c r="A236" s="5" t="str">
        <f>Sales_Data!A233</f>
        <v>2025-03-29</v>
      </c>
      <c r="B236" s="5" t="str">
        <f>Sales_Data!B233</f>
        <v>Delhi NCR</v>
      </c>
      <c r="C236" s="5" t="str">
        <f>Sales_Data!C233</f>
        <v>E013</v>
      </c>
      <c r="D236" s="5" t="str">
        <f>IFERROR(INDEX(Employee_Master!$B$2:$B$44,MATCH($C236,Employee_Master!$A$2:$A$44,0)),"Not Found")</f>
        <v>Norma Wilson</v>
      </c>
      <c r="E236" s="5" t="str">
        <f>IFERROR(INDEX(Employee_Master!$C$2:$C$44,MATCH($C236,Employee_Master!$A$2:$A$44,0)),"Not Found")</f>
        <v>Customer Support</v>
      </c>
      <c r="F236" s="5" t="str">
        <f>IFERROR(INDEX(Employee_Master!$D$2:$D$44,MATCH($C236,Employee_Master!$A$2:$A$44,0)),"Not Found")</f>
        <v>William Oconnell</v>
      </c>
      <c r="G236" s="5" t="str">
        <f>IFERROR(INDEX(Employee_Master!$E$2:$E$44,MATCH($C236,Employee_Master!$A$2:$A$44,0)),"Not Found")</f>
        <v>North</v>
      </c>
      <c r="H236" s="5" t="str">
        <f>Sales_Data!D233</f>
        <v>P026 - Yoga Mat</v>
      </c>
      <c r="I236" s="5" t="str">
        <f>IFERROR(INDEX(Product_Master!$B$2:$B$30,MATCH($H236,Product_Master!$A$2:$A$30,0)),"Invalid Product Code")</f>
        <v>Sports</v>
      </c>
      <c r="J236" s="5">
        <f>IFERROR(INDEX(Product_Master!$C$2:$C$30,MATCH($H236,Product_Master!$A$2:$A$30,0)),0)</f>
        <v>518.76</v>
      </c>
      <c r="K236" s="5">
        <f>Sales_Data!E233</f>
        <v>4</v>
      </c>
      <c r="L236" s="5">
        <f>Sales_Data!F233</f>
        <v>1917.85</v>
      </c>
      <c r="M236" s="5">
        <f>Sales_Data!G233</f>
        <v>1952.21</v>
      </c>
      <c r="N236" s="5" t="str">
        <f>IFERROR(INDEX(Branch_Master!$B$2:$B$9,MATCH($B236,Branch_Master!$A$2:$A$9,0)),"Not Found")</f>
        <v>New Delhi</v>
      </c>
      <c r="O236" s="5" t="str">
        <f>IFERROR(INDEX(Branch_Master!$C$2:$C$9,MATCH($B236,Branch_Master!$A$2:$A$9,0)),"Not Found")</f>
        <v>Delhi</v>
      </c>
      <c r="P236" s="5">
        <f>IFERROR(INDEX(Targets!$B$2:$B$9,MATCH($B236,Targets!$A$2:$A$9,0)),0)</f>
        <v>2070000</v>
      </c>
      <c r="Q236" s="5" t="str">
        <f t="shared" si="6"/>
        <v>No</v>
      </c>
      <c r="R236" s="5" t="str">
        <f t="shared" si="7"/>
        <v>Mar</v>
      </c>
    </row>
    <row r="237" spans="1:18" ht="15" customHeight="1" x14ac:dyDescent="0.3">
      <c r="A237" s="5" t="str">
        <f>Sales_Data!A234</f>
        <v>2025-03-29</v>
      </c>
      <c r="B237" s="5" t="str">
        <f>Sales_Data!B234</f>
        <v>Mumbai Central</v>
      </c>
      <c r="C237" s="5" t="str">
        <f>Sales_Data!C234</f>
        <v>E033</v>
      </c>
      <c r="D237" s="5" t="str">
        <f>IFERROR(INDEX(Employee_Master!$B$2:$B$44,MATCH($C237,Employee_Master!$A$2:$A$44,0)),"Not Found")</f>
        <v>Dawn Colon</v>
      </c>
      <c r="E237" s="5" t="str">
        <f>IFERROR(INDEX(Employee_Master!$C$2:$C$44,MATCH($C237,Employee_Master!$A$2:$A$44,0)),"Not Found")</f>
        <v>Customer Support</v>
      </c>
      <c r="F237" s="5" t="str">
        <f>IFERROR(INDEX(Employee_Master!$D$2:$D$44,MATCH($C237,Employee_Master!$A$2:$A$44,0)),"Not Found")</f>
        <v>Justin Glass</v>
      </c>
      <c r="G237" s="5" t="str">
        <f>IFERROR(INDEX(Employee_Master!$E$2:$E$44,MATCH($C237,Employee_Master!$A$2:$A$44,0)),"Not Found")</f>
        <v>West</v>
      </c>
      <c r="H237" s="5" t="str">
        <f>Sales_Data!D234</f>
        <v>P025 - Lipstick Set</v>
      </c>
      <c r="I237" s="5" t="str">
        <f>IFERROR(INDEX(Product_Master!$B$2:$B$30,MATCH($H237,Product_Master!$A$2:$A$30,0)),"Invalid Product Code")</f>
        <v>Beauty</v>
      </c>
      <c r="J237" s="5">
        <f>IFERROR(INDEX(Product_Master!$C$2:$C$30,MATCH($H237,Product_Master!$A$2:$A$30,0)),0)</f>
        <v>765.9</v>
      </c>
      <c r="K237" s="5">
        <f>Sales_Data!E234</f>
        <v>8</v>
      </c>
      <c r="L237" s="5">
        <f>Sales_Data!F234</f>
        <v>5597.2</v>
      </c>
      <c r="M237" s="5">
        <f>Sales_Data!G234</f>
        <v>5636.56</v>
      </c>
      <c r="N237" s="5" t="str">
        <f>IFERROR(INDEX(Branch_Master!$B$2:$B$9,MATCH($B237,Branch_Master!$A$2:$A$9,0)),"Not Found")</f>
        <v>Mumbai</v>
      </c>
      <c r="O237" s="5" t="str">
        <f>IFERROR(INDEX(Branch_Master!$C$2:$C$9,MATCH($B237,Branch_Master!$A$2:$A$9,0)),"Not Found")</f>
        <v>Maharashtra</v>
      </c>
      <c r="P237" s="5">
        <f>IFERROR(INDEX(Targets!$B$2:$B$9,MATCH($B237,Targets!$A$2:$A$9,0)),0)</f>
        <v>900000</v>
      </c>
      <c r="Q237" s="5" t="str">
        <f t="shared" si="6"/>
        <v>No</v>
      </c>
      <c r="R237" s="5" t="str">
        <f t="shared" si="7"/>
        <v>Mar</v>
      </c>
    </row>
    <row r="238" spans="1:18" ht="15" customHeight="1" x14ac:dyDescent="0.3">
      <c r="A238" s="5" t="str">
        <f>Sales_Data!A235</f>
        <v>2025-03-29</v>
      </c>
      <c r="B238" s="5" t="str">
        <f>Sales_Data!B235</f>
        <v>Ahmedabad West</v>
      </c>
      <c r="C238" s="5" t="str">
        <f>Sales_Data!C235</f>
        <v>E008</v>
      </c>
      <c r="D238" s="5" t="str">
        <f>IFERROR(INDEX(Employee_Master!$B$2:$B$44,MATCH($C238,Employee_Master!$A$2:$A$44,0)),"Not Found")</f>
        <v>Tyler Boone</v>
      </c>
      <c r="E238" s="5" t="str">
        <f>IFERROR(INDEX(Employee_Master!$C$2:$C$44,MATCH($C238,Employee_Master!$A$2:$A$44,0)),"Not Found")</f>
        <v>Marketing</v>
      </c>
      <c r="F238" s="5" t="str">
        <f>IFERROR(INDEX(Employee_Master!$D$2:$D$44,MATCH($C238,Employee_Master!$A$2:$A$44,0)),"Not Found")</f>
        <v>Joseph Brown</v>
      </c>
      <c r="G238" s="5" t="str">
        <f>IFERROR(INDEX(Employee_Master!$E$2:$E$44,MATCH($C238,Employee_Master!$A$2:$A$44,0)),"Not Found")</f>
        <v>West</v>
      </c>
      <c r="H238" s="5" t="str">
        <f>Sales_Data!D235</f>
        <v>P022 - Face Wash</v>
      </c>
      <c r="I238" s="5" t="str">
        <f>IFERROR(INDEX(Product_Master!$B$2:$B$30,MATCH($H238,Product_Master!$A$2:$A$30,0)),"Invalid Product Code")</f>
        <v>Beauty</v>
      </c>
      <c r="J238" s="5">
        <f>IFERROR(INDEX(Product_Master!$C$2:$C$30,MATCH($H238,Product_Master!$A$2:$A$30,0)),0)</f>
        <v>396.75</v>
      </c>
      <c r="K238" s="5">
        <f>Sales_Data!E235</f>
        <v>9</v>
      </c>
      <c r="L238" s="5">
        <f>Sales_Data!F235</f>
        <v>3243.67</v>
      </c>
      <c r="M238" s="5">
        <f>Sales_Data!G235</f>
        <v>3350.06</v>
      </c>
      <c r="N238" s="5" t="str">
        <f>IFERROR(INDEX(Branch_Master!$B$2:$B$9,MATCH($B238,Branch_Master!$A$2:$A$9,0)),"Not Found")</f>
        <v>Ahmedabad</v>
      </c>
      <c r="O238" s="5" t="str">
        <f>IFERROR(INDEX(Branch_Master!$C$2:$C$9,MATCH($B238,Branch_Master!$A$2:$A$9,0)),"Not Found")</f>
        <v>Gujarat</v>
      </c>
      <c r="P238" s="5">
        <f>IFERROR(INDEX(Targets!$B$2:$B$9,MATCH($B238,Targets!$A$2:$A$9,0)),0)</f>
        <v>1590000</v>
      </c>
      <c r="Q238" s="5" t="str">
        <f t="shared" si="6"/>
        <v>No</v>
      </c>
      <c r="R238" s="5" t="str">
        <f t="shared" si="7"/>
        <v>Mar</v>
      </c>
    </row>
    <row r="239" spans="1:18" ht="15" customHeight="1" x14ac:dyDescent="0.3">
      <c r="A239" s="5" t="str">
        <f>Sales_Data!A236</f>
        <v>2025-03-29</v>
      </c>
      <c r="B239" s="5" t="str">
        <f>Sales_Data!B236</f>
        <v>Pune East</v>
      </c>
      <c r="C239" s="5" t="str">
        <f>Sales_Data!C236</f>
        <v>E034</v>
      </c>
      <c r="D239" s="5" t="str">
        <f>IFERROR(INDEX(Employee_Master!$B$2:$B$44,MATCH($C239,Employee_Master!$A$2:$A$44,0)),"Not Found")</f>
        <v>Elaine Thompson</v>
      </c>
      <c r="E239" s="5" t="str">
        <f>IFERROR(INDEX(Employee_Master!$C$2:$C$44,MATCH($C239,Employee_Master!$A$2:$A$44,0)),"Not Found")</f>
        <v>Marketing</v>
      </c>
      <c r="F239" s="5" t="str">
        <f>IFERROR(INDEX(Employee_Master!$D$2:$D$44,MATCH($C239,Employee_Master!$A$2:$A$44,0)),"Not Found")</f>
        <v>Jordan Matthews</v>
      </c>
      <c r="G239" s="5" t="str">
        <f>IFERROR(INDEX(Employee_Master!$E$2:$E$44,MATCH($C239,Employee_Master!$A$2:$A$44,0)),"Not Found")</f>
        <v>West</v>
      </c>
      <c r="H239" s="5" t="str">
        <f>Sales_Data!D236</f>
        <v>P015 - Water Bottle</v>
      </c>
      <c r="I239" s="5" t="str">
        <f>IFERROR(INDEX(Product_Master!$B$2:$B$30,MATCH($H239,Product_Master!$A$2:$A$30,0)),"Invalid Product Code")</f>
        <v>Home &amp; Kitchen</v>
      </c>
      <c r="J239" s="5">
        <f>IFERROR(INDEX(Product_Master!$C$2:$C$30,MATCH($H239,Product_Master!$A$2:$A$30,0)),0)</f>
        <v>197.57</v>
      </c>
      <c r="K239" s="5">
        <f>Sales_Data!E236</f>
        <v>9</v>
      </c>
      <c r="L239" s="5">
        <f>Sales_Data!F236</f>
        <v>1674.5</v>
      </c>
      <c r="M239" s="5">
        <f>Sales_Data!G236</f>
        <v>1513.66</v>
      </c>
      <c r="N239" s="5" t="str">
        <f>IFERROR(INDEX(Branch_Master!$B$2:$B$9,MATCH($B239,Branch_Master!$A$2:$A$9,0)),"Not Found")</f>
        <v>Pune</v>
      </c>
      <c r="O239" s="5" t="str">
        <f>IFERROR(INDEX(Branch_Master!$C$2:$C$9,MATCH($B239,Branch_Master!$A$2:$A$9,0)),"Not Found")</f>
        <v>Maharashtra</v>
      </c>
      <c r="P239" s="5">
        <f>IFERROR(INDEX(Targets!$B$2:$B$9,MATCH($B239,Targets!$A$2:$A$9,0)),0)</f>
        <v>1250000</v>
      </c>
      <c r="Q239" s="5" t="str">
        <f t="shared" si="6"/>
        <v>Yes</v>
      </c>
      <c r="R239" s="5" t="str">
        <f t="shared" si="7"/>
        <v>Mar</v>
      </c>
    </row>
    <row r="240" spans="1:18" ht="15" customHeight="1" x14ac:dyDescent="0.3">
      <c r="A240" s="5" t="str">
        <f>Sales_Data!A237</f>
        <v>2025-03-29</v>
      </c>
      <c r="B240" s="5" t="str">
        <f>Sales_Data!B237</f>
        <v>Hyderabad Hitech</v>
      </c>
      <c r="C240" s="5" t="str">
        <f>Sales_Data!C237</f>
        <v>E020</v>
      </c>
      <c r="D240" s="5" t="str">
        <f>IFERROR(INDEX(Employee_Master!$B$2:$B$44,MATCH($C240,Employee_Master!$A$2:$A$44,0)),"Not Found")</f>
        <v>Christine Long</v>
      </c>
      <c r="E240" s="5" t="str">
        <f>IFERROR(INDEX(Employee_Master!$C$2:$C$44,MATCH($C240,Employee_Master!$A$2:$A$44,0)),"Not Found")</f>
        <v>Operations</v>
      </c>
      <c r="F240" s="5" t="str">
        <f>IFERROR(INDEX(Employee_Master!$D$2:$D$44,MATCH($C240,Employee_Master!$A$2:$A$44,0)),"Not Found")</f>
        <v>Anna Turner</v>
      </c>
      <c r="G240" s="5" t="str">
        <f>IFERROR(INDEX(Employee_Master!$E$2:$E$44,MATCH($C240,Employee_Master!$A$2:$A$44,0)),"Not Found")</f>
        <v>South</v>
      </c>
      <c r="H240" s="5" t="str">
        <f>Sales_Data!D237</f>
        <v>P004 - Power Bank</v>
      </c>
      <c r="I240" s="5" t="str">
        <f>IFERROR(INDEX(Product_Master!$B$2:$B$30,MATCH($H240,Product_Master!$A$2:$A$30,0)),"Invalid Product Code")</f>
        <v>Electronics</v>
      </c>
      <c r="J240" s="5">
        <f>IFERROR(INDEX(Product_Master!$C$2:$C$30,MATCH($H240,Product_Master!$A$2:$A$30,0)),0)</f>
        <v>76.91</v>
      </c>
      <c r="K240" s="5">
        <f>Sales_Data!E237</f>
        <v>10</v>
      </c>
      <c r="L240" s="5">
        <f>Sales_Data!F237</f>
        <v>759.82</v>
      </c>
      <c r="M240" s="5">
        <f>Sales_Data!G237</f>
        <v>858.3</v>
      </c>
      <c r="N240" s="5" t="str">
        <f>IFERROR(INDEX(Branch_Master!$B$2:$B$9,MATCH($B240,Branch_Master!$A$2:$A$9,0)),"Not Found")</f>
        <v>Hyderabad</v>
      </c>
      <c r="O240" s="5" t="str">
        <f>IFERROR(INDEX(Branch_Master!$C$2:$C$9,MATCH($B240,Branch_Master!$A$2:$A$9,0)),"Not Found")</f>
        <v>Telangana</v>
      </c>
      <c r="P240" s="5">
        <f>IFERROR(INDEX(Targets!$B$2:$B$9,MATCH($B240,Targets!$A$2:$A$9,0)),0)</f>
        <v>1210000</v>
      </c>
      <c r="Q240" s="5" t="str">
        <f t="shared" si="6"/>
        <v>No</v>
      </c>
      <c r="R240" s="5" t="str">
        <f t="shared" si="7"/>
        <v>Mar</v>
      </c>
    </row>
    <row r="241" spans="1:18" ht="15" customHeight="1" x14ac:dyDescent="0.3">
      <c r="A241" s="5" t="str">
        <f>Sales_Data!A238</f>
        <v>2025-03-29</v>
      </c>
      <c r="B241" s="5" t="str">
        <f>Sales_Data!B238</f>
        <v>Chennai South</v>
      </c>
      <c r="C241" s="5" t="str">
        <f>Sales_Data!C238</f>
        <v>E032</v>
      </c>
      <c r="D241" s="5" t="str">
        <f>IFERROR(INDEX(Employee_Master!$B$2:$B$44,MATCH($C241,Employee_Master!$A$2:$A$44,0)),"Not Found")</f>
        <v>Victor Allen</v>
      </c>
      <c r="E241" s="5" t="str">
        <f>IFERROR(INDEX(Employee_Master!$C$2:$C$44,MATCH($C241,Employee_Master!$A$2:$A$44,0)),"Not Found")</f>
        <v>Operations</v>
      </c>
      <c r="F241" s="5" t="str">
        <f>IFERROR(INDEX(Employee_Master!$D$2:$D$44,MATCH($C241,Employee_Master!$A$2:$A$44,0)),"Not Found")</f>
        <v>Robert Steele</v>
      </c>
      <c r="G241" s="5" t="str">
        <f>IFERROR(INDEX(Employee_Master!$E$2:$E$44,MATCH($C241,Employee_Master!$A$2:$A$44,0)),"Not Found")</f>
        <v>South</v>
      </c>
      <c r="H241" s="5" t="str">
        <f>Sales_Data!D238</f>
        <v>P002 - Smart Watch</v>
      </c>
      <c r="I241" s="5" t="str">
        <f>IFERROR(INDEX(Product_Master!$B$2:$B$30,MATCH($H241,Product_Master!$A$2:$A$30,0)),"Invalid Product Code")</f>
        <v>Electronics</v>
      </c>
      <c r="J241" s="5">
        <f>IFERROR(INDEX(Product_Master!$C$2:$C$30,MATCH($H241,Product_Master!$A$2:$A$30,0)),0)</f>
        <v>403.33</v>
      </c>
      <c r="K241" s="5">
        <f>Sales_Data!E238</f>
        <v>1</v>
      </c>
      <c r="L241" s="5">
        <f>Sales_Data!F238</f>
        <v>434.01</v>
      </c>
      <c r="M241" s="5">
        <f>Sales_Data!G238</f>
        <v>385.62</v>
      </c>
      <c r="N241" s="5" t="str">
        <f>IFERROR(INDEX(Branch_Master!$B$2:$B$9,MATCH($B241,Branch_Master!$A$2:$A$9,0)),"Not Found")</f>
        <v>Chennai</v>
      </c>
      <c r="O241" s="5" t="str">
        <f>IFERROR(INDEX(Branch_Master!$C$2:$C$9,MATCH($B241,Branch_Master!$A$2:$A$9,0)),"Not Found")</f>
        <v>Tamil Nadu</v>
      </c>
      <c r="P241" s="5">
        <f>IFERROR(INDEX(Targets!$B$2:$B$9,MATCH($B241,Targets!$A$2:$A$9,0)),0)</f>
        <v>1910000</v>
      </c>
      <c r="Q241" s="5" t="str">
        <f t="shared" si="6"/>
        <v>Yes</v>
      </c>
      <c r="R241" s="5" t="str">
        <f t="shared" si="7"/>
        <v>Mar</v>
      </c>
    </row>
    <row r="242" spans="1:18" ht="15" customHeight="1" x14ac:dyDescent="0.3">
      <c r="A242" s="5" t="str">
        <f>Sales_Data!A239</f>
        <v>2025-03-30</v>
      </c>
      <c r="B242" s="5" t="str">
        <f>Sales_Data!B239</f>
        <v>Pune East</v>
      </c>
      <c r="C242" s="5" t="str">
        <f>Sales_Data!C239</f>
        <v>E023</v>
      </c>
      <c r="D242" s="5" t="str">
        <f>IFERROR(INDEX(Employee_Master!$B$2:$B$44,MATCH($C242,Employee_Master!$A$2:$A$44,0)),"Not Found")</f>
        <v>Edward Jones</v>
      </c>
      <c r="E242" s="5" t="str">
        <f>IFERROR(INDEX(Employee_Master!$C$2:$C$44,MATCH($C242,Employee_Master!$A$2:$A$44,0)),"Not Found")</f>
        <v>Operations</v>
      </c>
      <c r="F242" s="5" t="str">
        <f>IFERROR(INDEX(Employee_Master!$D$2:$D$44,MATCH($C242,Employee_Master!$A$2:$A$44,0)),"Not Found")</f>
        <v>Jordan Matthews</v>
      </c>
      <c r="G242" s="5" t="str">
        <f>IFERROR(INDEX(Employee_Master!$E$2:$E$44,MATCH($C242,Employee_Master!$A$2:$A$44,0)),"Not Found")</f>
        <v>West</v>
      </c>
      <c r="H242" s="5" t="str">
        <f>Sales_Data!D239</f>
        <v>P029 - Dumbbell Set 10kg</v>
      </c>
      <c r="I242" s="5" t="str">
        <f>IFERROR(INDEX(Product_Master!$B$2:$B$30,MATCH($H242,Product_Master!$A$2:$A$30,0)),"Invalid Product Code")</f>
        <v>Sports</v>
      </c>
      <c r="J242" s="5">
        <f>IFERROR(INDEX(Product_Master!$C$2:$C$30,MATCH($H242,Product_Master!$A$2:$A$30,0)),0)</f>
        <v>435</v>
      </c>
      <c r="K242" s="5">
        <f>Sales_Data!E239</f>
        <v>8</v>
      </c>
      <c r="L242" s="5">
        <f>Sales_Data!F239</f>
        <v>3699.55</v>
      </c>
      <c r="M242" s="5">
        <f>Sales_Data!G239</f>
        <v>3372.73</v>
      </c>
      <c r="N242" s="5" t="str">
        <f>IFERROR(INDEX(Branch_Master!$B$2:$B$9,MATCH($B242,Branch_Master!$A$2:$A$9,0)),"Not Found")</f>
        <v>Pune</v>
      </c>
      <c r="O242" s="5" t="str">
        <f>IFERROR(INDEX(Branch_Master!$C$2:$C$9,MATCH($B242,Branch_Master!$A$2:$A$9,0)),"Not Found")</f>
        <v>Maharashtra</v>
      </c>
      <c r="P242" s="5">
        <f>IFERROR(INDEX(Targets!$B$2:$B$9,MATCH($B242,Targets!$A$2:$A$9,0)),0)</f>
        <v>1250000</v>
      </c>
      <c r="Q242" s="5" t="str">
        <f t="shared" si="6"/>
        <v>Yes</v>
      </c>
      <c r="R242" s="5" t="str">
        <f t="shared" si="7"/>
        <v>Mar</v>
      </c>
    </row>
    <row r="243" spans="1:18" ht="15" customHeight="1" x14ac:dyDescent="0.3">
      <c r="A243" s="5" t="str">
        <f>Sales_Data!A240</f>
        <v>2025-03-30</v>
      </c>
      <c r="B243" s="5" t="str">
        <f>Sales_Data!B240</f>
        <v>Hyderabad Hitech</v>
      </c>
      <c r="C243" s="5" t="str">
        <f>Sales_Data!C240</f>
        <v>E030</v>
      </c>
      <c r="D243" s="5" t="str">
        <f>IFERROR(INDEX(Employee_Master!$B$2:$B$44,MATCH($C243,Employee_Master!$A$2:$A$44,0)),"Not Found")</f>
        <v>Travis Khan</v>
      </c>
      <c r="E243" s="5" t="str">
        <f>IFERROR(INDEX(Employee_Master!$C$2:$C$44,MATCH($C243,Employee_Master!$A$2:$A$44,0)),"Not Found")</f>
        <v>Operations</v>
      </c>
      <c r="F243" s="5" t="str">
        <f>IFERROR(INDEX(Employee_Master!$D$2:$D$44,MATCH($C243,Employee_Master!$A$2:$A$44,0)),"Not Found")</f>
        <v>Anna Turner</v>
      </c>
      <c r="G243" s="5" t="str">
        <f>IFERROR(INDEX(Employee_Master!$E$2:$E$44,MATCH($C243,Employee_Master!$A$2:$A$44,0)),"Not Found")</f>
        <v>South</v>
      </c>
      <c r="H243" s="5" t="str">
        <f>Sales_Data!D240</f>
        <v>P008 - Denim Jeans</v>
      </c>
      <c r="I243" s="5" t="str">
        <f>IFERROR(INDEX(Product_Master!$B$2:$B$30,MATCH($H243,Product_Master!$A$2:$A$30,0)),"Invalid Product Code")</f>
        <v>Apparel</v>
      </c>
      <c r="J243" s="5">
        <f>IFERROR(INDEX(Product_Master!$C$2:$C$30,MATCH($H243,Product_Master!$A$2:$A$30,0)),0)</f>
        <v>614.48</v>
      </c>
      <c r="K243" s="5">
        <f>Sales_Data!E240</f>
        <v>10</v>
      </c>
      <c r="L243" s="5">
        <f>Sales_Data!F240</f>
        <v>6288.45</v>
      </c>
      <c r="M243" s="5">
        <f>Sales_Data!G240</f>
        <v>5407.64</v>
      </c>
      <c r="N243" s="5" t="str">
        <f>IFERROR(INDEX(Branch_Master!$B$2:$B$9,MATCH($B243,Branch_Master!$A$2:$A$9,0)),"Not Found")</f>
        <v>Hyderabad</v>
      </c>
      <c r="O243" s="5" t="str">
        <f>IFERROR(INDEX(Branch_Master!$C$2:$C$9,MATCH($B243,Branch_Master!$A$2:$A$9,0)),"Not Found")</f>
        <v>Telangana</v>
      </c>
      <c r="P243" s="5">
        <f>IFERROR(INDEX(Targets!$B$2:$B$9,MATCH($B243,Targets!$A$2:$A$9,0)),0)</f>
        <v>1210000</v>
      </c>
      <c r="Q243" s="5" t="str">
        <f t="shared" si="6"/>
        <v>Yes</v>
      </c>
      <c r="R243" s="5" t="str">
        <f t="shared" si="7"/>
        <v>Mar</v>
      </c>
    </row>
    <row r="244" spans="1:18" ht="15" customHeight="1" x14ac:dyDescent="0.3">
      <c r="A244" s="5" t="str">
        <f>Sales_Data!A241</f>
        <v>2025-03-30</v>
      </c>
      <c r="B244" s="5" t="str">
        <f>Sales_Data!B241</f>
        <v>Chennai South</v>
      </c>
      <c r="C244" s="5" t="str">
        <f>Sales_Data!C241</f>
        <v>E032</v>
      </c>
      <c r="D244" s="5" t="str">
        <f>IFERROR(INDEX(Employee_Master!$B$2:$B$44,MATCH($C244,Employee_Master!$A$2:$A$44,0)),"Not Found")</f>
        <v>Victor Allen</v>
      </c>
      <c r="E244" s="5" t="str">
        <f>IFERROR(INDEX(Employee_Master!$C$2:$C$44,MATCH($C244,Employee_Master!$A$2:$A$44,0)),"Not Found")</f>
        <v>Operations</v>
      </c>
      <c r="F244" s="5" t="str">
        <f>IFERROR(INDEX(Employee_Master!$D$2:$D$44,MATCH($C244,Employee_Master!$A$2:$A$44,0)),"Not Found")</f>
        <v>Robert Steele</v>
      </c>
      <c r="G244" s="5" t="str">
        <f>IFERROR(INDEX(Employee_Master!$E$2:$E$44,MATCH($C244,Employee_Master!$A$2:$A$44,0)),"Not Found")</f>
        <v>South</v>
      </c>
      <c r="H244" s="5" t="str">
        <f>Sales_Data!D241</f>
        <v>P001 - Wireless Earbuds</v>
      </c>
      <c r="I244" s="5" t="str">
        <f>IFERROR(INDEX(Product_Master!$B$2:$B$30,MATCH($H244,Product_Master!$A$2:$A$30,0)),"Invalid Product Code")</f>
        <v>Electronics</v>
      </c>
      <c r="J244" s="5">
        <f>IFERROR(INDEX(Product_Master!$C$2:$C$30,MATCH($H244,Product_Master!$A$2:$A$30,0)),0)</f>
        <v>1676.76</v>
      </c>
      <c r="K244" s="5">
        <f>Sales_Data!E241</f>
        <v>3</v>
      </c>
      <c r="L244" s="5">
        <f>Sales_Data!F241</f>
        <v>4847.99</v>
      </c>
      <c r="M244" s="5">
        <f>Sales_Data!G241</f>
        <v>4749.21</v>
      </c>
      <c r="N244" s="5" t="str">
        <f>IFERROR(INDEX(Branch_Master!$B$2:$B$9,MATCH($B244,Branch_Master!$A$2:$A$9,0)),"Not Found")</f>
        <v>Chennai</v>
      </c>
      <c r="O244" s="5" t="str">
        <f>IFERROR(INDEX(Branch_Master!$C$2:$C$9,MATCH($B244,Branch_Master!$A$2:$A$9,0)),"Not Found")</f>
        <v>Tamil Nadu</v>
      </c>
      <c r="P244" s="5">
        <f>IFERROR(INDEX(Targets!$B$2:$B$9,MATCH($B244,Targets!$A$2:$A$9,0)),0)</f>
        <v>1910000</v>
      </c>
      <c r="Q244" s="5" t="str">
        <f t="shared" si="6"/>
        <v>Yes</v>
      </c>
      <c r="R244" s="5" t="str">
        <f t="shared" si="7"/>
        <v>Mar</v>
      </c>
    </row>
    <row r="245" spans="1:18" ht="15" customHeight="1" x14ac:dyDescent="0.3">
      <c r="A245" s="5" t="str">
        <f>Sales_Data!A242</f>
        <v>2025-03-31</v>
      </c>
      <c r="B245" s="5" t="str">
        <f>Sales_Data!B242</f>
        <v>Pune East</v>
      </c>
      <c r="C245" s="5" t="str">
        <f>Sales_Data!C242</f>
        <v>E034</v>
      </c>
      <c r="D245" s="5" t="str">
        <f>IFERROR(INDEX(Employee_Master!$B$2:$B$44,MATCH($C245,Employee_Master!$A$2:$A$44,0)),"Not Found")</f>
        <v>Elaine Thompson</v>
      </c>
      <c r="E245" s="5" t="str">
        <f>IFERROR(INDEX(Employee_Master!$C$2:$C$44,MATCH($C245,Employee_Master!$A$2:$A$44,0)),"Not Found")</f>
        <v>Marketing</v>
      </c>
      <c r="F245" s="5" t="str">
        <f>IFERROR(INDEX(Employee_Master!$D$2:$D$44,MATCH($C245,Employee_Master!$A$2:$A$44,0)),"Not Found")</f>
        <v>Jordan Matthews</v>
      </c>
      <c r="G245" s="5" t="str">
        <f>IFERROR(INDEX(Employee_Master!$E$2:$E$44,MATCH($C245,Employee_Master!$A$2:$A$44,0)),"Not Found")</f>
        <v>West</v>
      </c>
      <c r="H245" s="5" t="str">
        <f>Sales_Data!D242</f>
        <v>P029 - Dumbbell Set 10kg</v>
      </c>
      <c r="I245" s="5" t="str">
        <f>IFERROR(INDEX(Product_Master!$B$2:$B$30,MATCH($H245,Product_Master!$A$2:$A$30,0)),"Invalid Product Code")</f>
        <v>Sports</v>
      </c>
      <c r="J245" s="5">
        <f>IFERROR(INDEX(Product_Master!$C$2:$C$30,MATCH($H245,Product_Master!$A$2:$A$30,0)),0)</f>
        <v>435</v>
      </c>
      <c r="K245" s="5">
        <f>Sales_Data!E242</f>
        <v>5</v>
      </c>
      <c r="L245" s="5">
        <f>Sales_Data!F242</f>
        <v>2340.5300000000002</v>
      </c>
      <c r="M245" s="5">
        <f>Sales_Data!G242</f>
        <v>2131.04</v>
      </c>
      <c r="N245" s="5" t="str">
        <f>IFERROR(INDEX(Branch_Master!$B$2:$B$9,MATCH($B245,Branch_Master!$A$2:$A$9,0)),"Not Found")</f>
        <v>Pune</v>
      </c>
      <c r="O245" s="5" t="str">
        <f>IFERROR(INDEX(Branch_Master!$C$2:$C$9,MATCH($B245,Branch_Master!$A$2:$A$9,0)),"Not Found")</f>
        <v>Maharashtra</v>
      </c>
      <c r="P245" s="5">
        <f>IFERROR(INDEX(Targets!$B$2:$B$9,MATCH($B245,Targets!$A$2:$A$9,0)),0)</f>
        <v>1250000</v>
      </c>
      <c r="Q245" s="5" t="str">
        <f t="shared" si="6"/>
        <v>Yes</v>
      </c>
      <c r="R245" s="5" t="str">
        <f t="shared" si="7"/>
        <v>Mar</v>
      </c>
    </row>
    <row r="246" spans="1:18" ht="15" customHeight="1" x14ac:dyDescent="0.3">
      <c r="A246" s="5" t="str">
        <f>Sales_Data!A243</f>
        <v>2025-03-31</v>
      </c>
      <c r="B246" s="5" t="str">
        <f>Sales_Data!B243</f>
        <v>Bangalore North</v>
      </c>
      <c r="C246" s="5" t="str">
        <f>Sales_Data!C243</f>
        <v>E040</v>
      </c>
      <c r="D246" s="5" t="str">
        <f>IFERROR(INDEX(Employee_Master!$B$2:$B$44,MATCH($C246,Employee_Master!$A$2:$A$44,0)),"Not Found")</f>
        <v>Bonnie Cox</v>
      </c>
      <c r="E246" s="5" t="str">
        <f>IFERROR(INDEX(Employee_Master!$C$2:$C$44,MATCH($C246,Employee_Master!$A$2:$A$44,0)),"Not Found")</f>
        <v>Customer Support</v>
      </c>
      <c r="F246" s="5" t="str">
        <f>IFERROR(INDEX(Employee_Master!$D$2:$D$44,MATCH($C246,Employee_Master!$A$2:$A$44,0)),"Not Found")</f>
        <v>Jose Soto</v>
      </c>
      <c r="G246" s="5" t="str">
        <f>IFERROR(INDEX(Employee_Master!$E$2:$E$44,MATCH($C246,Employee_Master!$A$2:$A$44,0)),"Not Found")</f>
        <v>South</v>
      </c>
      <c r="H246" s="5" t="str">
        <f>Sales_Data!D243</f>
        <v>P022 - Face Wash</v>
      </c>
      <c r="I246" s="5" t="str">
        <f>IFERROR(INDEX(Product_Master!$B$2:$B$30,MATCH($H246,Product_Master!$A$2:$A$30,0)),"Invalid Product Code")</f>
        <v>Beauty</v>
      </c>
      <c r="J246" s="5">
        <f>IFERROR(INDEX(Product_Master!$C$2:$C$30,MATCH($H246,Product_Master!$A$2:$A$30,0)),0)</f>
        <v>396.75</v>
      </c>
      <c r="K246" s="5">
        <f>Sales_Data!E243</f>
        <v>3</v>
      </c>
      <c r="L246" s="5">
        <f>Sales_Data!F243</f>
        <v>1183.8499999999999</v>
      </c>
      <c r="M246" s="5">
        <f>Sales_Data!G243</f>
        <v>1227.5999999999999</v>
      </c>
      <c r="N246" s="5" t="str">
        <f>IFERROR(INDEX(Branch_Master!$B$2:$B$9,MATCH($B246,Branch_Master!$A$2:$A$9,0)),"Not Found")</f>
        <v>Bangalore</v>
      </c>
      <c r="O246" s="5" t="str">
        <f>IFERROR(INDEX(Branch_Master!$C$2:$C$9,MATCH($B246,Branch_Master!$A$2:$A$9,0)),"Not Found")</f>
        <v>Karnataka</v>
      </c>
      <c r="P246" s="5">
        <f>IFERROR(INDEX(Targets!$B$2:$B$9,MATCH($B246,Targets!$A$2:$A$9,0)),0)</f>
        <v>900000</v>
      </c>
      <c r="Q246" s="5" t="str">
        <f t="shared" si="6"/>
        <v>No</v>
      </c>
      <c r="R246" s="5" t="str">
        <f t="shared" si="7"/>
        <v>Mar</v>
      </c>
    </row>
    <row r="247" spans="1:18" ht="15" customHeight="1" x14ac:dyDescent="0.3">
      <c r="A247" s="5" t="str">
        <f>Sales_Data!A244</f>
        <v>2025-04-01</v>
      </c>
      <c r="B247" s="5" t="str">
        <f>Sales_Data!B244</f>
        <v>Hyderabad Hitech</v>
      </c>
      <c r="C247" s="5" t="str">
        <f>Sales_Data!C244</f>
        <v>E030</v>
      </c>
      <c r="D247" s="5" t="str">
        <f>IFERROR(INDEX(Employee_Master!$B$2:$B$44,MATCH($C247,Employee_Master!$A$2:$A$44,0)),"Not Found")</f>
        <v>Travis Khan</v>
      </c>
      <c r="E247" s="5" t="str">
        <f>IFERROR(INDEX(Employee_Master!$C$2:$C$44,MATCH($C247,Employee_Master!$A$2:$A$44,0)),"Not Found")</f>
        <v>Operations</v>
      </c>
      <c r="F247" s="5" t="str">
        <f>IFERROR(INDEX(Employee_Master!$D$2:$D$44,MATCH($C247,Employee_Master!$A$2:$A$44,0)),"Not Found")</f>
        <v>Anna Turner</v>
      </c>
      <c r="G247" s="5" t="str">
        <f>IFERROR(INDEX(Employee_Master!$E$2:$E$44,MATCH($C247,Employee_Master!$A$2:$A$44,0)),"Not Found")</f>
        <v>South</v>
      </c>
      <c r="H247" s="5" t="str">
        <f>Sales_Data!D244</f>
        <v>P020 - Green Tea Pack</v>
      </c>
      <c r="I247" s="5" t="str">
        <f>IFERROR(INDEX(Product_Master!$B$2:$B$30,MATCH($H247,Product_Master!$A$2:$A$30,0)),"Invalid Product Code")</f>
        <v>Grocery</v>
      </c>
      <c r="J247" s="5">
        <f>IFERROR(INDEX(Product_Master!$C$2:$C$30,MATCH($H247,Product_Master!$A$2:$A$30,0)),0)</f>
        <v>305.39</v>
      </c>
      <c r="K247" s="5">
        <f>Sales_Data!E244</f>
        <v>4</v>
      </c>
      <c r="L247" s="5">
        <f>Sales_Data!F244</f>
        <v>1130.83</v>
      </c>
      <c r="M247" s="5">
        <f>Sales_Data!G244</f>
        <v>1295.83</v>
      </c>
      <c r="N247" s="5" t="str">
        <f>IFERROR(INDEX(Branch_Master!$B$2:$B$9,MATCH($B247,Branch_Master!$A$2:$A$9,0)),"Not Found")</f>
        <v>Hyderabad</v>
      </c>
      <c r="O247" s="5" t="str">
        <f>IFERROR(INDEX(Branch_Master!$C$2:$C$9,MATCH($B247,Branch_Master!$A$2:$A$9,0)),"Not Found")</f>
        <v>Telangana</v>
      </c>
      <c r="P247" s="5">
        <f>IFERROR(INDEX(Targets!$B$2:$B$9,MATCH($B247,Targets!$A$2:$A$9,0)),0)</f>
        <v>1210000</v>
      </c>
      <c r="Q247" s="5" t="str">
        <f t="shared" si="6"/>
        <v>No</v>
      </c>
      <c r="R247" s="5" t="str">
        <f t="shared" si="7"/>
        <v>Apr</v>
      </c>
    </row>
    <row r="248" spans="1:18" ht="15" customHeight="1" x14ac:dyDescent="0.3">
      <c r="A248" s="5" t="str">
        <f>Sales_Data!A245</f>
        <v>2025-04-01</v>
      </c>
      <c r="B248" s="5" t="str">
        <f>Sales_Data!B245</f>
        <v>Kolkata Central</v>
      </c>
      <c r="C248" s="5" t="str">
        <f>Sales_Data!C245</f>
        <v>E028</v>
      </c>
      <c r="D248" s="5" t="str">
        <f>IFERROR(INDEX(Employee_Master!$B$2:$B$44,MATCH($C248,Employee_Master!$A$2:$A$44,0)),"Not Found")</f>
        <v>Sabrina Wright</v>
      </c>
      <c r="E248" s="5" t="str">
        <f>IFERROR(INDEX(Employee_Master!$C$2:$C$44,MATCH($C248,Employee_Master!$A$2:$A$44,0)),"Not Found")</f>
        <v>Customer Support</v>
      </c>
      <c r="F248" s="5" t="str">
        <f>IFERROR(INDEX(Employee_Master!$D$2:$D$44,MATCH($C248,Employee_Master!$A$2:$A$44,0)),"Not Found")</f>
        <v>Lisa Moore</v>
      </c>
      <c r="G248" s="5" t="str">
        <f>IFERROR(INDEX(Employee_Master!$E$2:$E$44,MATCH($C248,Employee_Master!$A$2:$A$44,0)),"Not Found")</f>
        <v>East</v>
      </c>
      <c r="H248" s="5" t="str">
        <f>Sales_Data!D245</f>
        <v>P024 - Hair Serum</v>
      </c>
      <c r="I248" s="5" t="str">
        <f>IFERROR(INDEX(Product_Master!$B$2:$B$30,MATCH($H248,Product_Master!$A$2:$A$30,0)),"Invalid Product Code")</f>
        <v>Beauty</v>
      </c>
      <c r="J248" s="5">
        <f>IFERROR(INDEX(Product_Master!$C$2:$C$30,MATCH($H248,Product_Master!$A$2:$A$30,0)),0)</f>
        <v>1457.31</v>
      </c>
      <c r="K248" s="5">
        <f>Sales_Data!E245</f>
        <v>10</v>
      </c>
      <c r="L248" s="5">
        <f>Sales_Data!F245</f>
        <v>13482.97</v>
      </c>
      <c r="M248" s="5">
        <f>Sales_Data!G245</f>
        <v>14640.74</v>
      </c>
      <c r="N248" s="5" t="str">
        <f>IFERROR(INDEX(Branch_Master!$B$2:$B$9,MATCH($B248,Branch_Master!$A$2:$A$9,0)),"Not Found")</f>
        <v>Kolkata</v>
      </c>
      <c r="O248" s="5" t="str">
        <f>IFERROR(INDEX(Branch_Master!$C$2:$C$9,MATCH($B248,Branch_Master!$A$2:$A$9,0)),"Not Found")</f>
        <v>West Bengal</v>
      </c>
      <c r="P248" s="5">
        <f>IFERROR(INDEX(Targets!$B$2:$B$9,MATCH($B248,Targets!$A$2:$A$9,0)),0)</f>
        <v>1910000</v>
      </c>
      <c r="Q248" s="5" t="str">
        <f t="shared" si="6"/>
        <v>No</v>
      </c>
      <c r="R248" s="5" t="str">
        <f t="shared" si="7"/>
        <v>Apr</v>
      </c>
    </row>
    <row r="249" spans="1:18" ht="15" customHeight="1" x14ac:dyDescent="0.3">
      <c r="A249" s="5" t="str">
        <f>Sales_Data!A246</f>
        <v>2025-04-01</v>
      </c>
      <c r="B249" s="5" t="str">
        <f>Sales_Data!B246</f>
        <v>Ahmedabad West</v>
      </c>
      <c r="C249" s="5" t="str">
        <f>Sales_Data!C246</f>
        <v>E039</v>
      </c>
      <c r="D249" s="5" t="str">
        <f>IFERROR(INDEX(Employee_Master!$B$2:$B$44,MATCH($C249,Employee_Master!$A$2:$A$44,0)),"Not Found")</f>
        <v>Christopher Wood</v>
      </c>
      <c r="E249" s="5" t="str">
        <f>IFERROR(INDEX(Employee_Master!$C$2:$C$44,MATCH($C249,Employee_Master!$A$2:$A$44,0)),"Not Found")</f>
        <v>Marketing</v>
      </c>
      <c r="F249" s="5" t="str">
        <f>IFERROR(INDEX(Employee_Master!$D$2:$D$44,MATCH($C249,Employee_Master!$A$2:$A$44,0)),"Not Found")</f>
        <v>Joseph Brown</v>
      </c>
      <c r="G249" s="5" t="str">
        <f>IFERROR(INDEX(Employee_Master!$E$2:$E$44,MATCH($C249,Employee_Master!$A$2:$A$44,0)),"Not Found")</f>
        <v>West</v>
      </c>
      <c r="H249" s="5" t="str">
        <f>Sales_Data!D246</f>
        <v>P024 - Hair Serum</v>
      </c>
      <c r="I249" s="5" t="str">
        <f>IFERROR(INDEX(Product_Master!$B$2:$B$30,MATCH($H249,Product_Master!$A$2:$A$30,0)),"Invalid Product Code")</f>
        <v>Beauty</v>
      </c>
      <c r="J249" s="5">
        <f>IFERROR(INDEX(Product_Master!$C$2:$C$30,MATCH($H249,Product_Master!$A$2:$A$30,0)),0)</f>
        <v>1457.31</v>
      </c>
      <c r="K249" s="5">
        <f>Sales_Data!E246</f>
        <v>7</v>
      </c>
      <c r="L249" s="5">
        <f>Sales_Data!F246</f>
        <v>10621.31</v>
      </c>
      <c r="M249" s="5">
        <f>Sales_Data!G246</f>
        <v>11203.29</v>
      </c>
      <c r="N249" s="5" t="str">
        <f>IFERROR(INDEX(Branch_Master!$B$2:$B$9,MATCH($B249,Branch_Master!$A$2:$A$9,0)),"Not Found")</f>
        <v>Ahmedabad</v>
      </c>
      <c r="O249" s="5" t="str">
        <f>IFERROR(INDEX(Branch_Master!$C$2:$C$9,MATCH($B249,Branch_Master!$A$2:$A$9,0)),"Not Found")</f>
        <v>Gujarat</v>
      </c>
      <c r="P249" s="5">
        <f>IFERROR(INDEX(Targets!$B$2:$B$9,MATCH($B249,Targets!$A$2:$A$9,0)),0)</f>
        <v>1590000</v>
      </c>
      <c r="Q249" s="5" t="str">
        <f t="shared" si="6"/>
        <v>No</v>
      </c>
      <c r="R249" s="5" t="str">
        <f t="shared" si="7"/>
        <v>Apr</v>
      </c>
    </row>
    <row r="250" spans="1:18" ht="15" customHeight="1" x14ac:dyDescent="0.3">
      <c r="A250" s="5" t="str">
        <f>Sales_Data!A247</f>
        <v>2025-04-01</v>
      </c>
      <c r="B250" s="5" t="str">
        <f>Sales_Data!B247</f>
        <v>Pune East</v>
      </c>
      <c r="C250" s="5" t="str">
        <f>Sales_Data!C247</f>
        <v>E023</v>
      </c>
      <c r="D250" s="5" t="str">
        <f>IFERROR(INDEX(Employee_Master!$B$2:$B$44,MATCH($C250,Employee_Master!$A$2:$A$44,0)),"Not Found")</f>
        <v>Edward Jones</v>
      </c>
      <c r="E250" s="5" t="str">
        <f>IFERROR(INDEX(Employee_Master!$C$2:$C$44,MATCH($C250,Employee_Master!$A$2:$A$44,0)),"Not Found")</f>
        <v>Operations</v>
      </c>
      <c r="F250" s="5" t="str">
        <f>IFERROR(INDEX(Employee_Master!$D$2:$D$44,MATCH($C250,Employee_Master!$A$2:$A$44,0)),"Not Found")</f>
        <v>Jordan Matthews</v>
      </c>
      <c r="G250" s="5" t="str">
        <f>IFERROR(INDEX(Employee_Master!$E$2:$E$44,MATCH($C250,Employee_Master!$A$2:$A$44,0)),"Not Found")</f>
        <v>West</v>
      </c>
      <c r="H250" s="5" t="str">
        <f>Sales_Data!D247</f>
        <v>P010 - Running Shoes</v>
      </c>
      <c r="I250" s="5" t="str">
        <f>IFERROR(INDEX(Product_Master!$B$2:$B$30,MATCH($H250,Product_Master!$A$2:$A$30,0)),"Invalid Product Code")</f>
        <v>Apparel</v>
      </c>
      <c r="J250" s="5">
        <f>IFERROR(INDEX(Product_Master!$C$2:$C$30,MATCH($H250,Product_Master!$A$2:$A$30,0)),0)</f>
        <v>233.71</v>
      </c>
      <c r="K250" s="5">
        <f>Sales_Data!E247</f>
        <v>12</v>
      </c>
      <c r="L250" s="5">
        <f>Sales_Data!F247</f>
        <v>2660.98</v>
      </c>
      <c r="M250" s="5">
        <f>Sales_Data!G247</f>
        <v>3157.5</v>
      </c>
      <c r="N250" s="5" t="str">
        <f>IFERROR(INDEX(Branch_Master!$B$2:$B$9,MATCH($B250,Branch_Master!$A$2:$A$9,0)),"Not Found")</f>
        <v>Pune</v>
      </c>
      <c r="O250" s="5" t="str">
        <f>IFERROR(INDEX(Branch_Master!$C$2:$C$9,MATCH($B250,Branch_Master!$A$2:$A$9,0)),"Not Found")</f>
        <v>Maharashtra</v>
      </c>
      <c r="P250" s="5">
        <f>IFERROR(INDEX(Targets!$B$2:$B$9,MATCH($B250,Targets!$A$2:$A$9,0)),0)</f>
        <v>1250000</v>
      </c>
      <c r="Q250" s="5" t="str">
        <f t="shared" si="6"/>
        <v>No</v>
      </c>
      <c r="R250" s="5" t="str">
        <f t="shared" si="7"/>
        <v>Apr</v>
      </c>
    </row>
    <row r="251" spans="1:18" ht="15" customHeight="1" x14ac:dyDescent="0.3">
      <c r="A251" s="5" t="str">
        <f>Sales_Data!A248</f>
        <v>2025-04-02</v>
      </c>
      <c r="B251" s="5" t="str">
        <f>Sales_Data!B248</f>
        <v>Mumbai Central</v>
      </c>
      <c r="C251" s="5" t="str">
        <f>Sales_Data!C248</f>
        <v>E027</v>
      </c>
      <c r="D251" s="5" t="str">
        <f>IFERROR(INDEX(Employee_Master!$B$2:$B$44,MATCH($C251,Employee_Master!$A$2:$A$44,0)),"Not Found")</f>
        <v>Catherine Moore</v>
      </c>
      <c r="E251" s="5" t="str">
        <f>IFERROR(INDEX(Employee_Master!$C$2:$C$44,MATCH($C251,Employee_Master!$A$2:$A$44,0)),"Not Found")</f>
        <v>Customer Support</v>
      </c>
      <c r="F251" s="5" t="str">
        <f>IFERROR(INDEX(Employee_Master!$D$2:$D$44,MATCH($C251,Employee_Master!$A$2:$A$44,0)),"Not Found")</f>
        <v>Justin Glass</v>
      </c>
      <c r="G251" s="5" t="str">
        <f>IFERROR(INDEX(Employee_Master!$E$2:$E$44,MATCH($C251,Employee_Master!$A$2:$A$44,0)),"Not Found")</f>
        <v>West</v>
      </c>
      <c r="H251" s="5" t="str">
        <f>Sales_Data!D248</f>
        <v>P018 - Cooking Oil 1L</v>
      </c>
      <c r="I251" s="5" t="str">
        <f>IFERROR(INDEX(Product_Master!$B$2:$B$30,MATCH($H251,Product_Master!$A$2:$A$30,0)),"Invalid Product Code")</f>
        <v>Grocery</v>
      </c>
      <c r="J251" s="5">
        <f>IFERROR(INDEX(Product_Master!$C$2:$C$30,MATCH($H251,Product_Master!$A$2:$A$30,0)),0)</f>
        <v>1483.63</v>
      </c>
      <c r="K251" s="5">
        <f>Sales_Data!E248</f>
        <v>12</v>
      </c>
      <c r="L251" s="5">
        <f>Sales_Data!F248</f>
        <v>16152.01</v>
      </c>
      <c r="M251" s="5">
        <f>Sales_Data!G248</f>
        <v>16342.55</v>
      </c>
      <c r="N251" s="5" t="str">
        <f>IFERROR(INDEX(Branch_Master!$B$2:$B$9,MATCH($B251,Branch_Master!$A$2:$A$9,0)),"Not Found")</f>
        <v>Mumbai</v>
      </c>
      <c r="O251" s="5" t="str">
        <f>IFERROR(INDEX(Branch_Master!$C$2:$C$9,MATCH($B251,Branch_Master!$A$2:$A$9,0)),"Not Found")</f>
        <v>Maharashtra</v>
      </c>
      <c r="P251" s="5">
        <f>IFERROR(INDEX(Targets!$B$2:$B$9,MATCH($B251,Targets!$A$2:$A$9,0)),0)</f>
        <v>900000</v>
      </c>
      <c r="Q251" s="5" t="str">
        <f t="shared" si="6"/>
        <v>No</v>
      </c>
      <c r="R251" s="5" t="str">
        <f t="shared" si="7"/>
        <v>Apr</v>
      </c>
    </row>
    <row r="252" spans="1:18" ht="15" customHeight="1" x14ac:dyDescent="0.3">
      <c r="A252" s="5" t="str">
        <f>Sales_Data!A249</f>
        <v>2025-04-02</v>
      </c>
      <c r="B252" s="5" t="str">
        <f>Sales_Data!B249</f>
        <v>Chennai South</v>
      </c>
      <c r="C252" s="5" t="str">
        <f>Sales_Data!C249</f>
        <v>E015</v>
      </c>
      <c r="D252" s="5" t="str">
        <f>IFERROR(INDEX(Employee_Master!$B$2:$B$44,MATCH($C252,Employee_Master!$A$2:$A$44,0)),"Not Found")</f>
        <v>Cassandra Hansen</v>
      </c>
      <c r="E252" s="5" t="str">
        <f>IFERROR(INDEX(Employee_Master!$C$2:$C$44,MATCH($C252,Employee_Master!$A$2:$A$44,0)),"Not Found")</f>
        <v>Customer Support</v>
      </c>
      <c r="F252" s="5" t="str">
        <f>IFERROR(INDEX(Employee_Master!$D$2:$D$44,MATCH($C252,Employee_Master!$A$2:$A$44,0)),"Not Found")</f>
        <v>Robert Steele</v>
      </c>
      <c r="G252" s="5" t="str">
        <f>IFERROR(INDEX(Employee_Master!$E$2:$E$44,MATCH($C252,Employee_Master!$A$2:$A$44,0)),"Not Found")</f>
        <v>South</v>
      </c>
      <c r="H252" s="5" t="str">
        <f>Sales_Data!D249</f>
        <v>P022 - Face Wash</v>
      </c>
      <c r="I252" s="5" t="str">
        <f>IFERROR(INDEX(Product_Master!$B$2:$B$30,MATCH($H252,Product_Master!$A$2:$A$30,0)),"Invalid Product Code")</f>
        <v>Beauty</v>
      </c>
      <c r="J252" s="5">
        <f>IFERROR(INDEX(Product_Master!$C$2:$C$30,MATCH($H252,Product_Master!$A$2:$A$30,0)),0)</f>
        <v>396.75</v>
      </c>
      <c r="K252" s="5">
        <f>Sales_Data!E249</f>
        <v>7</v>
      </c>
      <c r="L252" s="5">
        <f>Sales_Data!F249</f>
        <v>3025.92</v>
      </c>
      <c r="M252" s="5">
        <f>Sales_Data!G249</f>
        <v>2629.13</v>
      </c>
      <c r="N252" s="5" t="str">
        <f>IFERROR(INDEX(Branch_Master!$B$2:$B$9,MATCH($B252,Branch_Master!$A$2:$A$9,0)),"Not Found")</f>
        <v>Chennai</v>
      </c>
      <c r="O252" s="5" t="str">
        <f>IFERROR(INDEX(Branch_Master!$C$2:$C$9,MATCH($B252,Branch_Master!$A$2:$A$9,0)),"Not Found")</f>
        <v>Tamil Nadu</v>
      </c>
      <c r="P252" s="5">
        <f>IFERROR(INDEX(Targets!$B$2:$B$9,MATCH($B252,Targets!$A$2:$A$9,0)),0)</f>
        <v>1910000</v>
      </c>
      <c r="Q252" s="5" t="str">
        <f t="shared" si="6"/>
        <v>Yes</v>
      </c>
      <c r="R252" s="5" t="str">
        <f t="shared" si="7"/>
        <v>Apr</v>
      </c>
    </row>
    <row r="253" spans="1:18" ht="15" customHeight="1" x14ac:dyDescent="0.3">
      <c r="A253" s="5" t="str">
        <f>Sales_Data!A250</f>
        <v>2025-04-02</v>
      </c>
      <c r="B253" s="5" t="str">
        <f>Sales_Data!B250</f>
        <v>Mumbai Central</v>
      </c>
      <c r="C253" s="5" t="str">
        <f>Sales_Data!C250</f>
        <v>E012</v>
      </c>
      <c r="D253" s="5" t="str">
        <f>IFERROR(INDEX(Employee_Master!$B$2:$B$44,MATCH($C253,Employee_Master!$A$2:$A$44,0)),"Not Found")</f>
        <v>Brandon Cook</v>
      </c>
      <c r="E253" s="5" t="str">
        <f>IFERROR(INDEX(Employee_Master!$C$2:$C$44,MATCH($C253,Employee_Master!$A$2:$A$44,0)),"Not Found")</f>
        <v>Customer Support</v>
      </c>
      <c r="F253" s="5" t="str">
        <f>IFERROR(INDEX(Employee_Master!$D$2:$D$44,MATCH($C253,Employee_Master!$A$2:$A$44,0)),"Not Found")</f>
        <v>Justin Glass</v>
      </c>
      <c r="G253" s="5" t="str">
        <f>IFERROR(INDEX(Employee_Master!$E$2:$E$44,MATCH($C253,Employee_Master!$A$2:$A$44,0)),"Not Found")</f>
        <v>West</v>
      </c>
      <c r="H253" s="5" t="str">
        <f>Sales_Data!D250</f>
        <v>P027 - Cricket Bat</v>
      </c>
      <c r="I253" s="5" t="str">
        <f>IFERROR(INDEX(Product_Master!$B$2:$B$30,MATCH($H253,Product_Master!$A$2:$A$30,0)),"Invalid Product Code")</f>
        <v>Sports</v>
      </c>
      <c r="J253" s="5">
        <f>IFERROR(INDEX(Product_Master!$C$2:$C$30,MATCH($H253,Product_Master!$A$2:$A$30,0)),0)</f>
        <v>822.7</v>
      </c>
      <c r="K253" s="5">
        <f>Sales_Data!E250</f>
        <v>3</v>
      </c>
      <c r="L253" s="5">
        <f>Sales_Data!F250</f>
        <v>2627.09</v>
      </c>
      <c r="M253" s="5">
        <f>Sales_Data!G250</f>
        <v>2158.92</v>
      </c>
      <c r="N253" s="5" t="str">
        <f>IFERROR(INDEX(Branch_Master!$B$2:$B$9,MATCH($B253,Branch_Master!$A$2:$A$9,0)),"Not Found")</f>
        <v>Mumbai</v>
      </c>
      <c r="O253" s="5" t="str">
        <f>IFERROR(INDEX(Branch_Master!$C$2:$C$9,MATCH($B253,Branch_Master!$A$2:$A$9,0)),"Not Found")</f>
        <v>Maharashtra</v>
      </c>
      <c r="P253" s="5">
        <f>IFERROR(INDEX(Targets!$B$2:$B$9,MATCH($B253,Targets!$A$2:$A$9,0)),0)</f>
        <v>900000</v>
      </c>
      <c r="Q253" s="5" t="str">
        <f t="shared" si="6"/>
        <v>Yes</v>
      </c>
      <c r="R253" s="5" t="str">
        <f t="shared" si="7"/>
        <v>Apr</v>
      </c>
    </row>
    <row r="254" spans="1:18" ht="15" customHeight="1" x14ac:dyDescent="0.3">
      <c r="A254" s="5" t="str">
        <f>Sales_Data!A251</f>
        <v>2025-04-02</v>
      </c>
      <c r="B254" s="5" t="str">
        <f>Sales_Data!B251</f>
        <v>Mumbai Central</v>
      </c>
      <c r="C254" s="5" t="str">
        <f>Sales_Data!C251</f>
        <v>E027</v>
      </c>
      <c r="D254" s="5" t="str">
        <f>IFERROR(INDEX(Employee_Master!$B$2:$B$44,MATCH($C254,Employee_Master!$A$2:$A$44,0)),"Not Found")</f>
        <v>Catherine Moore</v>
      </c>
      <c r="E254" s="5" t="str">
        <f>IFERROR(INDEX(Employee_Master!$C$2:$C$44,MATCH($C254,Employee_Master!$A$2:$A$44,0)),"Not Found")</f>
        <v>Customer Support</v>
      </c>
      <c r="F254" s="5" t="str">
        <f>IFERROR(INDEX(Employee_Master!$D$2:$D$44,MATCH($C254,Employee_Master!$A$2:$A$44,0)),"Not Found")</f>
        <v>Justin Glass</v>
      </c>
      <c r="G254" s="5" t="str">
        <f>IFERROR(INDEX(Employee_Master!$E$2:$E$44,MATCH($C254,Employee_Master!$A$2:$A$44,0)),"Not Found")</f>
        <v>West</v>
      </c>
      <c r="H254" s="5" t="str">
        <f>Sales_Data!D251</f>
        <v>P001 - Wireless Earbuds</v>
      </c>
      <c r="I254" s="5" t="str">
        <f>IFERROR(INDEX(Product_Master!$B$2:$B$30,MATCH($H254,Product_Master!$A$2:$A$30,0)),"Invalid Product Code")</f>
        <v>Electronics</v>
      </c>
      <c r="J254" s="5">
        <f>IFERROR(INDEX(Product_Master!$C$2:$C$30,MATCH($H254,Product_Master!$A$2:$A$30,0)),0)</f>
        <v>1676.76</v>
      </c>
      <c r="K254" s="5">
        <f>Sales_Data!E251</f>
        <v>10</v>
      </c>
      <c r="L254" s="5">
        <f>Sales_Data!F251</f>
        <v>16704.150000000001</v>
      </c>
      <c r="M254" s="5">
        <f>Sales_Data!G251</f>
        <v>18278.71</v>
      </c>
      <c r="N254" s="5" t="str">
        <f>IFERROR(INDEX(Branch_Master!$B$2:$B$9,MATCH($B254,Branch_Master!$A$2:$A$9,0)),"Not Found")</f>
        <v>Mumbai</v>
      </c>
      <c r="O254" s="5" t="str">
        <f>IFERROR(INDEX(Branch_Master!$C$2:$C$9,MATCH($B254,Branch_Master!$A$2:$A$9,0)),"Not Found")</f>
        <v>Maharashtra</v>
      </c>
      <c r="P254" s="5">
        <f>IFERROR(INDEX(Targets!$B$2:$B$9,MATCH($B254,Targets!$A$2:$A$9,0)),0)</f>
        <v>900000</v>
      </c>
      <c r="Q254" s="5" t="str">
        <f t="shared" si="6"/>
        <v>No</v>
      </c>
      <c r="R254" s="5" t="str">
        <f t="shared" si="7"/>
        <v>Apr</v>
      </c>
    </row>
    <row r="255" spans="1:18" ht="15" customHeight="1" x14ac:dyDescent="0.3">
      <c r="A255" s="5" t="str">
        <f>Sales_Data!A252</f>
        <v>2025-04-02</v>
      </c>
      <c r="B255" s="5" t="str">
        <f>Sales_Data!B252</f>
        <v>Ahmedabad West</v>
      </c>
      <c r="C255" s="5" t="str">
        <f>Sales_Data!C252</f>
        <v>E005</v>
      </c>
      <c r="D255" s="5" t="str">
        <f>IFERROR(INDEX(Employee_Master!$B$2:$B$44,MATCH($C255,Employee_Master!$A$2:$A$44,0)),"Not Found")</f>
        <v>Dr. Sara Zimmerman MD</v>
      </c>
      <c r="E255" s="5" t="str">
        <f>IFERROR(INDEX(Employee_Master!$C$2:$C$44,MATCH($C255,Employee_Master!$A$2:$A$44,0)),"Not Found")</f>
        <v>Operations</v>
      </c>
      <c r="F255" s="5" t="str">
        <f>IFERROR(INDEX(Employee_Master!$D$2:$D$44,MATCH($C255,Employee_Master!$A$2:$A$44,0)),"Not Found")</f>
        <v>Joseph Brown</v>
      </c>
      <c r="G255" s="5" t="str">
        <f>IFERROR(INDEX(Employee_Master!$E$2:$E$44,MATCH($C255,Employee_Master!$A$2:$A$44,0)),"Not Found")</f>
        <v>West</v>
      </c>
      <c r="H255" s="5" t="str">
        <f>Sales_Data!D252</f>
        <v>P018 - Cooking Oil 1L</v>
      </c>
      <c r="I255" s="5" t="str">
        <f>IFERROR(INDEX(Product_Master!$B$2:$B$30,MATCH($H255,Product_Master!$A$2:$A$30,0)),"Invalid Product Code")</f>
        <v>Grocery</v>
      </c>
      <c r="J255" s="5">
        <f>IFERROR(INDEX(Product_Master!$C$2:$C$30,MATCH($H255,Product_Master!$A$2:$A$30,0)),0)</f>
        <v>1483.63</v>
      </c>
      <c r="K255" s="5">
        <f>Sales_Data!E252</f>
        <v>12</v>
      </c>
      <c r="L255" s="5">
        <f>Sales_Data!F252</f>
        <v>16921.060000000001</v>
      </c>
      <c r="M255" s="5">
        <f>Sales_Data!G252</f>
        <v>17337.79</v>
      </c>
      <c r="N255" s="5" t="str">
        <f>IFERROR(INDEX(Branch_Master!$B$2:$B$9,MATCH($B255,Branch_Master!$A$2:$A$9,0)),"Not Found")</f>
        <v>Ahmedabad</v>
      </c>
      <c r="O255" s="5" t="str">
        <f>IFERROR(INDEX(Branch_Master!$C$2:$C$9,MATCH($B255,Branch_Master!$A$2:$A$9,0)),"Not Found")</f>
        <v>Gujarat</v>
      </c>
      <c r="P255" s="5">
        <f>IFERROR(INDEX(Targets!$B$2:$B$9,MATCH($B255,Targets!$A$2:$A$9,0)),0)</f>
        <v>1590000</v>
      </c>
      <c r="Q255" s="5" t="str">
        <f t="shared" si="6"/>
        <v>No</v>
      </c>
      <c r="R255" s="5" t="str">
        <f t="shared" si="7"/>
        <v>Apr</v>
      </c>
    </row>
    <row r="256" spans="1:18" ht="15" customHeight="1" x14ac:dyDescent="0.3">
      <c r="A256" s="5" t="str">
        <f>Sales_Data!A253</f>
        <v>2025-04-02</v>
      </c>
      <c r="B256" s="5" t="str">
        <f>Sales_Data!B253</f>
        <v>Pune East</v>
      </c>
      <c r="C256" s="5" t="str">
        <f>Sales_Data!C253</f>
        <v>E034</v>
      </c>
      <c r="D256" s="5" t="str">
        <f>IFERROR(INDEX(Employee_Master!$B$2:$B$44,MATCH($C256,Employee_Master!$A$2:$A$44,0)),"Not Found")</f>
        <v>Elaine Thompson</v>
      </c>
      <c r="E256" s="5" t="str">
        <f>IFERROR(INDEX(Employee_Master!$C$2:$C$44,MATCH($C256,Employee_Master!$A$2:$A$44,0)),"Not Found")</f>
        <v>Marketing</v>
      </c>
      <c r="F256" s="5" t="str">
        <f>IFERROR(INDEX(Employee_Master!$D$2:$D$44,MATCH($C256,Employee_Master!$A$2:$A$44,0)),"Not Found")</f>
        <v>Jordan Matthews</v>
      </c>
      <c r="G256" s="5" t="str">
        <f>IFERROR(INDEX(Employee_Master!$E$2:$E$44,MATCH($C256,Employee_Master!$A$2:$A$44,0)),"Not Found")</f>
        <v>West</v>
      </c>
      <c r="H256" s="5" t="str">
        <f>Sales_Data!D253</f>
        <v>P026 - Yoga Mat</v>
      </c>
      <c r="I256" s="5" t="str">
        <f>IFERROR(INDEX(Product_Master!$B$2:$B$30,MATCH($H256,Product_Master!$A$2:$A$30,0)),"Invalid Product Code")</f>
        <v>Sports</v>
      </c>
      <c r="J256" s="5">
        <f>IFERROR(INDEX(Product_Master!$C$2:$C$30,MATCH($H256,Product_Master!$A$2:$A$30,0)),0)</f>
        <v>518.76</v>
      </c>
      <c r="K256" s="5">
        <f>Sales_Data!E253</f>
        <v>9</v>
      </c>
      <c r="L256" s="5">
        <f>Sales_Data!F253</f>
        <v>4449.9799999999996</v>
      </c>
      <c r="M256" s="5">
        <f>Sales_Data!G253</f>
        <v>5307.75</v>
      </c>
      <c r="N256" s="5" t="str">
        <f>IFERROR(INDEX(Branch_Master!$B$2:$B$9,MATCH($B256,Branch_Master!$A$2:$A$9,0)),"Not Found")</f>
        <v>Pune</v>
      </c>
      <c r="O256" s="5" t="str">
        <f>IFERROR(INDEX(Branch_Master!$C$2:$C$9,MATCH($B256,Branch_Master!$A$2:$A$9,0)),"Not Found")</f>
        <v>Maharashtra</v>
      </c>
      <c r="P256" s="5">
        <f>IFERROR(INDEX(Targets!$B$2:$B$9,MATCH($B256,Targets!$A$2:$A$9,0)),0)</f>
        <v>1250000</v>
      </c>
      <c r="Q256" s="5" t="str">
        <f t="shared" si="6"/>
        <v>No</v>
      </c>
      <c r="R256" s="5" t="str">
        <f t="shared" si="7"/>
        <v>Apr</v>
      </c>
    </row>
    <row r="257" spans="1:18" ht="15" customHeight="1" x14ac:dyDescent="0.3">
      <c r="A257" s="5" t="str">
        <f>Sales_Data!A254</f>
        <v>2025-04-03</v>
      </c>
      <c r="B257" s="5" t="str">
        <f>Sales_Data!B254</f>
        <v>Delhi NCR</v>
      </c>
      <c r="C257" s="5" t="str">
        <f>Sales_Data!C254</f>
        <v>E013</v>
      </c>
      <c r="D257" s="5" t="str">
        <f>IFERROR(INDEX(Employee_Master!$B$2:$B$44,MATCH($C257,Employee_Master!$A$2:$A$44,0)),"Not Found")</f>
        <v>Norma Wilson</v>
      </c>
      <c r="E257" s="5" t="str">
        <f>IFERROR(INDEX(Employee_Master!$C$2:$C$44,MATCH($C257,Employee_Master!$A$2:$A$44,0)),"Not Found")</f>
        <v>Customer Support</v>
      </c>
      <c r="F257" s="5" t="str">
        <f>IFERROR(INDEX(Employee_Master!$D$2:$D$44,MATCH($C257,Employee_Master!$A$2:$A$44,0)),"Not Found")</f>
        <v>William Oconnell</v>
      </c>
      <c r="G257" s="5" t="str">
        <f>IFERROR(INDEX(Employee_Master!$E$2:$E$44,MATCH($C257,Employee_Master!$A$2:$A$44,0)),"Not Found")</f>
        <v>North</v>
      </c>
      <c r="H257" s="5" t="str">
        <f>Sales_Data!D254</f>
        <v>P020 - Green Tea Pack</v>
      </c>
      <c r="I257" s="5" t="str">
        <f>IFERROR(INDEX(Product_Master!$B$2:$B$30,MATCH($H257,Product_Master!$A$2:$A$30,0)),"Invalid Product Code")</f>
        <v>Grocery</v>
      </c>
      <c r="J257" s="5">
        <f>IFERROR(INDEX(Product_Master!$C$2:$C$30,MATCH($H257,Product_Master!$A$2:$A$30,0)),0)</f>
        <v>305.39</v>
      </c>
      <c r="K257" s="5">
        <f>Sales_Data!E254</f>
        <v>1</v>
      </c>
      <c r="L257" s="5">
        <f>Sales_Data!F254</f>
        <v>312.02</v>
      </c>
      <c r="M257" s="5">
        <f>Sales_Data!G254</f>
        <v>333.44</v>
      </c>
      <c r="N257" s="5" t="str">
        <f>IFERROR(INDEX(Branch_Master!$B$2:$B$9,MATCH($B257,Branch_Master!$A$2:$A$9,0)),"Not Found")</f>
        <v>New Delhi</v>
      </c>
      <c r="O257" s="5" t="str">
        <f>IFERROR(INDEX(Branch_Master!$C$2:$C$9,MATCH($B257,Branch_Master!$A$2:$A$9,0)),"Not Found")</f>
        <v>Delhi</v>
      </c>
      <c r="P257" s="5">
        <f>IFERROR(INDEX(Targets!$B$2:$B$9,MATCH($B257,Targets!$A$2:$A$9,0)),0)</f>
        <v>2070000</v>
      </c>
      <c r="Q257" s="5" t="str">
        <f t="shared" si="6"/>
        <v>No</v>
      </c>
      <c r="R257" s="5" t="str">
        <f t="shared" si="7"/>
        <v>Apr</v>
      </c>
    </row>
    <row r="258" spans="1:18" ht="15" customHeight="1" x14ac:dyDescent="0.3">
      <c r="A258" s="5" t="str">
        <f>Sales_Data!A255</f>
        <v>2025-04-03</v>
      </c>
      <c r="B258" s="5" t="str">
        <f>Sales_Data!B255</f>
        <v>Hyderabad Hitech</v>
      </c>
      <c r="C258" s="5" t="str">
        <f>Sales_Data!C255</f>
        <v>E026</v>
      </c>
      <c r="D258" s="5" t="str">
        <f>IFERROR(INDEX(Employee_Master!$B$2:$B$44,MATCH($C258,Employee_Master!$A$2:$A$44,0)),"Not Found")</f>
        <v>Karen Andrews</v>
      </c>
      <c r="E258" s="5" t="str">
        <f>IFERROR(INDEX(Employee_Master!$C$2:$C$44,MATCH($C258,Employee_Master!$A$2:$A$44,0)),"Not Found")</f>
        <v>Marketing</v>
      </c>
      <c r="F258" s="5" t="str">
        <f>IFERROR(INDEX(Employee_Master!$D$2:$D$44,MATCH($C258,Employee_Master!$A$2:$A$44,0)),"Not Found")</f>
        <v>Anna Turner</v>
      </c>
      <c r="G258" s="5" t="str">
        <f>IFERROR(INDEX(Employee_Master!$E$2:$E$44,MATCH($C258,Employee_Master!$A$2:$A$44,0)),"Not Found")</f>
        <v>South</v>
      </c>
      <c r="H258" s="5" t="str">
        <f>Sales_Data!D255</f>
        <v>P004 - Power Bank</v>
      </c>
      <c r="I258" s="5" t="str">
        <f>IFERROR(INDEX(Product_Master!$B$2:$B$30,MATCH($H258,Product_Master!$A$2:$A$30,0)),"Invalid Product Code")</f>
        <v>Electronics</v>
      </c>
      <c r="J258" s="5">
        <f>IFERROR(INDEX(Product_Master!$C$2:$C$30,MATCH($H258,Product_Master!$A$2:$A$30,0)),0)</f>
        <v>76.91</v>
      </c>
      <c r="K258" s="5">
        <f>Sales_Data!E255</f>
        <v>7</v>
      </c>
      <c r="L258" s="5">
        <f>Sales_Data!F255</f>
        <v>506.13</v>
      </c>
      <c r="M258" s="5">
        <f>Sales_Data!G255</f>
        <v>561.04</v>
      </c>
      <c r="N258" s="5" t="str">
        <f>IFERROR(INDEX(Branch_Master!$B$2:$B$9,MATCH($B258,Branch_Master!$A$2:$A$9,0)),"Not Found")</f>
        <v>Hyderabad</v>
      </c>
      <c r="O258" s="5" t="str">
        <f>IFERROR(INDEX(Branch_Master!$C$2:$C$9,MATCH($B258,Branch_Master!$A$2:$A$9,0)),"Not Found")</f>
        <v>Telangana</v>
      </c>
      <c r="P258" s="5">
        <f>IFERROR(INDEX(Targets!$B$2:$B$9,MATCH($B258,Targets!$A$2:$A$9,0)),0)</f>
        <v>1210000</v>
      </c>
      <c r="Q258" s="5" t="str">
        <f t="shared" si="6"/>
        <v>No</v>
      </c>
      <c r="R258" s="5" t="str">
        <f t="shared" si="7"/>
        <v>Apr</v>
      </c>
    </row>
    <row r="259" spans="1:18" ht="15" customHeight="1" x14ac:dyDescent="0.3">
      <c r="A259" s="5" t="str">
        <f>Sales_Data!A256</f>
        <v>2025-04-03</v>
      </c>
      <c r="B259" s="5" t="str">
        <f>Sales_Data!B256</f>
        <v>Pune East</v>
      </c>
      <c r="C259" s="5" t="str">
        <f>Sales_Data!C256</f>
        <v>E023</v>
      </c>
      <c r="D259" s="5" t="str">
        <f>IFERROR(INDEX(Employee_Master!$B$2:$B$44,MATCH($C259,Employee_Master!$A$2:$A$44,0)),"Not Found")</f>
        <v>Edward Jones</v>
      </c>
      <c r="E259" s="5" t="str">
        <f>IFERROR(INDEX(Employee_Master!$C$2:$C$44,MATCH($C259,Employee_Master!$A$2:$A$44,0)),"Not Found")</f>
        <v>Operations</v>
      </c>
      <c r="F259" s="5" t="str">
        <f>IFERROR(INDEX(Employee_Master!$D$2:$D$44,MATCH($C259,Employee_Master!$A$2:$A$44,0)),"Not Found")</f>
        <v>Jordan Matthews</v>
      </c>
      <c r="G259" s="5" t="str">
        <f>IFERROR(INDEX(Employee_Master!$E$2:$E$44,MATCH($C259,Employee_Master!$A$2:$A$44,0)),"Not Found")</f>
        <v>West</v>
      </c>
      <c r="H259" s="5" t="str">
        <f>Sales_Data!D256</f>
        <v>P005 - LED Monitor</v>
      </c>
      <c r="I259" s="5" t="str">
        <f>IFERROR(INDEX(Product_Master!$B$2:$B$30,MATCH($H259,Product_Master!$A$2:$A$30,0)),"Invalid Product Code")</f>
        <v>Electronics</v>
      </c>
      <c r="J259" s="5">
        <f>IFERROR(INDEX(Product_Master!$C$2:$C$30,MATCH($H259,Product_Master!$A$2:$A$30,0)),0)</f>
        <v>489.9</v>
      </c>
      <c r="K259" s="5">
        <f>Sales_Data!E256</f>
        <v>2</v>
      </c>
      <c r="L259" s="5">
        <f>Sales_Data!F256</f>
        <v>960.73</v>
      </c>
      <c r="M259" s="5">
        <f>Sales_Data!G256</f>
        <v>1108.7</v>
      </c>
      <c r="N259" s="5" t="str">
        <f>IFERROR(INDEX(Branch_Master!$B$2:$B$9,MATCH($B259,Branch_Master!$A$2:$A$9,0)),"Not Found")</f>
        <v>Pune</v>
      </c>
      <c r="O259" s="5" t="str">
        <f>IFERROR(INDEX(Branch_Master!$C$2:$C$9,MATCH($B259,Branch_Master!$A$2:$A$9,0)),"Not Found")</f>
        <v>Maharashtra</v>
      </c>
      <c r="P259" s="5">
        <f>IFERROR(INDEX(Targets!$B$2:$B$9,MATCH($B259,Targets!$A$2:$A$9,0)),0)</f>
        <v>1250000</v>
      </c>
      <c r="Q259" s="5" t="str">
        <f t="shared" si="6"/>
        <v>No</v>
      </c>
      <c r="R259" s="5" t="str">
        <f t="shared" si="7"/>
        <v>Apr</v>
      </c>
    </row>
    <row r="260" spans="1:18" ht="15" customHeight="1" x14ac:dyDescent="0.3">
      <c r="A260" s="5" t="str">
        <f>Sales_Data!A257</f>
        <v>2025-04-03</v>
      </c>
      <c r="B260" s="5" t="str">
        <f>Sales_Data!B257</f>
        <v>Kolkata Central</v>
      </c>
      <c r="C260" s="5" t="str">
        <f>Sales_Data!C257</f>
        <v>E024</v>
      </c>
      <c r="D260" s="5" t="str">
        <f>IFERROR(INDEX(Employee_Master!$B$2:$B$44,MATCH($C260,Employee_Master!$A$2:$A$44,0)),"Not Found")</f>
        <v>Kevin Sanchez</v>
      </c>
      <c r="E260" s="5" t="str">
        <f>IFERROR(INDEX(Employee_Master!$C$2:$C$44,MATCH($C260,Employee_Master!$A$2:$A$44,0)),"Not Found")</f>
        <v>Sales</v>
      </c>
      <c r="F260" s="5" t="str">
        <f>IFERROR(INDEX(Employee_Master!$D$2:$D$44,MATCH($C260,Employee_Master!$A$2:$A$44,0)),"Not Found")</f>
        <v>Lisa Moore</v>
      </c>
      <c r="G260" s="5" t="str">
        <f>IFERROR(INDEX(Employee_Master!$E$2:$E$44,MATCH($C260,Employee_Master!$A$2:$A$44,0)),"Not Found")</f>
        <v>East</v>
      </c>
      <c r="H260" s="5" t="str">
        <f>Sales_Data!D257</f>
        <v>P024 - Hair Serum</v>
      </c>
      <c r="I260" s="5" t="str">
        <f>IFERROR(INDEX(Product_Master!$B$2:$B$30,MATCH($H260,Product_Master!$A$2:$A$30,0)),"Invalid Product Code")</f>
        <v>Beauty</v>
      </c>
      <c r="J260" s="5">
        <f>IFERROR(INDEX(Product_Master!$C$2:$C$30,MATCH($H260,Product_Master!$A$2:$A$30,0)),0)</f>
        <v>1457.31</v>
      </c>
      <c r="K260" s="5">
        <f>Sales_Data!E257</f>
        <v>3</v>
      </c>
      <c r="L260" s="5">
        <f>Sales_Data!F257</f>
        <v>3996.43</v>
      </c>
      <c r="M260" s="5">
        <f>Sales_Data!G257</f>
        <v>4164.33</v>
      </c>
      <c r="N260" s="5" t="str">
        <f>IFERROR(INDEX(Branch_Master!$B$2:$B$9,MATCH($B260,Branch_Master!$A$2:$A$9,0)),"Not Found")</f>
        <v>Kolkata</v>
      </c>
      <c r="O260" s="5" t="str">
        <f>IFERROR(INDEX(Branch_Master!$C$2:$C$9,MATCH($B260,Branch_Master!$A$2:$A$9,0)),"Not Found")</f>
        <v>West Bengal</v>
      </c>
      <c r="P260" s="5">
        <f>IFERROR(INDEX(Targets!$B$2:$B$9,MATCH($B260,Targets!$A$2:$A$9,0)),0)</f>
        <v>1910000</v>
      </c>
      <c r="Q260" s="5" t="str">
        <f t="shared" si="6"/>
        <v>No</v>
      </c>
      <c r="R260" s="5" t="str">
        <f t="shared" si="7"/>
        <v>Apr</v>
      </c>
    </row>
    <row r="261" spans="1:18" ht="15" customHeight="1" x14ac:dyDescent="0.3">
      <c r="A261" s="5" t="str">
        <f>Sales_Data!A258</f>
        <v>2025-04-03</v>
      </c>
      <c r="B261" s="5" t="str">
        <f>Sales_Data!B258</f>
        <v>Chennai South</v>
      </c>
      <c r="C261" s="5" t="str">
        <f>Sales_Data!C258</f>
        <v>E032</v>
      </c>
      <c r="D261" s="5" t="str">
        <f>IFERROR(INDEX(Employee_Master!$B$2:$B$44,MATCH($C261,Employee_Master!$A$2:$A$44,0)),"Not Found")</f>
        <v>Victor Allen</v>
      </c>
      <c r="E261" s="5" t="str">
        <f>IFERROR(INDEX(Employee_Master!$C$2:$C$44,MATCH($C261,Employee_Master!$A$2:$A$44,0)),"Not Found")</f>
        <v>Operations</v>
      </c>
      <c r="F261" s="5" t="str">
        <f>IFERROR(INDEX(Employee_Master!$D$2:$D$44,MATCH($C261,Employee_Master!$A$2:$A$44,0)),"Not Found")</f>
        <v>Robert Steele</v>
      </c>
      <c r="G261" s="5" t="str">
        <f>IFERROR(INDEX(Employee_Master!$E$2:$E$44,MATCH($C261,Employee_Master!$A$2:$A$44,0)),"Not Found")</f>
        <v>South</v>
      </c>
      <c r="H261" s="5" t="str">
        <f>Sales_Data!D258</f>
        <v>P018 - Cooking Oil 1L</v>
      </c>
      <c r="I261" s="5" t="str">
        <f>IFERROR(INDEX(Product_Master!$B$2:$B$30,MATCH($H261,Product_Master!$A$2:$A$30,0)),"Invalid Product Code")</f>
        <v>Grocery</v>
      </c>
      <c r="J261" s="5">
        <f>IFERROR(INDEX(Product_Master!$C$2:$C$30,MATCH($H261,Product_Master!$A$2:$A$30,0)),0)</f>
        <v>1483.63</v>
      </c>
      <c r="K261" s="5">
        <f>Sales_Data!E258</f>
        <v>2</v>
      </c>
      <c r="L261" s="5">
        <f>Sales_Data!F258</f>
        <v>3026.24</v>
      </c>
      <c r="M261" s="5">
        <f>Sales_Data!G258</f>
        <v>3372.65</v>
      </c>
      <c r="N261" s="5" t="str">
        <f>IFERROR(INDEX(Branch_Master!$B$2:$B$9,MATCH($B261,Branch_Master!$A$2:$A$9,0)),"Not Found")</f>
        <v>Chennai</v>
      </c>
      <c r="O261" s="5" t="str">
        <f>IFERROR(INDEX(Branch_Master!$C$2:$C$9,MATCH($B261,Branch_Master!$A$2:$A$9,0)),"Not Found")</f>
        <v>Tamil Nadu</v>
      </c>
      <c r="P261" s="5">
        <f>IFERROR(INDEX(Targets!$B$2:$B$9,MATCH($B261,Targets!$A$2:$A$9,0)),0)</f>
        <v>1910000</v>
      </c>
      <c r="Q261" s="5" t="str">
        <f t="shared" ref="Q261:Q324" si="8">IF(L261&gt;=M261,"Yes","No")</f>
        <v>No</v>
      </c>
      <c r="R261" s="5" t="str">
        <f t="shared" ref="R261:R324" si="9">TEXT(A261,"MMM")</f>
        <v>Apr</v>
      </c>
    </row>
    <row r="262" spans="1:18" ht="15" customHeight="1" x14ac:dyDescent="0.3">
      <c r="A262" s="5" t="str">
        <f>Sales_Data!A259</f>
        <v>2025-04-04</v>
      </c>
      <c r="B262" s="5" t="str">
        <f>Sales_Data!B259</f>
        <v>Delhi NCR</v>
      </c>
      <c r="C262" s="5" t="str">
        <f>Sales_Data!C259</f>
        <v>E013</v>
      </c>
      <c r="D262" s="5" t="str">
        <f>IFERROR(INDEX(Employee_Master!$B$2:$B$44,MATCH($C262,Employee_Master!$A$2:$A$44,0)),"Not Found")</f>
        <v>Norma Wilson</v>
      </c>
      <c r="E262" s="5" t="str">
        <f>IFERROR(INDEX(Employee_Master!$C$2:$C$44,MATCH($C262,Employee_Master!$A$2:$A$44,0)),"Not Found")</f>
        <v>Customer Support</v>
      </c>
      <c r="F262" s="5" t="str">
        <f>IFERROR(INDEX(Employee_Master!$D$2:$D$44,MATCH($C262,Employee_Master!$A$2:$A$44,0)),"Not Found")</f>
        <v>William Oconnell</v>
      </c>
      <c r="G262" s="5" t="str">
        <f>IFERROR(INDEX(Employee_Master!$E$2:$E$44,MATCH($C262,Employee_Master!$A$2:$A$44,0)),"Not Found")</f>
        <v>North</v>
      </c>
      <c r="H262" s="5" t="str">
        <f>Sales_Data!D259</f>
        <v>P019 - Organic Honey</v>
      </c>
      <c r="I262" s="5" t="str">
        <f>IFERROR(INDEX(Product_Master!$B$2:$B$30,MATCH($H262,Product_Master!$A$2:$A$30,0)),"Invalid Product Code")</f>
        <v>Grocery</v>
      </c>
      <c r="J262" s="5">
        <f>IFERROR(INDEX(Product_Master!$C$2:$C$30,MATCH($H262,Product_Master!$A$2:$A$30,0)),0)</f>
        <v>482.15</v>
      </c>
      <c r="K262" s="5">
        <f>Sales_Data!E259</f>
        <v>10</v>
      </c>
      <c r="L262" s="5">
        <f>Sales_Data!F259</f>
        <v>4478.28</v>
      </c>
      <c r="M262" s="5">
        <f>Sales_Data!G259</f>
        <v>4278.3599999999997</v>
      </c>
      <c r="N262" s="5" t="str">
        <f>IFERROR(INDEX(Branch_Master!$B$2:$B$9,MATCH($B262,Branch_Master!$A$2:$A$9,0)),"Not Found")</f>
        <v>New Delhi</v>
      </c>
      <c r="O262" s="5" t="str">
        <f>IFERROR(INDEX(Branch_Master!$C$2:$C$9,MATCH($B262,Branch_Master!$A$2:$A$9,0)),"Not Found")</f>
        <v>Delhi</v>
      </c>
      <c r="P262" s="5">
        <f>IFERROR(INDEX(Targets!$B$2:$B$9,MATCH($B262,Targets!$A$2:$A$9,0)),0)</f>
        <v>2070000</v>
      </c>
      <c r="Q262" s="5" t="str">
        <f t="shared" si="8"/>
        <v>Yes</v>
      </c>
      <c r="R262" s="5" t="str">
        <f t="shared" si="9"/>
        <v>Apr</v>
      </c>
    </row>
    <row r="263" spans="1:18" ht="15" customHeight="1" x14ac:dyDescent="0.3">
      <c r="A263" s="5" t="str">
        <f>Sales_Data!A260</f>
        <v>2025-04-04</v>
      </c>
      <c r="B263" s="5" t="str">
        <f>Sales_Data!B260</f>
        <v>Delhi NCR</v>
      </c>
      <c r="C263" s="5" t="str">
        <f>Sales_Data!C260</f>
        <v>E013</v>
      </c>
      <c r="D263" s="5" t="str">
        <f>IFERROR(INDEX(Employee_Master!$B$2:$B$44,MATCH($C263,Employee_Master!$A$2:$A$44,0)),"Not Found")</f>
        <v>Norma Wilson</v>
      </c>
      <c r="E263" s="5" t="str">
        <f>IFERROR(INDEX(Employee_Master!$C$2:$C$44,MATCH($C263,Employee_Master!$A$2:$A$44,0)),"Not Found")</f>
        <v>Customer Support</v>
      </c>
      <c r="F263" s="5" t="str">
        <f>IFERROR(INDEX(Employee_Master!$D$2:$D$44,MATCH($C263,Employee_Master!$A$2:$A$44,0)),"Not Found")</f>
        <v>William Oconnell</v>
      </c>
      <c r="G263" s="5" t="str">
        <f>IFERROR(INDEX(Employee_Master!$E$2:$E$44,MATCH($C263,Employee_Master!$A$2:$A$44,0)),"Not Found")</f>
        <v>North</v>
      </c>
      <c r="H263" s="5" t="str">
        <f>Sales_Data!D260</f>
        <v>P005 - LED Monitor</v>
      </c>
      <c r="I263" s="5" t="str">
        <f>IFERROR(INDEX(Product_Master!$B$2:$B$30,MATCH($H263,Product_Master!$A$2:$A$30,0)),"Invalid Product Code")</f>
        <v>Electronics</v>
      </c>
      <c r="J263" s="5">
        <f>IFERROR(INDEX(Product_Master!$C$2:$C$30,MATCH($H263,Product_Master!$A$2:$A$30,0)),0)</f>
        <v>489.9</v>
      </c>
      <c r="K263" s="5">
        <f>Sales_Data!E260</f>
        <v>12</v>
      </c>
      <c r="L263" s="5">
        <f>Sales_Data!F260</f>
        <v>0</v>
      </c>
      <c r="M263" s="5">
        <f>Sales_Data!G260</f>
        <v>5663.84</v>
      </c>
      <c r="N263" s="5" t="str">
        <f>IFERROR(INDEX(Branch_Master!$B$2:$B$9,MATCH($B263,Branch_Master!$A$2:$A$9,0)),"Not Found")</f>
        <v>New Delhi</v>
      </c>
      <c r="O263" s="5" t="str">
        <f>IFERROR(INDEX(Branch_Master!$C$2:$C$9,MATCH($B263,Branch_Master!$A$2:$A$9,0)),"Not Found")</f>
        <v>Delhi</v>
      </c>
      <c r="P263" s="5">
        <f>IFERROR(INDEX(Targets!$B$2:$B$9,MATCH($B263,Targets!$A$2:$A$9,0)),0)</f>
        <v>2070000</v>
      </c>
      <c r="Q263" s="5" t="str">
        <f t="shared" si="8"/>
        <v>No</v>
      </c>
      <c r="R263" s="5" t="str">
        <f t="shared" si="9"/>
        <v>Apr</v>
      </c>
    </row>
    <row r="264" spans="1:18" ht="15" customHeight="1" x14ac:dyDescent="0.3">
      <c r="A264" s="5" t="str">
        <f>Sales_Data!A261</f>
        <v>2025-04-04</v>
      </c>
      <c r="B264" s="5" t="str">
        <f>Sales_Data!B261</f>
        <v>Hyderabad Hitech</v>
      </c>
      <c r="C264" s="5" t="str">
        <f>Sales_Data!C261</f>
        <v>E030</v>
      </c>
      <c r="D264" s="5" t="str">
        <f>IFERROR(INDEX(Employee_Master!$B$2:$B$44,MATCH($C264,Employee_Master!$A$2:$A$44,0)),"Not Found")</f>
        <v>Travis Khan</v>
      </c>
      <c r="E264" s="5" t="str">
        <f>IFERROR(INDEX(Employee_Master!$C$2:$C$44,MATCH($C264,Employee_Master!$A$2:$A$44,0)),"Not Found")</f>
        <v>Operations</v>
      </c>
      <c r="F264" s="5" t="str">
        <f>IFERROR(INDEX(Employee_Master!$D$2:$D$44,MATCH($C264,Employee_Master!$A$2:$A$44,0)),"Not Found")</f>
        <v>Anna Turner</v>
      </c>
      <c r="G264" s="5" t="str">
        <f>IFERROR(INDEX(Employee_Master!$E$2:$E$44,MATCH($C264,Employee_Master!$A$2:$A$44,0)),"Not Found")</f>
        <v>South</v>
      </c>
      <c r="H264" s="5" t="str">
        <f>Sales_Data!D261</f>
        <v>P022 - Face Wash</v>
      </c>
      <c r="I264" s="5" t="str">
        <f>IFERROR(INDEX(Product_Master!$B$2:$B$30,MATCH($H264,Product_Master!$A$2:$A$30,0)),"Invalid Product Code")</f>
        <v>Beauty</v>
      </c>
      <c r="J264" s="5">
        <f>IFERROR(INDEX(Product_Master!$C$2:$C$30,MATCH($H264,Product_Master!$A$2:$A$30,0)),0)</f>
        <v>396.75</v>
      </c>
      <c r="K264" s="5">
        <f>Sales_Data!E261</f>
        <v>11</v>
      </c>
      <c r="L264" s="5">
        <f>Sales_Data!F261</f>
        <v>4240.95</v>
      </c>
      <c r="M264" s="5">
        <f>Sales_Data!G261</f>
        <v>4555.74</v>
      </c>
      <c r="N264" s="5" t="str">
        <f>IFERROR(INDEX(Branch_Master!$B$2:$B$9,MATCH($B264,Branch_Master!$A$2:$A$9,0)),"Not Found")</f>
        <v>Hyderabad</v>
      </c>
      <c r="O264" s="5" t="str">
        <f>IFERROR(INDEX(Branch_Master!$C$2:$C$9,MATCH($B264,Branch_Master!$A$2:$A$9,0)),"Not Found")</f>
        <v>Telangana</v>
      </c>
      <c r="P264" s="5">
        <f>IFERROR(INDEX(Targets!$B$2:$B$9,MATCH($B264,Targets!$A$2:$A$9,0)),0)</f>
        <v>1210000</v>
      </c>
      <c r="Q264" s="5" t="str">
        <f t="shared" si="8"/>
        <v>No</v>
      </c>
      <c r="R264" s="5" t="str">
        <f t="shared" si="9"/>
        <v>Apr</v>
      </c>
    </row>
    <row r="265" spans="1:18" ht="15" customHeight="1" x14ac:dyDescent="0.3">
      <c r="A265" s="5" t="str">
        <f>Sales_Data!A262</f>
        <v>2025-04-05</v>
      </c>
      <c r="B265" s="5" t="str">
        <f>Sales_Data!B262</f>
        <v>Bangalore North</v>
      </c>
      <c r="C265" s="5" t="str">
        <f>Sales_Data!C262</f>
        <v>E040</v>
      </c>
      <c r="D265" s="5" t="str">
        <f>IFERROR(INDEX(Employee_Master!$B$2:$B$44,MATCH($C265,Employee_Master!$A$2:$A$44,0)),"Not Found")</f>
        <v>Bonnie Cox</v>
      </c>
      <c r="E265" s="5" t="str">
        <f>IFERROR(INDEX(Employee_Master!$C$2:$C$44,MATCH($C265,Employee_Master!$A$2:$A$44,0)),"Not Found")</f>
        <v>Customer Support</v>
      </c>
      <c r="F265" s="5" t="str">
        <f>IFERROR(INDEX(Employee_Master!$D$2:$D$44,MATCH($C265,Employee_Master!$A$2:$A$44,0)),"Not Found")</f>
        <v>Jose Soto</v>
      </c>
      <c r="G265" s="5" t="str">
        <f>IFERROR(INDEX(Employee_Master!$E$2:$E$44,MATCH($C265,Employee_Master!$A$2:$A$44,0)),"Not Found")</f>
        <v>South</v>
      </c>
      <c r="H265" s="5" t="str">
        <f>Sales_Data!D262</f>
        <v>P023 - Sunscreen SPF50</v>
      </c>
      <c r="I265" s="5" t="str">
        <f>IFERROR(INDEX(Product_Master!$B$2:$B$30,MATCH($H265,Product_Master!$A$2:$A$30,0)),"Invalid Product Code")</f>
        <v>Beauty</v>
      </c>
      <c r="J265" s="5">
        <f>IFERROR(INDEX(Product_Master!$C$2:$C$30,MATCH($H265,Product_Master!$A$2:$A$30,0)),0)</f>
        <v>818.95</v>
      </c>
      <c r="K265" s="5">
        <f>Sales_Data!E262</f>
        <v>1</v>
      </c>
      <c r="L265" s="5">
        <f>Sales_Data!F262</f>
        <v>880.94</v>
      </c>
      <c r="M265" s="5">
        <f>Sales_Data!G262</f>
        <v>712.16</v>
      </c>
      <c r="N265" s="5" t="str">
        <f>IFERROR(INDEX(Branch_Master!$B$2:$B$9,MATCH($B265,Branch_Master!$A$2:$A$9,0)),"Not Found")</f>
        <v>Bangalore</v>
      </c>
      <c r="O265" s="5" t="str">
        <f>IFERROR(INDEX(Branch_Master!$C$2:$C$9,MATCH($B265,Branch_Master!$A$2:$A$9,0)),"Not Found")</f>
        <v>Karnataka</v>
      </c>
      <c r="P265" s="5">
        <f>IFERROR(INDEX(Targets!$B$2:$B$9,MATCH($B265,Targets!$A$2:$A$9,0)),0)</f>
        <v>900000</v>
      </c>
      <c r="Q265" s="5" t="str">
        <f t="shared" si="8"/>
        <v>Yes</v>
      </c>
      <c r="R265" s="5" t="str">
        <f t="shared" si="9"/>
        <v>Apr</v>
      </c>
    </row>
    <row r="266" spans="1:18" ht="15" customHeight="1" x14ac:dyDescent="0.3">
      <c r="A266" s="5" t="str">
        <f>Sales_Data!A263</f>
        <v>2025-04-06</v>
      </c>
      <c r="B266" s="5" t="str">
        <f>Sales_Data!B263</f>
        <v>Delhi NCR</v>
      </c>
      <c r="C266" s="5" t="str">
        <f>Sales_Data!C263</f>
        <v>E031</v>
      </c>
      <c r="D266" s="5" t="str">
        <f>IFERROR(INDEX(Employee_Master!$B$2:$B$44,MATCH($C266,Employee_Master!$A$2:$A$44,0)),"Not Found")</f>
        <v>Jennifer Garcia</v>
      </c>
      <c r="E266" s="5" t="str">
        <f>IFERROR(INDEX(Employee_Master!$C$2:$C$44,MATCH($C266,Employee_Master!$A$2:$A$44,0)),"Not Found")</f>
        <v>Sales</v>
      </c>
      <c r="F266" s="5" t="str">
        <f>IFERROR(INDEX(Employee_Master!$D$2:$D$44,MATCH($C266,Employee_Master!$A$2:$A$44,0)),"Not Found")</f>
        <v>William Oconnell</v>
      </c>
      <c r="G266" s="5" t="str">
        <f>IFERROR(INDEX(Employee_Master!$E$2:$E$44,MATCH($C266,Employee_Master!$A$2:$A$44,0)),"Not Found")</f>
        <v>North</v>
      </c>
      <c r="H266" s="5" t="str">
        <f>Sales_Data!D263</f>
        <v>P023 - Sunscreen SPF50</v>
      </c>
      <c r="I266" s="5" t="str">
        <f>IFERROR(INDEX(Product_Master!$B$2:$B$30,MATCH($H266,Product_Master!$A$2:$A$30,0)),"Invalid Product Code")</f>
        <v>Beauty</v>
      </c>
      <c r="J266" s="5">
        <f>IFERROR(INDEX(Product_Master!$C$2:$C$30,MATCH($H266,Product_Master!$A$2:$A$30,0)),0)</f>
        <v>818.95</v>
      </c>
      <c r="K266" s="5">
        <f>Sales_Data!E263</f>
        <v>2</v>
      </c>
      <c r="L266" s="5">
        <f>Sales_Data!F263</f>
        <v>1548.58</v>
      </c>
      <c r="M266" s="5">
        <f>Sales_Data!G263</f>
        <v>1730.65</v>
      </c>
      <c r="N266" s="5" t="str">
        <f>IFERROR(INDEX(Branch_Master!$B$2:$B$9,MATCH($B266,Branch_Master!$A$2:$A$9,0)),"Not Found")</f>
        <v>New Delhi</v>
      </c>
      <c r="O266" s="5" t="str">
        <f>IFERROR(INDEX(Branch_Master!$C$2:$C$9,MATCH($B266,Branch_Master!$A$2:$A$9,0)),"Not Found")</f>
        <v>Delhi</v>
      </c>
      <c r="P266" s="5">
        <f>IFERROR(INDEX(Targets!$B$2:$B$9,MATCH($B266,Targets!$A$2:$A$9,0)),0)</f>
        <v>2070000</v>
      </c>
      <c r="Q266" s="5" t="str">
        <f t="shared" si="8"/>
        <v>No</v>
      </c>
      <c r="R266" s="5" t="str">
        <f t="shared" si="9"/>
        <v>Apr</v>
      </c>
    </row>
    <row r="267" spans="1:18" ht="15" customHeight="1" x14ac:dyDescent="0.3">
      <c r="A267" s="5" t="str">
        <f>Sales_Data!A264</f>
        <v>2025-04-06</v>
      </c>
      <c r="B267" s="5" t="str">
        <f>Sales_Data!B264</f>
        <v>Pune East</v>
      </c>
      <c r="C267" s="5" t="str">
        <f>Sales_Data!C264</f>
        <v>E034</v>
      </c>
      <c r="D267" s="5" t="str">
        <f>IFERROR(INDEX(Employee_Master!$B$2:$B$44,MATCH($C267,Employee_Master!$A$2:$A$44,0)),"Not Found")</f>
        <v>Elaine Thompson</v>
      </c>
      <c r="E267" s="5" t="str">
        <f>IFERROR(INDEX(Employee_Master!$C$2:$C$44,MATCH($C267,Employee_Master!$A$2:$A$44,0)),"Not Found")</f>
        <v>Marketing</v>
      </c>
      <c r="F267" s="5" t="str">
        <f>IFERROR(INDEX(Employee_Master!$D$2:$D$44,MATCH($C267,Employee_Master!$A$2:$A$44,0)),"Not Found")</f>
        <v>Jordan Matthews</v>
      </c>
      <c r="G267" s="5" t="str">
        <f>IFERROR(INDEX(Employee_Master!$E$2:$E$44,MATCH($C267,Employee_Master!$A$2:$A$44,0)),"Not Found")</f>
        <v>West</v>
      </c>
      <c r="H267" s="5" t="str">
        <f>Sales_Data!D264</f>
        <v>P010 - Running Shoes</v>
      </c>
      <c r="I267" s="5" t="str">
        <f>IFERROR(INDEX(Product_Master!$B$2:$B$30,MATCH($H267,Product_Master!$A$2:$A$30,0)),"Invalid Product Code")</f>
        <v>Apparel</v>
      </c>
      <c r="J267" s="5">
        <f>IFERROR(INDEX(Product_Master!$C$2:$C$30,MATCH($H267,Product_Master!$A$2:$A$30,0)),0)</f>
        <v>233.71</v>
      </c>
      <c r="K267" s="5">
        <f>Sales_Data!E264</f>
        <v>9</v>
      </c>
      <c r="L267" s="5">
        <f>Sales_Data!F264</f>
        <v>2249.5500000000002</v>
      </c>
      <c r="M267" s="5">
        <f>Sales_Data!G264</f>
        <v>1810.01</v>
      </c>
      <c r="N267" s="5" t="str">
        <f>IFERROR(INDEX(Branch_Master!$B$2:$B$9,MATCH($B267,Branch_Master!$A$2:$A$9,0)),"Not Found")</f>
        <v>Pune</v>
      </c>
      <c r="O267" s="5" t="str">
        <f>IFERROR(INDEX(Branch_Master!$C$2:$C$9,MATCH($B267,Branch_Master!$A$2:$A$9,0)),"Not Found")</f>
        <v>Maharashtra</v>
      </c>
      <c r="P267" s="5">
        <f>IFERROR(INDEX(Targets!$B$2:$B$9,MATCH($B267,Targets!$A$2:$A$9,0)),0)</f>
        <v>1250000</v>
      </c>
      <c r="Q267" s="5" t="str">
        <f t="shared" si="8"/>
        <v>Yes</v>
      </c>
      <c r="R267" s="5" t="str">
        <f t="shared" si="9"/>
        <v>Apr</v>
      </c>
    </row>
    <row r="268" spans="1:18" ht="15" customHeight="1" x14ac:dyDescent="0.3">
      <c r="A268" s="5" t="str">
        <f>Sales_Data!A265</f>
        <v>2025-04-07</v>
      </c>
      <c r="B268" s="5" t="str">
        <f>Sales_Data!B265</f>
        <v>Delhi NCR</v>
      </c>
      <c r="C268" s="5" t="str">
        <f>Sales_Data!C265</f>
        <v>E031</v>
      </c>
      <c r="D268" s="5" t="str">
        <f>IFERROR(INDEX(Employee_Master!$B$2:$B$44,MATCH($C268,Employee_Master!$A$2:$A$44,0)),"Not Found")</f>
        <v>Jennifer Garcia</v>
      </c>
      <c r="E268" s="5" t="str">
        <f>IFERROR(INDEX(Employee_Master!$C$2:$C$44,MATCH($C268,Employee_Master!$A$2:$A$44,0)),"Not Found")</f>
        <v>Sales</v>
      </c>
      <c r="F268" s="5" t="str">
        <f>IFERROR(INDEX(Employee_Master!$D$2:$D$44,MATCH($C268,Employee_Master!$A$2:$A$44,0)),"Not Found")</f>
        <v>William Oconnell</v>
      </c>
      <c r="G268" s="5" t="str">
        <f>IFERROR(INDEX(Employee_Master!$E$2:$E$44,MATCH($C268,Employee_Master!$A$2:$A$44,0)),"Not Found")</f>
        <v>North</v>
      </c>
      <c r="H268" s="5" t="str">
        <f>Sales_Data!D265</f>
        <v>P021 - Assorted Spices Kit</v>
      </c>
      <c r="I268" s="5" t="str">
        <f>IFERROR(INDEX(Product_Master!$B$2:$B$30,MATCH($H268,Product_Master!$A$2:$A$30,0)),"Invalid Product Code")</f>
        <v>Grocery</v>
      </c>
      <c r="J268" s="5">
        <f>IFERROR(INDEX(Product_Master!$C$2:$C$30,MATCH($H268,Product_Master!$A$2:$A$30,0)),0)</f>
        <v>1060.97</v>
      </c>
      <c r="K268" s="5">
        <f>Sales_Data!E265</f>
        <v>8</v>
      </c>
      <c r="L268" s="5">
        <f>Sales_Data!F265</f>
        <v>7819.4</v>
      </c>
      <c r="M268" s="5">
        <f>Sales_Data!G265</f>
        <v>8176.12</v>
      </c>
      <c r="N268" s="5" t="str">
        <f>IFERROR(INDEX(Branch_Master!$B$2:$B$9,MATCH($B268,Branch_Master!$A$2:$A$9,0)),"Not Found")</f>
        <v>New Delhi</v>
      </c>
      <c r="O268" s="5" t="str">
        <f>IFERROR(INDEX(Branch_Master!$C$2:$C$9,MATCH($B268,Branch_Master!$A$2:$A$9,0)),"Not Found")</f>
        <v>Delhi</v>
      </c>
      <c r="P268" s="5">
        <f>IFERROR(INDEX(Targets!$B$2:$B$9,MATCH($B268,Targets!$A$2:$A$9,0)),0)</f>
        <v>2070000</v>
      </c>
      <c r="Q268" s="5" t="str">
        <f t="shared" si="8"/>
        <v>No</v>
      </c>
      <c r="R268" s="5" t="str">
        <f t="shared" si="9"/>
        <v>Apr</v>
      </c>
    </row>
    <row r="269" spans="1:18" ht="15" customHeight="1" x14ac:dyDescent="0.3">
      <c r="A269" s="5" t="str">
        <f>Sales_Data!A266</f>
        <v>2025-04-07</v>
      </c>
      <c r="B269" s="5" t="str">
        <f>Sales_Data!B266</f>
        <v>Chennai South</v>
      </c>
      <c r="C269" s="5" t="str">
        <f>Sales_Data!C266</f>
        <v>E015</v>
      </c>
      <c r="D269" s="5" t="str">
        <f>IFERROR(INDEX(Employee_Master!$B$2:$B$44,MATCH($C269,Employee_Master!$A$2:$A$44,0)),"Not Found")</f>
        <v>Cassandra Hansen</v>
      </c>
      <c r="E269" s="5" t="str">
        <f>IFERROR(INDEX(Employee_Master!$C$2:$C$44,MATCH($C269,Employee_Master!$A$2:$A$44,0)),"Not Found")</f>
        <v>Customer Support</v>
      </c>
      <c r="F269" s="5" t="str">
        <f>IFERROR(INDEX(Employee_Master!$D$2:$D$44,MATCH($C269,Employee_Master!$A$2:$A$44,0)),"Not Found")</f>
        <v>Robert Steele</v>
      </c>
      <c r="G269" s="5" t="str">
        <f>IFERROR(INDEX(Employee_Master!$E$2:$E$44,MATCH($C269,Employee_Master!$A$2:$A$44,0)),"Not Found")</f>
        <v>South</v>
      </c>
      <c r="H269" s="5" t="str">
        <f>Sales_Data!D266</f>
        <v>P026 - Yoga Mat</v>
      </c>
      <c r="I269" s="5" t="str">
        <f>IFERROR(INDEX(Product_Master!$B$2:$B$30,MATCH($H269,Product_Master!$A$2:$A$30,0)),"Invalid Product Code")</f>
        <v>Sports</v>
      </c>
      <c r="J269" s="5">
        <f>IFERROR(INDEX(Product_Master!$C$2:$C$30,MATCH($H269,Product_Master!$A$2:$A$30,0)),0)</f>
        <v>518.76</v>
      </c>
      <c r="K269" s="5">
        <f>Sales_Data!E266</f>
        <v>8</v>
      </c>
      <c r="L269" s="5">
        <f>Sales_Data!F266</f>
        <v>4209.22</v>
      </c>
      <c r="M269" s="5">
        <f>Sales_Data!G266</f>
        <v>4698.8900000000003</v>
      </c>
      <c r="N269" s="5" t="str">
        <f>IFERROR(INDEX(Branch_Master!$B$2:$B$9,MATCH($B269,Branch_Master!$A$2:$A$9,0)),"Not Found")</f>
        <v>Chennai</v>
      </c>
      <c r="O269" s="5" t="str">
        <f>IFERROR(INDEX(Branch_Master!$C$2:$C$9,MATCH($B269,Branch_Master!$A$2:$A$9,0)),"Not Found")</f>
        <v>Tamil Nadu</v>
      </c>
      <c r="P269" s="5">
        <f>IFERROR(INDEX(Targets!$B$2:$B$9,MATCH($B269,Targets!$A$2:$A$9,0)),0)</f>
        <v>1910000</v>
      </c>
      <c r="Q269" s="5" t="str">
        <f t="shared" si="8"/>
        <v>No</v>
      </c>
      <c r="R269" s="5" t="str">
        <f t="shared" si="9"/>
        <v>Apr</v>
      </c>
    </row>
    <row r="270" spans="1:18" ht="15" customHeight="1" x14ac:dyDescent="0.3">
      <c r="A270" s="5" t="str">
        <f>Sales_Data!A267</f>
        <v>2025-04-07</v>
      </c>
      <c r="B270" s="5" t="str">
        <f>Sales_Data!B267</f>
        <v>Bangalore North</v>
      </c>
      <c r="C270" s="5" t="str">
        <f>Sales_Data!C267</f>
        <v>E003</v>
      </c>
      <c r="D270" s="5" t="str">
        <f>IFERROR(INDEX(Employee_Master!$B$2:$B$44,MATCH($C270,Employee_Master!$A$2:$A$44,0)),"Not Found")</f>
        <v>Margaret Porter</v>
      </c>
      <c r="E270" s="5" t="str">
        <f>IFERROR(INDEX(Employee_Master!$C$2:$C$44,MATCH($C270,Employee_Master!$A$2:$A$44,0)),"Not Found")</f>
        <v>Customer Support</v>
      </c>
      <c r="F270" s="5" t="str">
        <f>IFERROR(INDEX(Employee_Master!$D$2:$D$44,MATCH($C270,Employee_Master!$A$2:$A$44,0)),"Not Found")</f>
        <v>Jose Soto</v>
      </c>
      <c r="G270" s="5" t="str">
        <f>IFERROR(INDEX(Employee_Master!$E$2:$E$44,MATCH($C270,Employee_Master!$A$2:$A$44,0)),"Not Found")</f>
        <v>South</v>
      </c>
      <c r="H270" s="5" t="str">
        <f>Sales_Data!D267</f>
        <v>P020 - Green Tea Pack</v>
      </c>
      <c r="I270" s="5" t="str">
        <f>IFERROR(INDEX(Product_Master!$B$2:$B$30,MATCH($H270,Product_Master!$A$2:$A$30,0)),"Invalid Product Code")</f>
        <v>Grocery</v>
      </c>
      <c r="J270" s="5">
        <f>IFERROR(INDEX(Product_Master!$C$2:$C$30,MATCH($H270,Product_Master!$A$2:$A$30,0)),0)</f>
        <v>305.39</v>
      </c>
      <c r="K270" s="5">
        <f>Sales_Data!E267</f>
        <v>3</v>
      </c>
      <c r="L270" s="5">
        <f>Sales_Data!F267</f>
        <v>858.2</v>
      </c>
      <c r="M270" s="5">
        <f>Sales_Data!G267</f>
        <v>1045.06</v>
      </c>
      <c r="N270" s="5" t="str">
        <f>IFERROR(INDEX(Branch_Master!$B$2:$B$9,MATCH($B270,Branch_Master!$A$2:$A$9,0)),"Not Found")</f>
        <v>Bangalore</v>
      </c>
      <c r="O270" s="5" t="str">
        <f>IFERROR(INDEX(Branch_Master!$C$2:$C$9,MATCH($B270,Branch_Master!$A$2:$A$9,0)),"Not Found")</f>
        <v>Karnataka</v>
      </c>
      <c r="P270" s="5">
        <f>IFERROR(INDEX(Targets!$B$2:$B$9,MATCH($B270,Targets!$A$2:$A$9,0)),0)</f>
        <v>900000</v>
      </c>
      <c r="Q270" s="5" t="str">
        <f t="shared" si="8"/>
        <v>No</v>
      </c>
      <c r="R270" s="5" t="str">
        <f t="shared" si="9"/>
        <v>Apr</v>
      </c>
    </row>
    <row r="271" spans="1:18" ht="15" customHeight="1" x14ac:dyDescent="0.3">
      <c r="A271" s="5" t="str">
        <f>Sales_Data!A268</f>
        <v>2025-04-08</v>
      </c>
      <c r="B271" s="5" t="str">
        <f>Sales_Data!B268</f>
        <v>Ahmedabad West</v>
      </c>
      <c r="C271" s="5" t="str">
        <f>Sales_Data!C268</f>
        <v>E037</v>
      </c>
      <c r="D271" s="5" t="str">
        <f>IFERROR(INDEX(Employee_Master!$B$2:$B$44,MATCH($C271,Employee_Master!$A$2:$A$44,0)),"Not Found")</f>
        <v>Thomas Harris</v>
      </c>
      <c r="E271" s="5" t="str">
        <f>IFERROR(INDEX(Employee_Master!$C$2:$C$44,MATCH($C271,Employee_Master!$A$2:$A$44,0)),"Not Found")</f>
        <v>Customer Support</v>
      </c>
      <c r="F271" s="5" t="str">
        <f>IFERROR(INDEX(Employee_Master!$D$2:$D$44,MATCH($C271,Employee_Master!$A$2:$A$44,0)),"Not Found")</f>
        <v>Joseph Brown</v>
      </c>
      <c r="G271" s="5" t="str">
        <f>IFERROR(INDEX(Employee_Master!$E$2:$E$44,MATCH($C271,Employee_Master!$A$2:$A$44,0)),"Not Found")</f>
        <v>West</v>
      </c>
      <c r="H271" s="5" t="str">
        <f>Sales_Data!D268</f>
        <v>P002 - Smart Watch</v>
      </c>
      <c r="I271" s="5" t="str">
        <f>IFERROR(INDEX(Product_Master!$B$2:$B$30,MATCH($H271,Product_Master!$A$2:$A$30,0)),"Invalid Product Code")</f>
        <v>Electronics</v>
      </c>
      <c r="J271" s="5">
        <f>IFERROR(INDEX(Product_Master!$C$2:$C$30,MATCH($H271,Product_Master!$A$2:$A$30,0)),0)</f>
        <v>403.33</v>
      </c>
      <c r="K271" s="5">
        <f>Sales_Data!E268</f>
        <v>2</v>
      </c>
      <c r="L271" s="5">
        <f>Sales_Data!F268</f>
        <v>813.54</v>
      </c>
      <c r="M271" s="5">
        <f>Sales_Data!G268</f>
        <v>918.13</v>
      </c>
      <c r="N271" s="5" t="str">
        <f>IFERROR(INDEX(Branch_Master!$B$2:$B$9,MATCH($B271,Branch_Master!$A$2:$A$9,0)),"Not Found")</f>
        <v>Ahmedabad</v>
      </c>
      <c r="O271" s="5" t="str">
        <f>IFERROR(INDEX(Branch_Master!$C$2:$C$9,MATCH($B271,Branch_Master!$A$2:$A$9,0)),"Not Found")</f>
        <v>Gujarat</v>
      </c>
      <c r="P271" s="5">
        <f>IFERROR(INDEX(Targets!$B$2:$B$9,MATCH($B271,Targets!$A$2:$A$9,0)),0)</f>
        <v>1590000</v>
      </c>
      <c r="Q271" s="5" t="str">
        <f t="shared" si="8"/>
        <v>No</v>
      </c>
      <c r="R271" s="5" t="str">
        <f t="shared" si="9"/>
        <v>Apr</v>
      </c>
    </row>
    <row r="272" spans="1:18" ht="15" customHeight="1" x14ac:dyDescent="0.3">
      <c r="A272" s="5" t="str">
        <f>Sales_Data!A269</f>
        <v>2025-04-08</v>
      </c>
      <c r="B272" s="5" t="str">
        <f>Sales_Data!B269</f>
        <v>Pune East</v>
      </c>
      <c r="C272" s="5" t="str">
        <f>Sales_Data!C269</f>
        <v>E023</v>
      </c>
      <c r="D272" s="5" t="str">
        <f>IFERROR(INDEX(Employee_Master!$B$2:$B$44,MATCH($C272,Employee_Master!$A$2:$A$44,0)),"Not Found")</f>
        <v>Edward Jones</v>
      </c>
      <c r="E272" s="5" t="str">
        <f>IFERROR(INDEX(Employee_Master!$C$2:$C$44,MATCH($C272,Employee_Master!$A$2:$A$44,0)),"Not Found")</f>
        <v>Operations</v>
      </c>
      <c r="F272" s="5" t="str">
        <f>IFERROR(INDEX(Employee_Master!$D$2:$D$44,MATCH($C272,Employee_Master!$A$2:$A$44,0)),"Not Found")</f>
        <v>Jordan Matthews</v>
      </c>
      <c r="G272" s="5" t="str">
        <f>IFERROR(INDEX(Employee_Master!$E$2:$E$44,MATCH($C272,Employee_Master!$A$2:$A$44,0)),"Not Found")</f>
        <v>West</v>
      </c>
      <c r="H272" s="5" t="str">
        <f>Sales_Data!D269</f>
        <v>P001 - Wireless Earbuds</v>
      </c>
      <c r="I272" s="5" t="str">
        <f>IFERROR(INDEX(Product_Master!$B$2:$B$30,MATCH($H272,Product_Master!$A$2:$A$30,0)),"Invalid Product Code")</f>
        <v>Electronics</v>
      </c>
      <c r="J272" s="5">
        <f>IFERROR(INDEX(Product_Master!$C$2:$C$30,MATCH($H272,Product_Master!$A$2:$A$30,0)),0)</f>
        <v>1676.76</v>
      </c>
      <c r="K272" s="5">
        <f>Sales_Data!E269</f>
        <v>11</v>
      </c>
      <c r="L272" s="5">
        <f>Sales_Data!F269</f>
        <v>18537.7</v>
      </c>
      <c r="M272" s="5">
        <f>Sales_Data!G269</f>
        <v>19758.77</v>
      </c>
      <c r="N272" s="5" t="str">
        <f>IFERROR(INDEX(Branch_Master!$B$2:$B$9,MATCH($B272,Branch_Master!$A$2:$A$9,0)),"Not Found")</f>
        <v>Pune</v>
      </c>
      <c r="O272" s="5" t="str">
        <f>IFERROR(INDEX(Branch_Master!$C$2:$C$9,MATCH($B272,Branch_Master!$A$2:$A$9,0)),"Not Found")</f>
        <v>Maharashtra</v>
      </c>
      <c r="P272" s="5">
        <f>IFERROR(INDEX(Targets!$B$2:$B$9,MATCH($B272,Targets!$A$2:$A$9,0)),0)</f>
        <v>1250000</v>
      </c>
      <c r="Q272" s="5" t="str">
        <f t="shared" si="8"/>
        <v>No</v>
      </c>
      <c r="R272" s="5" t="str">
        <f t="shared" si="9"/>
        <v>Apr</v>
      </c>
    </row>
    <row r="273" spans="1:18" ht="15" customHeight="1" x14ac:dyDescent="0.3">
      <c r="A273" s="5" t="str">
        <f>Sales_Data!A270</f>
        <v>2025-04-09</v>
      </c>
      <c r="B273" s="5" t="str">
        <f>Sales_Data!B270</f>
        <v>Pune East</v>
      </c>
      <c r="C273" s="5" t="str">
        <f>Sales_Data!C270</f>
        <v>E034</v>
      </c>
      <c r="D273" s="5" t="str">
        <f>IFERROR(INDEX(Employee_Master!$B$2:$B$44,MATCH($C273,Employee_Master!$A$2:$A$44,0)),"Not Found")</f>
        <v>Elaine Thompson</v>
      </c>
      <c r="E273" s="5" t="str">
        <f>IFERROR(INDEX(Employee_Master!$C$2:$C$44,MATCH($C273,Employee_Master!$A$2:$A$44,0)),"Not Found")</f>
        <v>Marketing</v>
      </c>
      <c r="F273" s="5" t="str">
        <f>IFERROR(INDEX(Employee_Master!$D$2:$D$44,MATCH($C273,Employee_Master!$A$2:$A$44,0)),"Not Found")</f>
        <v>Jordan Matthews</v>
      </c>
      <c r="G273" s="5" t="str">
        <f>IFERROR(INDEX(Employee_Master!$E$2:$E$44,MATCH($C273,Employee_Master!$A$2:$A$44,0)),"Not Found")</f>
        <v>West</v>
      </c>
      <c r="H273" s="5" t="str">
        <f>Sales_Data!D270</f>
        <v>P016 - Dinner Set</v>
      </c>
      <c r="I273" s="5" t="str">
        <f>IFERROR(INDEX(Product_Master!$B$2:$B$30,MATCH($H273,Product_Master!$A$2:$A$30,0)),"Invalid Product Code")</f>
        <v>Home &amp; Kitchen</v>
      </c>
      <c r="J273" s="5">
        <f>IFERROR(INDEX(Product_Master!$C$2:$C$30,MATCH($H273,Product_Master!$A$2:$A$30,0)),0)</f>
        <v>225.06</v>
      </c>
      <c r="K273" s="5">
        <f>Sales_Data!E270</f>
        <v>1</v>
      </c>
      <c r="L273" s="5">
        <f>Sales_Data!F270</f>
        <v>227.65</v>
      </c>
      <c r="M273" s="5">
        <f>Sales_Data!G270</f>
        <v>256.97000000000003</v>
      </c>
      <c r="N273" s="5" t="str">
        <f>IFERROR(INDEX(Branch_Master!$B$2:$B$9,MATCH($B273,Branch_Master!$A$2:$A$9,0)),"Not Found")</f>
        <v>Pune</v>
      </c>
      <c r="O273" s="5" t="str">
        <f>IFERROR(INDEX(Branch_Master!$C$2:$C$9,MATCH($B273,Branch_Master!$A$2:$A$9,0)),"Not Found")</f>
        <v>Maharashtra</v>
      </c>
      <c r="P273" s="5">
        <f>IFERROR(INDEX(Targets!$B$2:$B$9,MATCH($B273,Targets!$A$2:$A$9,0)),0)</f>
        <v>1250000</v>
      </c>
      <c r="Q273" s="5" t="str">
        <f t="shared" si="8"/>
        <v>No</v>
      </c>
      <c r="R273" s="5" t="str">
        <f t="shared" si="9"/>
        <v>Apr</v>
      </c>
    </row>
    <row r="274" spans="1:18" ht="15" customHeight="1" x14ac:dyDescent="0.3">
      <c r="A274" s="5" t="str">
        <f>Sales_Data!A271</f>
        <v>2025-04-10</v>
      </c>
      <c r="B274" s="5" t="str">
        <f>Sales_Data!B271</f>
        <v>Pune East</v>
      </c>
      <c r="C274" s="5" t="str">
        <f>Sales_Data!C271</f>
        <v>E022</v>
      </c>
      <c r="D274" s="5" t="str">
        <f>IFERROR(INDEX(Employee_Master!$B$2:$B$44,MATCH($C274,Employee_Master!$A$2:$A$44,0)),"Not Found")</f>
        <v>Cindy Green PhD</v>
      </c>
      <c r="E274" s="5" t="str">
        <f>IFERROR(INDEX(Employee_Master!$C$2:$C$44,MATCH($C274,Employee_Master!$A$2:$A$44,0)),"Not Found")</f>
        <v>Customer Support</v>
      </c>
      <c r="F274" s="5" t="str">
        <f>IFERROR(INDEX(Employee_Master!$D$2:$D$44,MATCH($C274,Employee_Master!$A$2:$A$44,0)),"Not Found")</f>
        <v>Jordan Matthews</v>
      </c>
      <c r="G274" s="5" t="str">
        <f>IFERROR(INDEX(Employee_Master!$E$2:$E$44,MATCH($C274,Employee_Master!$A$2:$A$44,0)),"Not Found")</f>
        <v>West</v>
      </c>
      <c r="H274" s="5" t="str">
        <f>Sales_Data!D271</f>
        <v>P017 - Basmati Rice 5kg</v>
      </c>
      <c r="I274" s="5" t="str">
        <f>IFERROR(INDEX(Product_Master!$B$2:$B$30,MATCH($H274,Product_Master!$A$2:$A$30,0)),"Invalid Product Code")</f>
        <v>Grocery</v>
      </c>
      <c r="J274" s="5">
        <f>IFERROR(INDEX(Product_Master!$C$2:$C$30,MATCH($H274,Product_Master!$A$2:$A$30,0)),0)</f>
        <v>825.33</v>
      </c>
      <c r="K274" s="5">
        <f>Sales_Data!E271</f>
        <v>12</v>
      </c>
      <c r="L274" s="5">
        <f>Sales_Data!F271</f>
        <v>9254.2000000000007</v>
      </c>
      <c r="M274" s="5">
        <f>Sales_Data!G271</f>
        <v>10327.61</v>
      </c>
      <c r="N274" s="5" t="str">
        <f>IFERROR(INDEX(Branch_Master!$B$2:$B$9,MATCH($B274,Branch_Master!$A$2:$A$9,0)),"Not Found")</f>
        <v>Pune</v>
      </c>
      <c r="O274" s="5" t="str">
        <f>IFERROR(INDEX(Branch_Master!$C$2:$C$9,MATCH($B274,Branch_Master!$A$2:$A$9,0)),"Not Found")</f>
        <v>Maharashtra</v>
      </c>
      <c r="P274" s="5">
        <f>IFERROR(INDEX(Targets!$B$2:$B$9,MATCH($B274,Targets!$A$2:$A$9,0)),0)</f>
        <v>1250000</v>
      </c>
      <c r="Q274" s="5" t="str">
        <f t="shared" si="8"/>
        <v>No</v>
      </c>
      <c r="R274" s="5" t="str">
        <f t="shared" si="9"/>
        <v>Apr</v>
      </c>
    </row>
    <row r="275" spans="1:18" ht="15" customHeight="1" x14ac:dyDescent="0.3">
      <c r="A275" s="5" t="str">
        <f>Sales_Data!A272</f>
        <v>2025-04-10</v>
      </c>
      <c r="B275" s="5" t="str">
        <f>Sales_Data!B272</f>
        <v>Bangalore North</v>
      </c>
      <c r="C275" s="5" t="str">
        <f>Sales_Data!C272</f>
        <v>E003</v>
      </c>
      <c r="D275" s="5" t="str">
        <f>IFERROR(INDEX(Employee_Master!$B$2:$B$44,MATCH($C275,Employee_Master!$A$2:$A$44,0)),"Not Found")</f>
        <v>Margaret Porter</v>
      </c>
      <c r="E275" s="5" t="str">
        <f>IFERROR(INDEX(Employee_Master!$C$2:$C$44,MATCH($C275,Employee_Master!$A$2:$A$44,0)),"Not Found")</f>
        <v>Customer Support</v>
      </c>
      <c r="F275" s="5" t="str">
        <f>IFERROR(INDEX(Employee_Master!$D$2:$D$44,MATCH($C275,Employee_Master!$A$2:$A$44,0)),"Not Found")</f>
        <v>Jose Soto</v>
      </c>
      <c r="G275" s="5" t="str">
        <f>IFERROR(INDEX(Employee_Master!$E$2:$E$44,MATCH($C275,Employee_Master!$A$2:$A$44,0)),"Not Found")</f>
        <v>South</v>
      </c>
      <c r="H275" s="5" t="str">
        <f>Sales_Data!D272</f>
        <v>P017 - Basmati Rice 5kg</v>
      </c>
      <c r="I275" s="5" t="str">
        <f>IFERROR(INDEX(Product_Master!$B$2:$B$30,MATCH($H275,Product_Master!$A$2:$A$30,0)),"Invalid Product Code")</f>
        <v>Grocery</v>
      </c>
      <c r="J275" s="5">
        <f>IFERROR(INDEX(Product_Master!$C$2:$C$30,MATCH($H275,Product_Master!$A$2:$A$30,0)),0)</f>
        <v>825.33</v>
      </c>
      <c r="K275" s="5">
        <f>Sales_Data!E272</f>
        <v>1</v>
      </c>
      <c r="L275" s="5">
        <f>Sales_Data!F272</f>
        <v>796.23</v>
      </c>
      <c r="M275" s="5">
        <f>Sales_Data!G272</f>
        <v>722.53</v>
      </c>
      <c r="N275" s="5" t="str">
        <f>IFERROR(INDEX(Branch_Master!$B$2:$B$9,MATCH($B275,Branch_Master!$A$2:$A$9,0)),"Not Found")</f>
        <v>Bangalore</v>
      </c>
      <c r="O275" s="5" t="str">
        <f>IFERROR(INDEX(Branch_Master!$C$2:$C$9,MATCH($B275,Branch_Master!$A$2:$A$9,0)),"Not Found")</f>
        <v>Karnataka</v>
      </c>
      <c r="P275" s="5">
        <f>IFERROR(INDEX(Targets!$B$2:$B$9,MATCH($B275,Targets!$A$2:$A$9,0)),0)</f>
        <v>900000</v>
      </c>
      <c r="Q275" s="5" t="str">
        <f t="shared" si="8"/>
        <v>Yes</v>
      </c>
      <c r="R275" s="5" t="str">
        <f t="shared" si="9"/>
        <v>Apr</v>
      </c>
    </row>
    <row r="276" spans="1:18" ht="15" customHeight="1" x14ac:dyDescent="0.3">
      <c r="A276" s="5" t="str">
        <f>Sales_Data!A273</f>
        <v>2025-04-10</v>
      </c>
      <c r="B276" s="5" t="str">
        <f>Sales_Data!B273</f>
        <v>Chennai South</v>
      </c>
      <c r="C276" s="5" t="str">
        <f>Sales_Data!C273</f>
        <v>E019</v>
      </c>
      <c r="D276" s="5" t="str">
        <f>IFERROR(INDEX(Employee_Master!$B$2:$B$44,MATCH($C276,Employee_Master!$A$2:$A$44,0)),"Not Found")</f>
        <v>Regina Torres</v>
      </c>
      <c r="E276" s="5" t="str">
        <f>IFERROR(INDEX(Employee_Master!$C$2:$C$44,MATCH($C276,Employee_Master!$A$2:$A$44,0)),"Not Found")</f>
        <v>Operations</v>
      </c>
      <c r="F276" s="5" t="str">
        <f>IFERROR(INDEX(Employee_Master!$D$2:$D$44,MATCH($C276,Employee_Master!$A$2:$A$44,0)),"Not Found")</f>
        <v>Robert Steele</v>
      </c>
      <c r="G276" s="5" t="str">
        <f>IFERROR(INDEX(Employee_Master!$E$2:$E$44,MATCH($C276,Employee_Master!$A$2:$A$44,0)),"Not Found")</f>
        <v>South</v>
      </c>
      <c r="H276" s="5" t="str">
        <f>Sales_Data!D273</f>
        <v>P024 - Hair Serum</v>
      </c>
      <c r="I276" s="5" t="str">
        <f>IFERROR(INDEX(Product_Master!$B$2:$B$30,MATCH($H276,Product_Master!$A$2:$A$30,0)),"Invalid Product Code")</f>
        <v>Beauty</v>
      </c>
      <c r="J276" s="5">
        <f>IFERROR(INDEX(Product_Master!$C$2:$C$30,MATCH($H276,Product_Master!$A$2:$A$30,0)),0)</f>
        <v>1457.31</v>
      </c>
      <c r="K276" s="5">
        <f>Sales_Data!E273</f>
        <v>9</v>
      </c>
      <c r="L276" s="5">
        <f>Sales_Data!F273</f>
        <v>14410.65</v>
      </c>
      <c r="M276" s="5">
        <f>Sales_Data!G273</f>
        <v>11621.16</v>
      </c>
      <c r="N276" s="5" t="str">
        <f>IFERROR(INDEX(Branch_Master!$B$2:$B$9,MATCH($B276,Branch_Master!$A$2:$A$9,0)),"Not Found")</f>
        <v>Chennai</v>
      </c>
      <c r="O276" s="5" t="str">
        <f>IFERROR(INDEX(Branch_Master!$C$2:$C$9,MATCH($B276,Branch_Master!$A$2:$A$9,0)),"Not Found")</f>
        <v>Tamil Nadu</v>
      </c>
      <c r="P276" s="5">
        <f>IFERROR(INDEX(Targets!$B$2:$B$9,MATCH($B276,Targets!$A$2:$A$9,0)),0)</f>
        <v>1910000</v>
      </c>
      <c r="Q276" s="5" t="str">
        <f t="shared" si="8"/>
        <v>Yes</v>
      </c>
      <c r="R276" s="5" t="str">
        <f t="shared" si="9"/>
        <v>Apr</v>
      </c>
    </row>
    <row r="277" spans="1:18" ht="15" customHeight="1" x14ac:dyDescent="0.3">
      <c r="A277" s="5" t="str">
        <f>Sales_Data!A274</f>
        <v>2025-04-11</v>
      </c>
      <c r="B277" s="5" t="str">
        <f>Sales_Data!B274</f>
        <v>Hyderabad Hitech</v>
      </c>
      <c r="C277" s="5" t="str">
        <f>Sales_Data!C274</f>
        <v>E035</v>
      </c>
      <c r="D277" s="5" t="str">
        <f>IFERROR(INDEX(Employee_Master!$B$2:$B$44,MATCH($C277,Employee_Master!$A$2:$A$44,0)),"Not Found")</f>
        <v>Andrea Perez</v>
      </c>
      <c r="E277" s="5" t="str">
        <f>IFERROR(INDEX(Employee_Master!$C$2:$C$44,MATCH($C277,Employee_Master!$A$2:$A$44,0)),"Not Found")</f>
        <v>Sales</v>
      </c>
      <c r="F277" s="5" t="str">
        <f>IFERROR(INDEX(Employee_Master!$D$2:$D$44,MATCH($C277,Employee_Master!$A$2:$A$44,0)),"Not Found")</f>
        <v>Anna Turner</v>
      </c>
      <c r="G277" s="5" t="str">
        <f>IFERROR(INDEX(Employee_Master!$E$2:$E$44,MATCH($C277,Employee_Master!$A$2:$A$44,0)),"Not Found")</f>
        <v>South</v>
      </c>
      <c r="H277" s="5" t="str">
        <f>Sales_Data!D274</f>
        <v>P027 - Cricket Bat</v>
      </c>
      <c r="I277" s="5" t="str">
        <f>IFERROR(INDEX(Product_Master!$B$2:$B$30,MATCH($H277,Product_Master!$A$2:$A$30,0)),"Invalid Product Code")</f>
        <v>Sports</v>
      </c>
      <c r="J277" s="5">
        <f>IFERROR(INDEX(Product_Master!$C$2:$C$30,MATCH($H277,Product_Master!$A$2:$A$30,0)),0)</f>
        <v>822.7</v>
      </c>
      <c r="K277" s="5">
        <f>Sales_Data!E274</f>
        <v>8</v>
      </c>
      <c r="L277" s="5">
        <f>Sales_Data!F274</f>
        <v>6981.09</v>
      </c>
      <c r="M277" s="5">
        <f>Sales_Data!G274</f>
        <v>7526.74</v>
      </c>
      <c r="N277" s="5" t="str">
        <f>IFERROR(INDEX(Branch_Master!$B$2:$B$9,MATCH($B277,Branch_Master!$A$2:$A$9,0)),"Not Found")</f>
        <v>Hyderabad</v>
      </c>
      <c r="O277" s="5" t="str">
        <f>IFERROR(INDEX(Branch_Master!$C$2:$C$9,MATCH($B277,Branch_Master!$A$2:$A$9,0)),"Not Found")</f>
        <v>Telangana</v>
      </c>
      <c r="P277" s="5">
        <f>IFERROR(INDEX(Targets!$B$2:$B$9,MATCH($B277,Targets!$A$2:$A$9,0)),0)</f>
        <v>1210000</v>
      </c>
      <c r="Q277" s="5" t="str">
        <f t="shared" si="8"/>
        <v>No</v>
      </c>
      <c r="R277" s="5" t="str">
        <f t="shared" si="9"/>
        <v>Apr</v>
      </c>
    </row>
    <row r="278" spans="1:18" ht="15" customHeight="1" x14ac:dyDescent="0.3">
      <c r="A278" s="5" t="str">
        <f>Sales_Data!A275</f>
        <v>2025-04-12</v>
      </c>
      <c r="B278" s="5" t="str">
        <f>Sales_Data!B275</f>
        <v>Kolkata Central</v>
      </c>
      <c r="C278" s="5" t="str">
        <f>Sales_Data!C275</f>
        <v>E024</v>
      </c>
      <c r="D278" s="5" t="str">
        <f>IFERROR(INDEX(Employee_Master!$B$2:$B$44,MATCH($C278,Employee_Master!$A$2:$A$44,0)),"Not Found")</f>
        <v>Kevin Sanchez</v>
      </c>
      <c r="E278" s="5" t="str">
        <f>IFERROR(INDEX(Employee_Master!$C$2:$C$44,MATCH($C278,Employee_Master!$A$2:$A$44,0)),"Not Found")</f>
        <v>Sales</v>
      </c>
      <c r="F278" s="5" t="str">
        <f>IFERROR(INDEX(Employee_Master!$D$2:$D$44,MATCH($C278,Employee_Master!$A$2:$A$44,0)),"Not Found")</f>
        <v>Lisa Moore</v>
      </c>
      <c r="G278" s="5" t="str">
        <f>IFERROR(INDEX(Employee_Master!$E$2:$E$44,MATCH($C278,Employee_Master!$A$2:$A$44,0)),"Not Found")</f>
        <v>East</v>
      </c>
      <c r="H278" s="5" t="str">
        <f>Sales_Data!D275</f>
        <v>P015 - Water Bottle</v>
      </c>
      <c r="I278" s="5" t="str">
        <f>IFERROR(INDEX(Product_Master!$B$2:$B$30,MATCH($H278,Product_Master!$A$2:$A$30,0)),"Invalid Product Code")</f>
        <v>Home &amp; Kitchen</v>
      </c>
      <c r="J278" s="5">
        <f>IFERROR(INDEX(Product_Master!$C$2:$C$30,MATCH($H278,Product_Master!$A$2:$A$30,0)),0)</f>
        <v>197.57</v>
      </c>
      <c r="K278" s="5">
        <f>Sales_Data!E275</f>
        <v>11</v>
      </c>
      <c r="L278" s="5">
        <f>Sales_Data!F275</f>
        <v>1983.84</v>
      </c>
      <c r="M278" s="5">
        <f>Sales_Data!G275</f>
        <v>2120.52</v>
      </c>
      <c r="N278" s="5" t="str">
        <f>IFERROR(INDEX(Branch_Master!$B$2:$B$9,MATCH($B278,Branch_Master!$A$2:$A$9,0)),"Not Found")</f>
        <v>Kolkata</v>
      </c>
      <c r="O278" s="5" t="str">
        <f>IFERROR(INDEX(Branch_Master!$C$2:$C$9,MATCH($B278,Branch_Master!$A$2:$A$9,0)),"Not Found")</f>
        <v>West Bengal</v>
      </c>
      <c r="P278" s="5">
        <f>IFERROR(INDEX(Targets!$B$2:$B$9,MATCH($B278,Targets!$A$2:$A$9,0)),0)</f>
        <v>1910000</v>
      </c>
      <c r="Q278" s="5" t="str">
        <f t="shared" si="8"/>
        <v>No</v>
      </c>
      <c r="R278" s="5" t="str">
        <f t="shared" si="9"/>
        <v>Apr</v>
      </c>
    </row>
    <row r="279" spans="1:18" ht="15" customHeight="1" x14ac:dyDescent="0.3">
      <c r="A279" s="5" t="str">
        <f>Sales_Data!A276</f>
        <v>2025-04-12</v>
      </c>
      <c r="B279" s="5" t="str">
        <f>Sales_Data!B276</f>
        <v>Ahmedabad West</v>
      </c>
      <c r="C279" s="5" t="str">
        <f>Sales_Data!C276</f>
        <v>E001</v>
      </c>
      <c r="D279" s="5" t="str">
        <f>IFERROR(INDEX(Employee_Master!$B$2:$B$44,MATCH($C279,Employee_Master!$A$2:$A$44,0)),"Not Found")</f>
        <v>David Johnson</v>
      </c>
      <c r="E279" s="5" t="str">
        <f>IFERROR(INDEX(Employee_Master!$C$2:$C$44,MATCH($C279,Employee_Master!$A$2:$A$44,0)),"Not Found")</f>
        <v>Customer Support</v>
      </c>
      <c r="F279" s="5" t="str">
        <f>IFERROR(INDEX(Employee_Master!$D$2:$D$44,MATCH($C279,Employee_Master!$A$2:$A$44,0)),"Not Found")</f>
        <v>Joseph Brown</v>
      </c>
      <c r="G279" s="5" t="str">
        <f>IFERROR(INDEX(Employee_Master!$E$2:$E$44,MATCH($C279,Employee_Master!$A$2:$A$44,0)),"Not Found")</f>
        <v>West</v>
      </c>
      <c r="H279" s="5" t="str">
        <f>Sales_Data!D276</f>
        <v>P007 - Cotton T-Shirt</v>
      </c>
      <c r="I279" s="5" t="str">
        <f>IFERROR(INDEX(Product_Master!$B$2:$B$30,MATCH($H279,Product_Master!$A$2:$A$30,0)),"Invalid Product Code")</f>
        <v>Apparel</v>
      </c>
      <c r="J279" s="5">
        <f>IFERROR(INDEX(Product_Master!$C$2:$C$30,MATCH($H279,Product_Master!$A$2:$A$30,0)),0)</f>
        <v>338.44</v>
      </c>
      <c r="K279" s="5">
        <f>Sales_Data!E276</f>
        <v>11</v>
      </c>
      <c r="L279" s="5">
        <f>Sales_Data!F276</f>
        <v>3633.36</v>
      </c>
      <c r="M279" s="5">
        <f>Sales_Data!G276</f>
        <v>3341.8</v>
      </c>
      <c r="N279" s="5" t="str">
        <f>IFERROR(INDEX(Branch_Master!$B$2:$B$9,MATCH($B279,Branch_Master!$A$2:$A$9,0)),"Not Found")</f>
        <v>Ahmedabad</v>
      </c>
      <c r="O279" s="5" t="str">
        <f>IFERROR(INDEX(Branch_Master!$C$2:$C$9,MATCH($B279,Branch_Master!$A$2:$A$9,0)),"Not Found")</f>
        <v>Gujarat</v>
      </c>
      <c r="P279" s="5">
        <f>IFERROR(INDEX(Targets!$B$2:$B$9,MATCH($B279,Targets!$A$2:$A$9,0)),0)</f>
        <v>1590000</v>
      </c>
      <c r="Q279" s="5" t="str">
        <f t="shared" si="8"/>
        <v>Yes</v>
      </c>
      <c r="R279" s="5" t="str">
        <f t="shared" si="9"/>
        <v>Apr</v>
      </c>
    </row>
    <row r="280" spans="1:18" ht="15" customHeight="1" x14ac:dyDescent="0.3">
      <c r="A280" s="5" t="str">
        <f>Sales_Data!A277</f>
        <v>2025-04-13</v>
      </c>
      <c r="B280" s="5" t="str">
        <f>Sales_Data!B277</f>
        <v>Ahmedabad West</v>
      </c>
      <c r="C280" s="5" t="str">
        <f>Sales_Data!C277</f>
        <v>E039</v>
      </c>
      <c r="D280" s="5" t="str">
        <f>IFERROR(INDEX(Employee_Master!$B$2:$B$44,MATCH($C280,Employee_Master!$A$2:$A$44,0)),"Not Found")</f>
        <v>Christopher Wood</v>
      </c>
      <c r="E280" s="5" t="str">
        <f>IFERROR(INDEX(Employee_Master!$C$2:$C$44,MATCH($C280,Employee_Master!$A$2:$A$44,0)),"Not Found")</f>
        <v>Marketing</v>
      </c>
      <c r="F280" s="5" t="str">
        <f>IFERROR(INDEX(Employee_Master!$D$2:$D$44,MATCH($C280,Employee_Master!$A$2:$A$44,0)),"Not Found")</f>
        <v>Joseph Brown</v>
      </c>
      <c r="G280" s="5" t="str">
        <f>IFERROR(INDEX(Employee_Master!$E$2:$E$44,MATCH($C280,Employee_Master!$A$2:$A$44,0)),"Not Found")</f>
        <v>West</v>
      </c>
      <c r="H280" s="5" t="str">
        <f>Sales_Data!D277</f>
        <v>P015 - Water Bottle</v>
      </c>
      <c r="I280" s="5" t="str">
        <f>IFERROR(INDEX(Product_Master!$B$2:$B$30,MATCH($H280,Product_Master!$A$2:$A$30,0)),"Invalid Product Code")</f>
        <v>Home &amp; Kitchen</v>
      </c>
      <c r="J280" s="5">
        <f>IFERROR(INDEX(Product_Master!$C$2:$C$30,MATCH($H280,Product_Master!$A$2:$A$30,0)),0)</f>
        <v>197.57</v>
      </c>
      <c r="K280" s="5">
        <f>Sales_Data!E277</f>
        <v>6</v>
      </c>
      <c r="L280" s="5">
        <f>Sales_Data!F277</f>
        <v>1283.81</v>
      </c>
      <c r="M280" s="5">
        <f>Sales_Data!G277</f>
        <v>1128.6400000000001</v>
      </c>
      <c r="N280" s="5" t="str">
        <f>IFERROR(INDEX(Branch_Master!$B$2:$B$9,MATCH($B280,Branch_Master!$A$2:$A$9,0)),"Not Found")</f>
        <v>Ahmedabad</v>
      </c>
      <c r="O280" s="5" t="str">
        <f>IFERROR(INDEX(Branch_Master!$C$2:$C$9,MATCH($B280,Branch_Master!$A$2:$A$9,0)),"Not Found")</f>
        <v>Gujarat</v>
      </c>
      <c r="P280" s="5">
        <f>IFERROR(INDEX(Targets!$B$2:$B$9,MATCH($B280,Targets!$A$2:$A$9,0)),0)</f>
        <v>1590000</v>
      </c>
      <c r="Q280" s="5" t="str">
        <f t="shared" si="8"/>
        <v>Yes</v>
      </c>
      <c r="R280" s="5" t="str">
        <f t="shared" si="9"/>
        <v>Apr</v>
      </c>
    </row>
    <row r="281" spans="1:18" ht="15" customHeight="1" x14ac:dyDescent="0.3">
      <c r="A281" s="5" t="str">
        <f>Sales_Data!A278</f>
        <v>2025-04-13</v>
      </c>
      <c r="B281" s="5" t="str">
        <f>Sales_Data!B278</f>
        <v>Bangalore North</v>
      </c>
      <c r="C281" s="5" t="str">
        <f>Sales_Data!C278</f>
        <v>E038</v>
      </c>
      <c r="D281" s="5" t="str">
        <f>IFERROR(INDEX(Employee_Master!$B$2:$B$44,MATCH($C281,Employee_Master!$A$2:$A$44,0)),"Not Found")</f>
        <v>Derrick Griffin</v>
      </c>
      <c r="E281" s="5" t="str">
        <f>IFERROR(INDEX(Employee_Master!$C$2:$C$44,MATCH($C281,Employee_Master!$A$2:$A$44,0)),"Not Found")</f>
        <v>Marketing</v>
      </c>
      <c r="F281" s="5" t="str">
        <f>IFERROR(INDEX(Employee_Master!$D$2:$D$44,MATCH($C281,Employee_Master!$A$2:$A$44,0)),"Not Found")</f>
        <v>Jose Soto</v>
      </c>
      <c r="G281" s="5" t="str">
        <f>IFERROR(INDEX(Employee_Master!$E$2:$E$44,MATCH($C281,Employee_Master!$A$2:$A$44,0)),"Not Found")</f>
        <v>South</v>
      </c>
      <c r="H281" s="5" t="str">
        <f>Sales_Data!D278</f>
        <v>P015 - Water Bottle</v>
      </c>
      <c r="I281" s="5" t="str">
        <f>IFERROR(INDEX(Product_Master!$B$2:$B$30,MATCH($H281,Product_Master!$A$2:$A$30,0)),"Invalid Product Code")</f>
        <v>Home &amp; Kitchen</v>
      </c>
      <c r="J281" s="5">
        <f>IFERROR(INDEX(Product_Master!$C$2:$C$30,MATCH($H281,Product_Master!$A$2:$A$30,0)),0)</f>
        <v>197.57</v>
      </c>
      <c r="K281" s="5">
        <f>Sales_Data!E278</f>
        <v>6</v>
      </c>
      <c r="L281" s="5">
        <f>Sales_Data!F278</f>
        <v>1242.1600000000001</v>
      </c>
      <c r="M281" s="5">
        <f>Sales_Data!G278</f>
        <v>1151.74</v>
      </c>
      <c r="N281" s="5" t="str">
        <f>IFERROR(INDEX(Branch_Master!$B$2:$B$9,MATCH($B281,Branch_Master!$A$2:$A$9,0)),"Not Found")</f>
        <v>Bangalore</v>
      </c>
      <c r="O281" s="5" t="str">
        <f>IFERROR(INDEX(Branch_Master!$C$2:$C$9,MATCH($B281,Branch_Master!$A$2:$A$9,0)),"Not Found")</f>
        <v>Karnataka</v>
      </c>
      <c r="P281" s="5">
        <f>IFERROR(INDEX(Targets!$B$2:$B$9,MATCH($B281,Targets!$A$2:$A$9,0)),0)</f>
        <v>900000</v>
      </c>
      <c r="Q281" s="5" t="str">
        <f t="shared" si="8"/>
        <v>Yes</v>
      </c>
      <c r="R281" s="5" t="str">
        <f t="shared" si="9"/>
        <v>Apr</v>
      </c>
    </row>
    <row r="282" spans="1:18" ht="15" customHeight="1" x14ac:dyDescent="0.3">
      <c r="A282" s="5" t="str">
        <f>Sales_Data!A279</f>
        <v>2025-04-13</v>
      </c>
      <c r="B282" s="5" t="str">
        <f>Sales_Data!B279</f>
        <v>Delhi NCR</v>
      </c>
      <c r="C282" s="5" t="str">
        <f>Sales_Data!C279</f>
        <v>E031</v>
      </c>
      <c r="D282" s="5" t="str">
        <f>IFERROR(INDEX(Employee_Master!$B$2:$B$44,MATCH($C282,Employee_Master!$A$2:$A$44,0)),"Not Found")</f>
        <v>Jennifer Garcia</v>
      </c>
      <c r="E282" s="5" t="str">
        <f>IFERROR(INDEX(Employee_Master!$C$2:$C$44,MATCH($C282,Employee_Master!$A$2:$A$44,0)),"Not Found")</f>
        <v>Sales</v>
      </c>
      <c r="F282" s="5" t="str">
        <f>IFERROR(INDEX(Employee_Master!$D$2:$D$44,MATCH($C282,Employee_Master!$A$2:$A$44,0)),"Not Found")</f>
        <v>William Oconnell</v>
      </c>
      <c r="G282" s="5" t="str">
        <f>IFERROR(INDEX(Employee_Master!$E$2:$E$44,MATCH($C282,Employee_Master!$A$2:$A$44,0)),"Not Found")</f>
        <v>North</v>
      </c>
      <c r="H282" s="5" t="str">
        <f>Sales_Data!D279</f>
        <v>P004 - Power Bank</v>
      </c>
      <c r="I282" s="5" t="str">
        <f>IFERROR(INDEX(Product_Master!$B$2:$B$30,MATCH($H282,Product_Master!$A$2:$A$30,0)),"Invalid Product Code")</f>
        <v>Electronics</v>
      </c>
      <c r="J282" s="5">
        <f>IFERROR(INDEX(Product_Master!$C$2:$C$30,MATCH($H282,Product_Master!$A$2:$A$30,0)),0)</f>
        <v>76.91</v>
      </c>
      <c r="K282" s="5">
        <f>Sales_Data!E279</f>
        <v>12</v>
      </c>
      <c r="L282" s="5">
        <f>Sales_Data!F279</f>
        <v>923.97</v>
      </c>
      <c r="M282" s="5">
        <f>Sales_Data!G279</f>
        <v>994.4</v>
      </c>
      <c r="N282" s="5" t="str">
        <f>IFERROR(INDEX(Branch_Master!$B$2:$B$9,MATCH($B282,Branch_Master!$A$2:$A$9,0)),"Not Found")</f>
        <v>New Delhi</v>
      </c>
      <c r="O282" s="5" t="str">
        <f>IFERROR(INDEX(Branch_Master!$C$2:$C$9,MATCH($B282,Branch_Master!$A$2:$A$9,0)),"Not Found")</f>
        <v>Delhi</v>
      </c>
      <c r="P282" s="5">
        <f>IFERROR(INDEX(Targets!$B$2:$B$9,MATCH($B282,Targets!$A$2:$A$9,0)),0)</f>
        <v>2070000</v>
      </c>
      <c r="Q282" s="5" t="str">
        <f t="shared" si="8"/>
        <v>No</v>
      </c>
      <c r="R282" s="5" t="str">
        <f t="shared" si="9"/>
        <v>Apr</v>
      </c>
    </row>
    <row r="283" spans="1:18" ht="15" customHeight="1" x14ac:dyDescent="0.3">
      <c r="A283" s="5" t="str">
        <f>Sales_Data!A280</f>
        <v>2025-04-13</v>
      </c>
      <c r="B283" s="5" t="str">
        <f>Sales_Data!B280</f>
        <v>Chennai South</v>
      </c>
      <c r="C283" s="5" t="str">
        <f>Sales_Data!C280</f>
        <v>E032</v>
      </c>
      <c r="D283" s="5" t="str">
        <f>IFERROR(INDEX(Employee_Master!$B$2:$B$44,MATCH($C283,Employee_Master!$A$2:$A$44,0)),"Not Found")</f>
        <v>Victor Allen</v>
      </c>
      <c r="E283" s="5" t="str">
        <f>IFERROR(INDEX(Employee_Master!$C$2:$C$44,MATCH($C283,Employee_Master!$A$2:$A$44,0)),"Not Found")</f>
        <v>Operations</v>
      </c>
      <c r="F283" s="5" t="str">
        <f>IFERROR(INDEX(Employee_Master!$D$2:$D$44,MATCH($C283,Employee_Master!$A$2:$A$44,0)),"Not Found")</f>
        <v>Robert Steele</v>
      </c>
      <c r="G283" s="5" t="str">
        <f>IFERROR(INDEX(Employee_Master!$E$2:$E$44,MATCH($C283,Employee_Master!$A$2:$A$44,0)),"Not Found")</f>
        <v>South</v>
      </c>
      <c r="H283" s="5" t="str">
        <f>Sales_Data!D280</f>
        <v>P020 - Green Tea Pack</v>
      </c>
      <c r="I283" s="5" t="str">
        <f>IFERROR(INDEX(Product_Master!$B$2:$B$30,MATCH($H283,Product_Master!$A$2:$A$30,0)),"Invalid Product Code")</f>
        <v>Grocery</v>
      </c>
      <c r="J283" s="5">
        <f>IFERROR(INDEX(Product_Master!$C$2:$C$30,MATCH($H283,Product_Master!$A$2:$A$30,0)),0)</f>
        <v>305.39</v>
      </c>
      <c r="K283" s="5">
        <f>Sales_Data!E280</f>
        <v>9</v>
      </c>
      <c r="L283" s="5">
        <f>Sales_Data!F280</f>
        <v>2632.82</v>
      </c>
      <c r="M283" s="5">
        <f>Sales_Data!G280</f>
        <v>2962.54</v>
      </c>
      <c r="N283" s="5" t="str">
        <f>IFERROR(INDEX(Branch_Master!$B$2:$B$9,MATCH($B283,Branch_Master!$A$2:$A$9,0)),"Not Found")</f>
        <v>Chennai</v>
      </c>
      <c r="O283" s="5" t="str">
        <f>IFERROR(INDEX(Branch_Master!$C$2:$C$9,MATCH($B283,Branch_Master!$A$2:$A$9,0)),"Not Found")</f>
        <v>Tamil Nadu</v>
      </c>
      <c r="P283" s="5">
        <f>IFERROR(INDEX(Targets!$B$2:$B$9,MATCH($B283,Targets!$A$2:$A$9,0)),0)</f>
        <v>1910000</v>
      </c>
      <c r="Q283" s="5" t="str">
        <f t="shared" si="8"/>
        <v>No</v>
      </c>
      <c r="R283" s="5" t="str">
        <f t="shared" si="9"/>
        <v>Apr</v>
      </c>
    </row>
    <row r="284" spans="1:18" ht="15" customHeight="1" x14ac:dyDescent="0.3">
      <c r="A284" s="5" t="str">
        <f>Sales_Data!A281</f>
        <v>2025-04-13</v>
      </c>
      <c r="B284" s="5" t="str">
        <f>Sales_Data!B281</f>
        <v>Bangalore North</v>
      </c>
      <c r="C284" s="5" t="str">
        <f>Sales_Data!C281</f>
        <v>E004</v>
      </c>
      <c r="D284" s="5" t="str">
        <f>IFERROR(INDEX(Employee_Master!$B$2:$B$44,MATCH($C284,Employee_Master!$A$2:$A$44,0)),"Not Found")</f>
        <v>Judith Ramirez</v>
      </c>
      <c r="E284" s="5" t="str">
        <f>IFERROR(INDEX(Employee_Master!$C$2:$C$44,MATCH($C284,Employee_Master!$A$2:$A$44,0)),"Not Found")</f>
        <v>Sales</v>
      </c>
      <c r="F284" s="5" t="str">
        <f>IFERROR(INDEX(Employee_Master!$D$2:$D$44,MATCH($C284,Employee_Master!$A$2:$A$44,0)),"Not Found")</f>
        <v>Jose Soto</v>
      </c>
      <c r="G284" s="5" t="str">
        <f>IFERROR(INDEX(Employee_Master!$E$2:$E$44,MATCH($C284,Employee_Master!$A$2:$A$44,0)),"Not Found")</f>
        <v>South</v>
      </c>
      <c r="H284" s="5" t="str">
        <f>Sales_Data!D281</f>
        <v>P009 - Formal Shirt</v>
      </c>
      <c r="I284" s="5" t="str">
        <f>IFERROR(INDEX(Product_Master!$B$2:$B$30,MATCH($H284,Product_Master!$A$2:$A$30,0)),"Invalid Product Code")</f>
        <v>Apparel</v>
      </c>
      <c r="J284" s="5">
        <f>IFERROR(INDEX(Product_Master!$C$2:$C$30,MATCH($H284,Product_Master!$A$2:$A$30,0)),0)</f>
        <v>661.65</v>
      </c>
      <c r="K284" s="5">
        <f>Sales_Data!E281</f>
        <v>8</v>
      </c>
      <c r="L284" s="5">
        <f>Sales_Data!F281</f>
        <v>5270.97</v>
      </c>
      <c r="M284" s="5">
        <f>Sales_Data!G281</f>
        <v>5743.64</v>
      </c>
      <c r="N284" s="5" t="str">
        <f>IFERROR(INDEX(Branch_Master!$B$2:$B$9,MATCH($B284,Branch_Master!$A$2:$A$9,0)),"Not Found")</f>
        <v>Bangalore</v>
      </c>
      <c r="O284" s="5" t="str">
        <f>IFERROR(INDEX(Branch_Master!$C$2:$C$9,MATCH($B284,Branch_Master!$A$2:$A$9,0)),"Not Found")</f>
        <v>Karnataka</v>
      </c>
      <c r="P284" s="5">
        <f>IFERROR(INDEX(Targets!$B$2:$B$9,MATCH($B284,Targets!$A$2:$A$9,0)),0)</f>
        <v>900000</v>
      </c>
      <c r="Q284" s="5" t="str">
        <f t="shared" si="8"/>
        <v>No</v>
      </c>
      <c r="R284" s="5" t="str">
        <f t="shared" si="9"/>
        <v>Apr</v>
      </c>
    </row>
    <row r="285" spans="1:18" ht="15" customHeight="1" x14ac:dyDescent="0.3">
      <c r="A285" s="5" t="str">
        <f>Sales_Data!A282</f>
        <v>2025-04-13</v>
      </c>
      <c r="B285" s="5" t="str">
        <f>Sales_Data!B282</f>
        <v>Hyderabad Hitech</v>
      </c>
      <c r="C285" s="5" t="str">
        <f>Sales_Data!C282</f>
        <v>E026</v>
      </c>
      <c r="D285" s="5" t="str">
        <f>IFERROR(INDEX(Employee_Master!$B$2:$B$44,MATCH($C285,Employee_Master!$A$2:$A$44,0)),"Not Found")</f>
        <v>Karen Andrews</v>
      </c>
      <c r="E285" s="5" t="str">
        <f>IFERROR(INDEX(Employee_Master!$C$2:$C$44,MATCH($C285,Employee_Master!$A$2:$A$44,0)),"Not Found")</f>
        <v>Marketing</v>
      </c>
      <c r="F285" s="5" t="str">
        <f>IFERROR(INDEX(Employee_Master!$D$2:$D$44,MATCH($C285,Employee_Master!$A$2:$A$44,0)),"Not Found")</f>
        <v>Anna Turner</v>
      </c>
      <c r="G285" s="5" t="str">
        <f>IFERROR(INDEX(Employee_Master!$E$2:$E$44,MATCH($C285,Employee_Master!$A$2:$A$44,0)),"Not Found")</f>
        <v>South</v>
      </c>
      <c r="H285" s="5" t="str">
        <f>Sales_Data!D282</f>
        <v>P008 - Denim Jeans</v>
      </c>
      <c r="I285" s="5" t="str">
        <f>IFERROR(INDEX(Product_Master!$B$2:$B$30,MATCH($H285,Product_Master!$A$2:$A$30,0)),"Invalid Product Code")</f>
        <v>Apparel</v>
      </c>
      <c r="J285" s="5">
        <f>IFERROR(INDEX(Product_Master!$C$2:$C$30,MATCH($H285,Product_Master!$A$2:$A$30,0)),0)</f>
        <v>614.48</v>
      </c>
      <c r="K285" s="5">
        <f>Sales_Data!E282</f>
        <v>10</v>
      </c>
      <c r="L285" s="5">
        <f>Sales_Data!F282</f>
        <v>6661.95</v>
      </c>
      <c r="M285" s="5">
        <f>Sales_Data!G282</f>
        <v>5610</v>
      </c>
      <c r="N285" s="5" t="str">
        <f>IFERROR(INDEX(Branch_Master!$B$2:$B$9,MATCH($B285,Branch_Master!$A$2:$A$9,0)),"Not Found")</f>
        <v>Hyderabad</v>
      </c>
      <c r="O285" s="5" t="str">
        <f>IFERROR(INDEX(Branch_Master!$C$2:$C$9,MATCH($B285,Branch_Master!$A$2:$A$9,0)),"Not Found")</f>
        <v>Telangana</v>
      </c>
      <c r="P285" s="5">
        <f>IFERROR(INDEX(Targets!$B$2:$B$9,MATCH($B285,Targets!$A$2:$A$9,0)),0)</f>
        <v>1210000</v>
      </c>
      <c r="Q285" s="5" t="str">
        <f t="shared" si="8"/>
        <v>Yes</v>
      </c>
      <c r="R285" s="5" t="str">
        <f t="shared" si="9"/>
        <v>Apr</v>
      </c>
    </row>
    <row r="286" spans="1:18" ht="15" customHeight="1" x14ac:dyDescent="0.3">
      <c r="A286" s="5" t="str">
        <f>Sales_Data!A283</f>
        <v>2025-04-14</v>
      </c>
      <c r="B286" s="5" t="str">
        <f>Sales_Data!B283</f>
        <v>Hyderabad Hitech</v>
      </c>
      <c r="C286" s="5" t="str">
        <f>Sales_Data!C283</f>
        <v>E020</v>
      </c>
      <c r="D286" s="5" t="str">
        <f>IFERROR(INDEX(Employee_Master!$B$2:$B$44,MATCH($C286,Employee_Master!$A$2:$A$44,0)),"Not Found")</f>
        <v>Christine Long</v>
      </c>
      <c r="E286" s="5" t="str">
        <f>IFERROR(INDEX(Employee_Master!$C$2:$C$44,MATCH($C286,Employee_Master!$A$2:$A$44,0)),"Not Found")</f>
        <v>Operations</v>
      </c>
      <c r="F286" s="5" t="str">
        <f>IFERROR(INDEX(Employee_Master!$D$2:$D$44,MATCH($C286,Employee_Master!$A$2:$A$44,0)),"Not Found")</f>
        <v>Anna Turner</v>
      </c>
      <c r="G286" s="5" t="str">
        <f>IFERROR(INDEX(Employee_Master!$E$2:$E$44,MATCH($C286,Employee_Master!$A$2:$A$44,0)),"Not Found")</f>
        <v>South</v>
      </c>
      <c r="H286" s="5" t="str">
        <f>Sales_Data!D283</f>
        <v>P005 - LED Monitor</v>
      </c>
      <c r="I286" s="5" t="str">
        <f>IFERROR(INDEX(Product_Master!$B$2:$B$30,MATCH($H286,Product_Master!$A$2:$A$30,0)),"Invalid Product Code")</f>
        <v>Electronics</v>
      </c>
      <c r="J286" s="5">
        <f>IFERROR(INDEX(Product_Master!$C$2:$C$30,MATCH($H286,Product_Master!$A$2:$A$30,0)),0)</f>
        <v>489.9</v>
      </c>
      <c r="K286" s="5">
        <f>Sales_Data!E283</f>
        <v>9</v>
      </c>
      <c r="L286" s="5">
        <f>Sales_Data!F283</f>
        <v>4821.04</v>
      </c>
      <c r="M286" s="5">
        <f>Sales_Data!G283</f>
        <v>4958.95</v>
      </c>
      <c r="N286" s="5" t="str">
        <f>IFERROR(INDEX(Branch_Master!$B$2:$B$9,MATCH($B286,Branch_Master!$A$2:$A$9,0)),"Not Found")</f>
        <v>Hyderabad</v>
      </c>
      <c r="O286" s="5" t="str">
        <f>IFERROR(INDEX(Branch_Master!$C$2:$C$9,MATCH($B286,Branch_Master!$A$2:$A$9,0)),"Not Found")</f>
        <v>Telangana</v>
      </c>
      <c r="P286" s="5">
        <f>IFERROR(INDEX(Targets!$B$2:$B$9,MATCH($B286,Targets!$A$2:$A$9,0)),0)</f>
        <v>1210000</v>
      </c>
      <c r="Q286" s="5" t="str">
        <f t="shared" si="8"/>
        <v>No</v>
      </c>
      <c r="R286" s="5" t="str">
        <f t="shared" si="9"/>
        <v>Apr</v>
      </c>
    </row>
    <row r="287" spans="1:18" ht="15" customHeight="1" x14ac:dyDescent="0.3">
      <c r="A287" s="5" t="str">
        <f>Sales_Data!A284</f>
        <v>2025-04-14</v>
      </c>
      <c r="B287" s="5" t="str">
        <f>Sales_Data!B284</f>
        <v>Ahmedabad West</v>
      </c>
      <c r="C287" s="5" t="str">
        <f>Sales_Data!C284</f>
        <v>E039</v>
      </c>
      <c r="D287" s="5" t="str">
        <f>IFERROR(INDEX(Employee_Master!$B$2:$B$44,MATCH($C287,Employee_Master!$A$2:$A$44,0)),"Not Found")</f>
        <v>Christopher Wood</v>
      </c>
      <c r="E287" s="5" t="str">
        <f>IFERROR(INDEX(Employee_Master!$C$2:$C$44,MATCH($C287,Employee_Master!$A$2:$A$44,0)),"Not Found")</f>
        <v>Marketing</v>
      </c>
      <c r="F287" s="5" t="str">
        <f>IFERROR(INDEX(Employee_Master!$D$2:$D$44,MATCH($C287,Employee_Master!$A$2:$A$44,0)),"Not Found")</f>
        <v>Joseph Brown</v>
      </c>
      <c r="G287" s="5" t="str">
        <f>IFERROR(INDEX(Employee_Master!$E$2:$E$44,MATCH($C287,Employee_Master!$A$2:$A$44,0)),"Not Found")</f>
        <v>West</v>
      </c>
      <c r="H287" s="5" t="str">
        <f>Sales_Data!D284</f>
        <v>P006 - Laptop Stand</v>
      </c>
      <c r="I287" s="5" t="str">
        <f>IFERROR(INDEX(Product_Master!$B$2:$B$30,MATCH($H287,Product_Master!$A$2:$A$30,0)),"Invalid Product Code")</f>
        <v>Electronics</v>
      </c>
      <c r="J287" s="5">
        <f>IFERROR(INDEX(Product_Master!$C$2:$C$30,MATCH($H287,Product_Master!$A$2:$A$30,0)),0)</f>
        <v>393.96</v>
      </c>
      <c r="K287" s="5">
        <f>Sales_Data!E284</f>
        <v>6</v>
      </c>
      <c r="L287" s="5">
        <f>Sales_Data!F284</f>
        <v>2441.86</v>
      </c>
      <c r="M287" s="5">
        <f>Sales_Data!G284</f>
        <v>2179.25</v>
      </c>
      <c r="N287" s="5" t="str">
        <f>IFERROR(INDEX(Branch_Master!$B$2:$B$9,MATCH($B287,Branch_Master!$A$2:$A$9,0)),"Not Found")</f>
        <v>Ahmedabad</v>
      </c>
      <c r="O287" s="5" t="str">
        <f>IFERROR(INDEX(Branch_Master!$C$2:$C$9,MATCH($B287,Branch_Master!$A$2:$A$9,0)),"Not Found")</f>
        <v>Gujarat</v>
      </c>
      <c r="P287" s="5">
        <f>IFERROR(INDEX(Targets!$B$2:$B$9,MATCH($B287,Targets!$A$2:$A$9,0)),0)</f>
        <v>1590000</v>
      </c>
      <c r="Q287" s="5" t="str">
        <f t="shared" si="8"/>
        <v>Yes</v>
      </c>
      <c r="R287" s="5" t="str">
        <f t="shared" si="9"/>
        <v>Apr</v>
      </c>
    </row>
    <row r="288" spans="1:18" ht="15" customHeight="1" x14ac:dyDescent="0.3">
      <c r="A288" s="5" t="str">
        <f>Sales_Data!A285</f>
        <v>2025-04-14</v>
      </c>
      <c r="B288" s="5" t="str">
        <f>Sales_Data!B285</f>
        <v>Bangalore North</v>
      </c>
      <c r="C288" s="5" t="str">
        <f>Sales_Data!C285</f>
        <v>E040</v>
      </c>
      <c r="D288" s="5" t="str">
        <f>IFERROR(INDEX(Employee_Master!$B$2:$B$44,MATCH($C288,Employee_Master!$A$2:$A$44,0)),"Not Found")</f>
        <v>Bonnie Cox</v>
      </c>
      <c r="E288" s="5" t="str">
        <f>IFERROR(INDEX(Employee_Master!$C$2:$C$44,MATCH($C288,Employee_Master!$A$2:$A$44,0)),"Not Found")</f>
        <v>Customer Support</v>
      </c>
      <c r="F288" s="5" t="str">
        <f>IFERROR(INDEX(Employee_Master!$D$2:$D$44,MATCH($C288,Employee_Master!$A$2:$A$44,0)),"Not Found")</f>
        <v>Jose Soto</v>
      </c>
      <c r="G288" s="5" t="str">
        <f>IFERROR(INDEX(Employee_Master!$E$2:$E$44,MATCH($C288,Employee_Master!$A$2:$A$44,0)),"Not Found")</f>
        <v>South</v>
      </c>
      <c r="H288" s="5" t="str">
        <f>Sales_Data!D285</f>
        <v>P020 - Green Tea Pack</v>
      </c>
      <c r="I288" s="5" t="str">
        <f>IFERROR(INDEX(Product_Master!$B$2:$B$30,MATCH($H288,Product_Master!$A$2:$A$30,0)),"Invalid Product Code")</f>
        <v>Grocery</v>
      </c>
      <c r="J288" s="5">
        <f>IFERROR(INDEX(Product_Master!$C$2:$C$30,MATCH($H288,Product_Master!$A$2:$A$30,0)),0)</f>
        <v>305.39</v>
      </c>
      <c r="K288" s="5">
        <f>Sales_Data!E285</f>
        <v>3</v>
      </c>
      <c r="L288" s="5">
        <f>Sales_Data!F285</f>
        <v>950.13</v>
      </c>
      <c r="M288" s="5">
        <f>Sales_Data!G285</f>
        <v>894.67</v>
      </c>
      <c r="N288" s="5" t="str">
        <f>IFERROR(INDEX(Branch_Master!$B$2:$B$9,MATCH($B288,Branch_Master!$A$2:$A$9,0)),"Not Found")</f>
        <v>Bangalore</v>
      </c>
      <c r="O288" s="5" t="str">
        <f>IFERROR(INDEX(Branch_Master!$C$2:$C$9,MATCH($B288,Branch_Master!$A$2:$A$9,0)),"Not Found")</f>
        <v>Karnataka</v>
      </c>
      <c r="P288" s="5">
        <f>IFERROR(INDEX(Targets!$B$2:$B$9,MATCH($B288,Targets!$A$2:$A$9,0)),0)</f>
        <v>900000</v>
      </c>
      <c r="Q288" s="5" t="str">
        <f t="shared" si="8"/>
        <v>Yes</v>
      </c>
      <c r="R288" s="5" t="str">
        <f t="shared" si="9"/>
        <v>Apr</v>
      </c>
    </row>
    <row r="289" spans="1:18" ht="15" customHeight="1" x14ac:dyDescent="0.3">
      <c r="A289" s="5" t="str">
        <f>Sales_Data!A286</f>
        <v>2025-04-15</v>
      </c>
      <c r="B289" s="5" t="str">
        <f>Sales_Data!B286</f>
        <v>Mumbai Central</v>
      </c>
      <c r="C289" s="5" t="str">
        <f>Sales_Data!C286</f>
        <v>E010</v>
      </c>
      <c r="D289" s="5" t="str">
        <f>IFERROR(INDEX(Employee_Master!$B$2:$B$44,MATCH($C289,Employee_Master!$A$2:$A$44,0)),"Not Found")</f>
        <v>William Sanders</v>
      </c>
      <c r="E289" s="5" t="str">
        <f>IFERROR(INDEX(Employee_Master!$C$2:$C$44,MATCH($C289,Employee_Master!$A$2:$A$44,0)),"Not Found")</f>
        <v>Sales</v>
      </c>
      <c r="F289" s="5" t="str">
        <f>IFERROR(INDEX(Employee_Master!$D$2:$D$44,MATCH($C289,Employee_Master!$A$2:$A$44,0)),"Not Found")</f>
        <v>Justin Glass</v>
      </c>
      <c r="G289" s="5" t="str">
        <f>IFERROR(INDEX(Employee_Master!$E$2:$E$44,MATCH($C289,Employee_Master!$A$2:$A$44,0)),"Not Found")</f>
        <v>West</v>
      </c>
      <c r="H289" s="5" t="str">
        <f>Sales_Data!D286</f>
        <v>P011 - Winter Jacket</v>
      </c>
      <c r="I289" s="5" t="str">
        <f>IFERROR(INDEX(Product_Master!$B$2:$B$30,MATCH($H289,Product_Master!$A$2:$A$30,0)),"Invalid Product Code")</f>
        <v>Apparel</v>
      </c>
      <c r="J289" s="5">
        <f>IFERROR(INDEX(Product_Master!$C$2:$C$30,MATCH($H289,Product_Master!$A$2:$A$30,0)),0)</f>
        <v>264.97000000000003</v>
      </c>
      <c r="K289" s="5">
        <f>Sales_Data!E286</f>
        <v>2</v>
      </c>
      <c r="L289" s="5">
        <f>Sales_Data!F286</f>
        <v>556.88</v>
      </c>
      <c r="M289" s="5">
        <f>Sales_Data!G286</f>
        <v>467.68</v>
      </c>
      <c r="N289" s="5" t="str">
        <f>IFERROR(INDEX(Branch_Master!$B$2:$B$9,MATCH($B289,Branch_Master!$A$2:$A$9,0)),"Not Found")</f>
        <v>Mumbai</v>
      </c>
      <c r="O289" s="5" t="str">
        <f>IFERROR(INDEX(Branch_Master!$C$2:$C$9,MATCH($B289,Branch_Master!$A$2:$A$9,0)),"Not Found")</f>
        <v>Maharashtra</v>
      </c>
      <c r="P289" s="5">
        <f>IFERROR(INDEX(Targets!$B$2:$B$9,MATCH($B289,Targets!$A$2:$A$9,0)),0)</f>
        <v>900000</v>
      </c>
      <c r="Q289" s="5" t="str">
        <f t="shared" si="8"/>
        <v>Yes</v>
      </c>
      <c r="R289" s="5" t="str">
        <f t="shared" si="9"/>
        <v>Apr</v>
      </c>
    </row>
    <row r="290" spans="1:18" ht="15" customHeight="1" x14ac:dyDescent="0.3">
      <c r="A290" s="5" t="str">
        <f>Sales_Data!A287</f>
        <v>2025-04-15</v>
      </c>
      <c r="B290" s="5" t="str">
        <f>Sales_Data!B287</f>
        <v>Bangalore North</v>
      </c>
      <c r="C290" s="5" t="str">
        <f>Sales_Data!C287</f>
        <v>E040</v>
      </c>
      <c r="D290" s="5" t="str">
        <f>IFERROR(INDEX(Employee_Master!$B$2:$B$44,MATCH($C290,Employee_Master!$A$2:$A$44,0)),"Not Found")</f>
        <v>Bonnie Cox</v>
      </c>
      <c r="E290" s="5" t="str">
        <f>IFERROR(INDEX(Employee_Master!$C$2:$C$44,MATCH($C290,Employee_Master!$A$2:$A$44,0)),"Not Found")</f>
        <v>Customer Support</v>
      </c>
      <c r="F290" s="5" t="str">
        <f>IFERROR(INDEX(Employee_Master!$D$2:$D$44,MATCH($C290,Employee_Master!$A$2:$A$44,0)),"Not Found")</f>
        <v>Jose Soto</v>
      </c>
      <c r="G290" s="5" t="str">
        <f>IFERROR(INDEX(Employee_Master!$E$2:$E$44,MATCH($C290,Employee_Master!$A$2:$A$44,0)),"Not Found")</f>
        <v>South</v>
      </c>
      <c r="H290" s="5" t="str">
        <f>Sales_Data!D287</f>
        <v>P014 - Air Fryer</v>
      </c>
      <c r="I290" s="5" t="str">
        <f>IFERROR(INDEX(Product_Master!$B$2:$B$30,MATCH($H290,Product_Master!$A$2:$A$30,0)),"Invalid Product Code")</f>
        <v>Home &amp; Kitchen</v>
      </c>
      <c r="J290" s="5">
        <f>IFERROR(INDEX(Product_Master!$C$2:$C$30,MATCH($H290,Product_Master!$A$2:$A$30,0)),0)</f>
        <v>729.85</v>
      </c>
      <c r="K290" s="5">
        <f>Sales_Data!E287</f>
        <v>11</v>
      </c>
      <c r="L290" s="5">
        <f>Sales_Data!F287</f>
        <v>8360.6</v>
      </c>
      <c r="M290" s="5">
        <f>Sales_Data!G287</f>
        <v>8324.58</v>
      </c>
      <c r="N290" s="5" t="str">
        <f>IFERROR(INDEX(Branch_Master!$B$2:$B$9,MATCH($B290,Branch_Master!$A$2:$A$9,0)),"Not Found")</f>
        <v>Bangalore</v>
      </c>
      <c r="O290" s="5" t="str">
        <f>IFERROR(INDEX(Branch_Master!$C$2:$C$9,MATCH($B290,Branch_Master!$A$2:$A$9,0)),"Not Found")</f>
        <v>Karnataka</v>
      </c>
      <c r="P290" s="5">
        <f>IFERROR(INDEX(Targets!$B$2:$B$9,MATCH($B290,Targets!$A$2:$A$9,0)),0)</f>
        <v>900000</v>
      </c>
      <c r="Q290" s="5" t="str">
        <f t="shared" si="8"/>
        <v>Yes</v>
      </c>
      <c r="R290" s="5" t="str">
        <f t="shared" si="9"/>
        <v>Apr</v>
      </c>
    </row>
    <row r="291" spans="1:18" ht="15" customHeight="1" x14ac:dyDescent="0.3">
      <c r="A291" s="5" t="str">
        <f>Sales_Data!A288</f>
        <v>2025-04-15</v>
      </c>
      <c r="B291" s="5" t="str">
        <f>Sales_Data!B288</f>
        <v>Kolkata Central</v>
      </c>
      <c r="C291" s="5" t="str">
        <f>Sales_Data!C288</f>
        <v>E028</v>
      </c>
      <c r="D291" s="5" t="str">
        <f>IFERROR(INDEX(Employee_Master!$B$2:$B$44,MATCH($C291,Employee_Master!$A$2:$A$44,0)),"Not Found")</f>
        <v>Sabrina Wright</v>
      </c>
      <c r="E291" s="5" t="str">
        <f>IFERROR(INDEX(Employee_Master!$C$2:$C$44,MATCH($C291,Employee_Master!$A$2:$A$44,0)),"Not Found")</f>
        <v>Customer Support</v>
      </c>
      <c r="F291" s="5" t="str">
        <f>IFERROR(INDEX(Employee_Master!$D$2:$D$44,MATCH($C291,Employee_Master!$A$2:$A$44,0)),"Not Found")</f>
        <v>Lisa Moore</v>
      </c>
      <c r="G291" s="5" t="str">
        <f>IFERROR(INDEX(Employee_Master!$E$2:$E$44,MATCH($C291,Employee_Master!$A$2:$A$44,0)),"Not Found")</f>
        <v>East</v>
      </c>
      <c r="H291" s="5" t="str">
        <f>Sales_Data!D288</f>
        <v>P026 - Yoga Mat</v>
      </c>
      <c r="I291" s="5" t="str">
        <f>IFERROR(INDEX(Product_Master!$B$2:$B$30,MATCH($H291,Product_Master!$A$2:$A$30,0)),"Invalid Product Code")</f>
        <v>Sports</v>
      </c>
      <c r="J291" s="5">
        <f>IFERROR(INDEX(Product_Master!$C$2:$C$30,MATCH($H291,Product_Master!$A$2:$A$30,0)),0)</f>
        <v>518.76</v>
      </c>
      <c r="K291" s="5">
        <f>Sales_Data!E288</f>
        <v>6</v>
      </c>
      <c r="L291" s="5">
        <f>Sales_Data!F288</f>
        <v>3024.62</v>
      </c>
      <c r="M291" s="5">
        <f>Sales_Data!G288</f>
        <v>2894.56</v>
      </c>
      <c r="N291" s="5" t="str">
        <f>IFERROR(INDEX(Branch_Master!$B$2:$B$9,MATCH($B291,Branch_Master!$A$2:$A$9,0)),"Not Found")</f>
        <v>Kolkata</v>
      </c>
      <c r="O291" s="5" t="str">
        <f>IFERROR(INDEX(Branch_Master!$C$2:$C$9,MATCH($B291,Branch_Master!$A$2:$A$9,0)),"Not Found")</f>
        <v>West Bengal</v>
      </c>
      <c r="P291" s="5">
        <f>IFERROR(INDEX(Targets!$B$2:$B$9,MATCH($B291,Targets!$A$2:$A$9,0)),0)</f>
        <v>1910000</v>
      </c>
      <c r="Q291" s="5" t="str">
        <f t="shared" si="8"/>
        <v>Yes</v>
      </c>
      <c r="R291" s="5" t="str">
        <f t="shared" si="9"/>
        <v>Apr</v>
      </c>
    </row>
    <row r="292" spans="1:18" ht="15" customHeight="1" x14ac:dyDescent="0.3">
      <c r="A292" s="5" t="str">
        <f>Sales_Data!A289</f>
        <v>2025-04-15</v>
      </c>
      <c r="B292" s="5" t="str">
        <f>Sales_Data!B289</f>
        <v>Mumbai Central</v>
      </c>
      <c r="C292" s="5" t="str">
        <f>Sales_Data!C289</f>
        <v>E027</v>
      </c>
      <c r="D292" s="5" t="str">
        <f>IFERROR(INDEX(Employee_Master!$B$2:$B$44,MATCH($C292,Employee_Master!$A$2:$A$44,0)),"Not Found")</f>
        <v>Catherine Moore</v>
      </c>
      <c r="E292" s="5" t="str">
        <f>IFERROR(INDEX(Employee_Master!$C$2:$C$44,MATCH($C292,Employee_Master!$A$2:$A$44,0)),"Not Found")</f>
        <v>Customer Support</v>
      </c>
      <c r="F292" s="5" t="str">
        <f>IFERROR(INDEX(Employee_Master!$D$2:$D$44,MATCH($C292,Employee_Master!$A$2:$A$44,0)),"Not Found")</f>
        <v>Justin Glass</v>
      </c>
      <c r="G292" s="5" t="str">
        <f>IFERROR(INDEX(Employee_Master!$E$2:$E$44,MATCH($C292,Employee_Master!$A$2:$A$44,0)),"Not Found")</f>
        <v>West</v>
      </c>
      <c r="H292" s="5" t="str">
        <f>Sales_Data!D289</f>
        <v>P022 - Face Wash</v>
      </c>
      <c r="I292" s="5" t="str">
        <f>IFERROR(INDEX(Product_Master!$B$2:$B$30,MATCH($H292,Product_Master!$A$2:$A$30,0)),"Invalid Product Code")</f>
        <v>Beauty</v>
      </c>
      <c r="J292" s="5">
        <f>IFERROR(INDEX(Product_Master!$C$2:$C$30,MATCH($H292,Product_Master!$A$2:$A$30,0)),0)</f>
        <v>396.75</v>
      </c>
      <c r="K292" s="5">
        <f>Sales_Data!E289</f>
        <v>11</v>
      </c>
      <c r="L292" s="5">
        <f>Sales_Data!F289</f>
        <v>4421.05</v>
      </c>
      <c r="M292" s="5">
        <f>Sales_Data!G289</f>
        <v>4022.37</v>
      </c>
      <c r="N292" s="5" t="str">
        <f>IFERROR(INDEX(Branch_Master!$B$2:$B$9,MATCH($B292,Branch_Master!$A$2:$A$9,0)),"Not Found")</f>
        <v>Mumbai</v>
      </c>
      <c r="O292" s="5" t="str">
        <f>IFERROR(INDEX(Branch_Master!$C$2:$C$9,MATCH($B292,Branch_Master!$A$2:$A$9,0)),"Not Found")</f>
        <v>Maharashtra</v>
      </c>
      <c r="P292" s="5">
        <f>IFERROR(INDEX(Targets!$B$2:$B$9,MATCH($B292,Targets!$A$2:$A$9,0)),0)</f>
        <v>900000</v>
      </c>
      <c r="Q292" s="5" t="str">
        <f t="shared" si="8"/>
        <v>Yes</v>
      </c>
      <c r="R292" s="5" t="str">
        <f t="shared" si="9"/>
        <v>Apr</v>
      </c>
    </row>
    <row r="293" spans="1:18" ht="15" customHeight="1" x14ac:dyDescent="0.3">
      <c r="A293" s="5" t="str">
        <f>Sales_Data!A290</f>
        <v>2025-04-16</v>
      </c>
      <c r="B293" s="5" t="str">
        <f>Sales_Data!B290</f>
        <v>Bangalore North</v>
      </c>
      <c r="C293" s="5" t="str">
        <f>Sales_Data!C290</f>
        <v>E038</v>
      </c>
      <c r="D293" s="5" t="str">
        <f>IFERROR(INDEX(Employee_Master!$B$2:$B$44,MATCH($C293,Employee_Master!$A$2:$A$44,0)),"Not Found")</f>
        <v>Derrick Griffin</v>
      </c>
      <c r="E293" s="5" t="str">
        <f>IFERROR(INDEX(Employee_Master!$C$2:$C$44,MATCH($C293,Employee_Master!$A$2:$A$44,0)),"Not Found")</f>
        <v>Marketing</v>
      </c>
      <c r="F293" s="5" t="str">
        <f>IFERROR(INDEX(Employee_Master!$D$2:$D$44,MATCH($C293,Employee_Master!$A$2:$A$44,0)),"Not Found")</f>
        <v>Jose Soto</v>
      </c>
      <c r="G293" s="5" t="str">
        <f>IFERROR(INDEX(Employee_Master!$E$2:$E$44,MATCH($C293,Employee_Master!$A$2:$A$44,0)),"Not Found")</f>
        <v>South</v>
      </c>
      <c r="H293" s="5" t="str">
        <f>Sales_Data!D290</f>
        <v>P016 - Dinner Set</v>
      </c>
      <c r="I293" s="5" t="str">
        <f>IFERROR(INDEX(Product_Master!$B$2:$B$30,MATCH($H293,Product_Master!$A$2:$A$30,0)),"Invalid Product Code")</f>
        <v>Home &amp; Kitchen</v>
      </c>
      <c r="J293" s="5">
        <f>IFERROR(INDEX(Product_Master!$C$2:$C$30,MATCH($H293,Product_Master!$A$2:$A$30,0)),0)</f>
        <v>225.06</v>
      </c>
      <c r="K293" s="5">
        <f>Sales_Data!E290</f>
        <v>6</v>
      </c>
      <c r="L293" s="5">
        <f>Sales_Data!F290</f>
        <v>1464.15</v>
      </c>
      <c r="M293" s="5">
        <f>Sales_Data!G290</f>
        <v>1400.2</v>
      </c>
      <c r="N293" s="5" t="str">
        <f>IFERROR(INDEX(Branch_Master!$B$2:$B$9,MATCH($B293,Branch_Master!$A$2:$A$9,0)),"Not Found")</f>
        <v>Bangalore</v>
      </c>
      <c r="O293" s="5" t="str">
        <f>IFERROR(INDEX(Branch_Master!$C$2:$C$9,MATCH($B293,Branch_Master!$A$2:$A$9,0)),"Not Found")</f>
        <v>Karnataka</v>
      </c>
      <c r="P293" s="5">
        <f>IFERROR(INDEX(Targets!$B$2:$B$9,MATCH($B293,Targets!$A$2:$A$9,0)),0)</f>
        <v>900000</v>
      </c>
      <c r="Q293" s="5" t="str">
        <f t="shared" si="8"/>
        <v>Yes</v>
      </c>
      <c r="R293" s="5" t="str">
        <f t="shared" si="9"/>
        <v>Apr</v>
      </c>
    </row>
    <row r="294" spans="1:18" ht="15" customHeight="1" x14ac:dyDescent="0.3">
      <c r="A294" s="5" t="str">
        <f>Sales_Data!A291</f>
        <v>2025-04-16</v>
      </c>
      <c r="B294" s="5" t="str">
        <f>Sales_Data!B291</f>
        <v>Mumbai Central</v>
      </c>
      <c r="C294" s="5" t="str">
        <f>Sales_Data!C291</f>
        <v>E036</v>
      </c>
      <c r="D294" s="5" t="str">
        <f>IFERROR(INDEX(Employee_Master!$B$2:$B$44,MATCH($C294,Employee_Master!$A$2:$A$44,0)),"Not Found")</f>
        <v>Sarah Mendez</v>
      </c>
      <c r="E294" s="5" t="str">
        <f>IFERROR(INDEX(Employee_Master!$C$2:$C$44,MATCH($C294,Employee_Master!$A$2:$A$44,0)),"Not Found")</f>
        <v>Sales</v>
      </c>
      <c r="F294" s="5" t="str">
        <f>IFERROR(INDEX(Employee_Master!$D$2:$D$44,MATCH($C294,Employee_Master!$A$2:$A$44,0)),"Not Found")</f>
        <v>Justin Glass</v>
      </c>
      <c r="G294" s="5" t="str">
        <f>IFERROR(INDEX(Employee_Master!$E$2:$E$44,MATCH($C294,Employee_Master!$A$2:$A$44,0)),"Not Found")</f>
        <v>West</v>
      </c>
      <c r="H294" s="5" t="str">
        <f>Sales_Data!D291</f>
        <v>P006 - Laptop Stand</v>
      </c>
      <c r="I294" s="5" t="str">
        <f>IFERROR(INDEX(Product_Master!$B$2:$B$30,MATCH($H294,Product_Master!$A$2:$A$30,0)),"Invalid Product Code")</f>
        <v>Electronics</v>
      </c>
      <c r="J294" s="5">
        <f>IFERROR(INDEX(Product_Master!$C$2:$C$30,MATCH($H294,Product_Master!$A$2:$A$30,0)),0)</f>
        <v>393.96</v>
      </c>
      <c r="K294" s="5">
        <f>Sales_Data!E291</f>
        <v>8</v>
      </c>
      <c r="L294" s="5">
        <f>Sales_Data!F291</f>
        <v>3148.38</v>
      </c>
      <c r="M294" s="5">
        <f>Sales_Data!G291</f>
        <v>2969.07</v>
      </c>
      <c r="N294" s="5" t="str">
        <f>IFERROR(INDEX(Branch_Master!$B$2:$B$9,MATCH($B294,Branch_Master!$A$2:$A$9,0)),"Not Found")</f>
        <v>Mumbai</v>
      </c>
      <c r="O294" s="5" t="str">
        <f>IFERROR(INDEX(Branch_Master!$C$2:$C$9,MATCH($B294,Branch_Master!$A$2:$A$9,0)),"Not Found")</f>
        <v>Maharashtra</v>
      </c>
      <c r="P294" s="5">
        <f>IFERROR(INDEX(Targets!$B$2:$B$9,MATCH($B294,Targets!$A$2:$A$9,0)),0)</f>
        <v>900000</v>
      </c>
      <c r="Q294" s="5" t="str">
        <f t="shared" si="8"/>
        <v>Yes</v>
      </c>
      <c r="R294" s="5" t="str">
        <f t="shared" si="9"/>
        <v>Apr</v>
      </c>
    </row>
    <row r="295" spans="1:18" ht="15" customHeight="1" x14ac:dyDescent="0.3">
      <c r="A295" s="5" t="str">
        <f>Sales_Data!A292</f>
        <v>2025-04-16</v>
      </c>
      <c r="B295" s="5" t="str">
        <f>Sales_Data!B292</f>
        <v>Delhi NCR</v>
      </c>
      <c r="C295" s="5" t="str">
        <f>Sales_Data!C292</f>
        <v>E013</v>
      </c>
      <c r="D295" s="5" t="str">
        <f>IFERROR(INDEX(Employee_Master!$B$2:$B$44,MATCH($C295,Employee_Master!$A$2:$A$44,0)),"Not Found")</f>
        <v>Norma Wilson</v>
      </c>
      <c r="E295" s="5" t="str">
        <f>IFERROR(INDEX(Employee_Master!$C$2:$C$44,MATCH($C295,Employee_Master!$A$2:$A$44,0)),"Not Found")</f>
        <v>Customer Support</v>
      </c>
      <c r="F295" s="5" t="str">
        <f>IFERROR(INDEX(Employee_Master!$D$2:$D$44,MATCH($C295,Employee_Master!$A$2:$A$44,0)),"Not Found")</f>
        <v>William Oconnell</v>
      </c>
      <c r="G295" s="5" t="str">
        <f>IFERROR(INDEX(Employee_Master!$E$2:$E$44,MATCH($C295,Employee_Master!$A$2:$A$44,0)),"Not Found")</f>
        <v>North</v>
      </c>
      <c r="H295" s="5" t="str">
        <f>Sales_Data!D292</f>
        <v>P009 - Formal Shirt</v>
      </c>
      <c r="I295" s="5" t="str">
        <f>IFERROR(INDEX(Product_Master!$B$2:$B$30,MATCH($H295,Product_Master!$A$2:$A$30,0)),"Invalid Product Code")</f>
        <v>Apparel</v>
      </c>
      <c r="J295" s="5">
        <f>IFERROR(INDEX(Product_Master!$C$2:$C$30,MATCH($H295,Product_Master!$A$2:$A$30,0)),0)</f>
        <v>661.65</v>
      </c>
      <c r="K295" s="5">
        <f>Sales_Data!E292</f>
        <v>10</v>
      </c>
      <c r="L295" s="5">
        <f>Sales_Data!F292</f>
        <v>7227.19</v>
      </c>
      <c r="M295" s="5">
        <f>Sales_Data!G292</f>
        <v>6597.43</v>
      </c>
      <c r="N295" s="5" t="str">
        <f>IFERROR(INDEX(Branch_Master!$B$2:$B$9,MATCH($B295,Branch_Master!$A$2:$A$9,0)),"Not Found")</f>
        <v>New Delhi</v>
      </c>
      <c r="O295" s="5" t="str">
        <f>IFERROR(INDEX(Branch_Master!$C$2:$C$9,MATCH($B295,Branch_Master!$A$2:$A$9,0)),"Not Found")</f>
        <v>Delhi</v>
      </c>
      <c r="P295" s="5">
        <f>IFERROR(INDEX(Targets!$B$2:$B$9,MATCH($B295,Targets!$A$2:$A$9,0)),0)</f>
        <v>2070000</v>
      </c>
      <c r="Q295" s="5" t="str">
        <f t="shared" si="8"/>
        <v>Yes</v>
      </c>
      <c r="R295" s="5" t="str">
        <f t="shared" si="9"/>
        <v>Apr</v>
      </c>
    </row>
    <row r="296" spans="1:18" ht="15" customHeight="1" x14ac:dyDescent="0.3">
      <c r="A296" s="5" t="str">
        <f>Sales_Data!A293</f>
        <v>2025-04-16</v>
      </c>
      <c r="B296" s="5" t="str">
        <f>Sales_Data!B293</f>
        <v>Bangalore North</v>
      </c>
      <c r="C296" s="5" t="str">
        <f>Sales_Data!C293</f>
        <v>E006</v>
      </c>
      <c r="D296" s="5" t="str">
        <f>IFERROR(INDEX(Employee_Master!$B$2:$B$44,MATCH($C296,Employee_Master!$A$2:$A$44,0)),"Not Found")</f>
        <v>Dylan Jones</v>
      </c>
      <c r="E296" s="5" t="str">
        <f>IFERROR(INDEX(Employee_Master!$C$2:$C$44,MATCH($C296,Employee_Master!$A$2:$A$44,0)),"Not Found")</f>
        <v>Sales</v>
      </c>
      <c r="F296" s="5" t="str">
        <f>IFERROR(INDEX(Employee_Master!$D$2:$D$44,MATCH($C296,Employee_Master!$A$2:$A$44,0)),"Not Found")</f>
        <v>Jose Soto</v>
      </c>
      <c r="G296" s="5" t="str">
        <f>IFERROR(INDEX(Employee_Master!$E$2:$E$44,MATCH($C296,Employee_Master!$A$2:$A$44,0)),"Not Found")</f>
        <v>South</v>
      </c>
      <c r="H296" s="5" t="str">
        <f>Sales_Data!D293</f>
        <v>P021 - Assorted Spices Kit</v>
      </c>
      <c r="I296" s="5" t="str">
        <f>IFERROR(INDEX(Product_Master!$B$2:$B$30,MATCH($H296,Product_Master!$A$2:$A$30,0)),"Invalid Product Code")</f>
        <v>Grocery</v>
      </c>
      <c r="J296" s="5">
        <f>IFERROR(INDEX(Product_Master!$C$2:$C$30,MATCH($H296,Product_Master!$A$2:$A$30,0)),0)</f>
        <v>1060.97</v>
      </c>
      <c r="K296" s="5">
        <f>Sales_Data!E293</f>
        <v>7</v>
      </c>
      <c r="L296" s="5">
        <f>Sales_Data!F293</f>
        <v>8076.56</v>
      </c>
      <c r="M296" s="5">
        <f>Sales_Data!G293</f>
        <v>7983.2</v>
      </c>
      <c r="N296" s="5" t="str">
        <f>IFERROR(INDEX(Branch_Master!$B$2:$B$9,MATCH($B296,Branch_Master!$A$2:$A$9,0)),"Not Found")</f>
        <v>Bangalore</v>
      </c>
      <c r="O296" s="5" t="str">
        <f>IFERROR(INDEX(Branch_Master!$C$2:$C$9,MATCH($B296,Branch_Master!$A$2:$A$9,0)),"Not Found")</f>
        <v>Karnataka</v>
      </c>
      <c r="P296" s="5">
        <f>IFERROR(INDEX(Targets!$B$2:$B$9,MATCH($B296,Targets!$A$2:$A$9,0)),0)</f>
        <v>900000</v>
      </c>
      <c r="Q296" s="5" t="str">
        <f t="shared" si="8"/>
        <v>Yes</v>
      </c>
      <c r="R296" s="5" t="str">
        <f t="shared" si="9"/>
        <v>Apr</v>
      </c>
    </row>
    <row r="297" spans="1:18" ht="15" customHeight="1" x14ac:dyDescent="0.3">
      <c r="A297" s="5" t="str">
        <f>Sales_Data!A294</f>
        <v>2025-04-17</v>
      </c>
      <c r="B297" s="5" t="str">
        <f>Sales_Data!B294</f>
        <v>Ahmedabad West</v>
      </c>
      <c r="C297" s="5" t="str">
        <f>Sales_Data!C294</f>
        <v>E002</v>
      </c>
      <c r="D297" s="5" t="str">
        <f>IFERROR(INDEX(Employee_Master!$B$2:$B$44,MATCH($C297,Employee_Master!$A$2:$A$44,0)),"Not Found")</f>
        <v>Jeremiah Kirby</v>
      </c>
      <c r="E297" s="5" t="str">
        <f>IFERROR(INDEX(Employee_Master!$C$2:$C$44,MATCH($C297,Employee_Master!$A$2:$A$44,0)),"Not Found")</f>
        <v>Marketing</v>
      </c>
      <c r="F297" s="5" t="str">
        <f>IFERROR(INDEX(Employee_Master!$D$2:$D$44,MATCH($C297,Employee_Master!$A$2:$A$44,0)),"Not Found")</f>
        <v>Joseph Brown</v>
      </c>
      <c r="G297" s="5" t="str">
        <f>IFERROR(INDEX(Employee_Master!$E$2:$E$44,MATCH($C297,Employee_Master!$A$2:$A$44,0)),"Not Found")</f>
        <v>West</v>
      </c>
      <c r="H297" s="5" t="str">
        <f>Sales_Data!D294</f>
        <v>P014 - Air Fryer</v>
      </c>
      <c r="I297" s="5" t="str">
        <f>IFERROR(INDEX(Product_Master!$B$2:$B$30,MATCH($H297,Product_Master!$A$2:$A$30,0)),"Invalid Product Code")</f>
        <v>Home &amp; Kitchen</v>
      </c>
      <c r="J297" s="5">
        <f>IFERROR(INDEX(Product_Master!$C$2:$C$30,MATCH($H297,Product_Master!$A$2:$A$30,0)),0)</f>
        <v>729.85</v>
      </c>
      <c r="K297" s="5">
        <f>Sales_Data!E294</f>
        <v>6</v>
      </c>
      <c r="L297" s="5">
        <f>Sales_Data!F294</f>
        <v>4467.91</v>
      </c>
      <c r="M297" s="5">
        <f>Sales_Data!G294</f>
        <v>4077.42</v>
      </c>
      <c r="N297" s="5" t="str">
        <f>IFERROR(INDEX(Branch_Master!$B$2:$B$9,MATCH($B297,Branch_Master!$A$2:$A$9,0)),"Not Found")</f>
        <v>Ahmedabad</v>
      </c>
      <c r="O297" s="5" t="str">
        <f>IFERROR(INDEX(Branch_Master!$C$2:$C$9,MATCH($B297,Branch_Master!$A$2:$A$9,0)),"Not Found")</f>
        <v>Gujarat</v>
      </c>
      <c r="P297" s="5">
        <f>IFERROR(INDEX(Targets!$B$2:$B$9,MATCH($B297,Targets!$A$2:$A$9,0)),0)</f>
        <v>1590000</v>
      </c>
      <c r="Q297" s="5" t="str">
        <f t="shared" si="8"/>
        <v>Yes</v>
      </c>
      <c r="R297" s="5" t="str">
        <f t="shared" si="9"/>
        <v>Apr</v>
      </c>
    </row>
    <row r="298" spans="1:18" ht="15" customHeight="1" x14ac:dyDescent="0.3">
      <c r="A298" s="5" t="str">
        <f>Sales_Data!A295</f>
        <v>2025-04-17</v>
      </c>
      <c r="B298" s="5" t="str">
        <f>Sales_Data!B295</f>
        <v>Bangalore North</v>
      </c>
      <c r="C298" s="5" t="str">
        <f>Sales_Data!C295</f>
        <v>E040</v>
      </c>
      <c r="D298" s="5" t="str">
        <f>IFERROR(INDEX(Employee_Master!$B$2:$B$44,MATCH($C298,Employee_Master!$A$2:$A$44,0)),"Not Found")</f>
        <v>Bonnie Cox</v>
      </c>
      <c r="E298" s="5" t="str">
        <f>IFERROR(INDEX(Employee_Master!$C$2:$C$44,MATCH($C298,Employee_Master!$A$2:$A$44,0)),"Not Found")</f>
        <v>Customer Support</v>
      </c>
      <c r="F298" s="5" t="str">
        <f>IFERROR(INDEX(Employee_Master!$D$2:$D$44,MATCH($C298,Employee_Master!$A$2:$A$44,0)),"Not Found")</f>
        <v>Jose Soto</v>
      </c>
      <c r="G298" s="5" t="str">
        <f>IFERROR(INDEX(Employee_Master!$E$2:$E$44,MATCH($C298,Employee_Master!$A$2:$A$44,0)),"Not Found")</f>
        <v>South</v>
      </c>
      <c r="H298" s="5" t="str">
        <f>Sales_Data!D295</f>
        <v>P026 - Yoga Mat</v>
      </c>
      <c r="I298" s="5" t="str">
        <f>IFERROR(INDEX(Product_Master!$B$2:$B$30,MATCH($H298,Product_Master!$A$2:$A$30,0)),"Invalid Product Code")</f>
        <v>Sports</v>
      </c>
      <c r="J298" s="5">
        <f>IFERROR(INDEX(Product_Master!$C$2:$C$30,MATCH($H298,Product_Master!$A$2:$A$30,0)),0)</f>
        <v>518.76</v>
      </c>
      <c r="K298" s="5">
        <f>Sales_Data!E295</f>
        <v>7</v>
      </c>
      <c r="L298" s="5">
        <f>Sales_Data!F295</f>
        <v>3629.88</v>
      </c>
      <c r="M298" s="5">
        <f>Sales_Data!G295</f>
        <v>3872.09</v>
      </c>
      <c r="N298" s="5" t="str">
        <f>IFERROR(INDEX(Branch_Master!$B$2:$B$9,MATCH($B298,Branch_Master!$A$2:$A$9,0)),"Not Found")</f>
        <v>Bangalore</v>
      </c>
      <c r="O298" s="5" t="str">
        <f>IFERROR(INDEX(Branch_Master!$C$2:$C$9,MATCH($B298,Branch_Master!$A$2:$A$9,0)),"Not Found")</f>
        <v>Karnataka</v>
      </c>
      <c r="P298" s="5">
        <f>IFERROR(INDEX(Targets!$B$2:$B$9,MATCH($B298,Targets!$A$2:$A$9,0)),0)</f>
        <v>900000</v>
      </c>
      <c r="Q298" s="5" t="str">
        <f t="shared" si="8"/>
        <v>No</v>
      </c>
      <c r="R298" s="5" t="str">
        <f t="shared" si="9"/>
        <v>Apr</v>
      </c>
    </row>
    <row r="299" spans="1:18" ht="15" customHeight="1" x14ac:dyDescent="0.3">
      <c r="A299" s="5" t="str">
        <f>Sales_Data!A296</f>
        <v>2025-04-17</v>
      </c>
      <c r="B299" s="5" t="str">
        <f>Sales_Data!B296</f>
        <v>Chennai South</v>
      </c>
      <c r="C299" s="5" t="str">
        <f>Sales_Data!C296</f>
        <v>E019</v>
      </c>
      <c r="D299" s="5" t="str">
        <f>IFERROR(INDEX(Employee_Master!$B$2:$B$44,MATCH($C299,Employee_Master!$A$2:$A$44,0)),"Not Found")</f>
        <v>Regina Torres</v>
      </c>
      <c r="E299" s="5" t="str">
        <f>IFERROR(INDEX(Employee_Master!$C$2:$C$44,MATCH($C299,Employee_Master!$A$2:$A$44,0)),"Not Found")</f>
        <v>Operations</v>
      </c>
      <c r="F299" s="5" t="str">
        <f>IFERROR(INDEX(Employee_Master!$D$2:$D$44,MATCH($C299,Employee_Master!$A$2:$A$44,0)),"Not Found")</f>
        <v>Robert Steele</v>
      </c>
      <c r="G299" s="5" t="str">
        <f>IFERROR(INDEX(Employee_Master!$E$2:$E$44,MATCH($C299,Employee_Master!$A$2:$A$44,0)),"Not Found")</f>
        <v>South</v>
      </c>
      <c r="H299" s="5" t="str">
        <f>Sales_Data!D296</f>
        <v>P008 - Denim Jeans</v>
      </c>
      <c r="I299" s="5" t="str">
        <f>IFERROR(INDEX(Product_Master!$B$2:$B$30,MATCH($H299,Product_Master!$A$2:$A$30,0)),"Invalid Product Code")</f>
        <v>Apparel</v>
      </c>
      <c r="J299" s="5">
        <f>IFERROR(INDEX(Product_Master!$C$2:$C$30,MATCH($H299,Product_Master!$A$2:$A$30,0)),0)</f>
        <v>614.48</v>
      </c>
      <c r="K299" s="5">
        <f>Sales_Data!E296</f>
        <v>9</v>
      </c>
      <c r="L299" s="5">
        <f>Sales_Data!F296</f>
        <v>5865.44</v>
      </c>
      <c r="M299" s="5">
        <f>Sales_Data!G296</f>
        <v>5412.63</v>
      </c>
      <c r="N299" s="5" t="str">
        <f>IFERROR(INDEX(Branch_Master!$B$2:$B$9,MATCH($B299,Branch_Master!$A$2:$A$9,0)),"Not Found")</f>
        <v>Chennai</v>
      </c>
      <c r="O299" s="5" t="str">
        <f>IFERROR(INDEX(Branch_Master!$C$2:$C$9,MATCH($B299,Branch_Master!$A$2:$A$9,0)),"Not Found")</f>
        <v>Tamil Nadu</v>
      </c>
      <c r="P299" s="5">
        <f>IFERROR(INDEX(Targets!$B$2:$B$9,MATCH($B299,Targets!$A$2:$A$9,0)),0)</f>
        <v>1910000</v>
      </c>
      <c r="Q299" s="5" t="str">
        <f t="shared" si="8"/>
        <v>Yes</v>
      </c>
      <c r="R299" s="5" t="str">
        <f t="shared" si="9"/>
        <v>Apr</v>
      </c>
    </row>
    <row r="300" spans="1:18" ht="15" customHeight="1" x14ac:dyDescent="0.3">
      <c r="A300" s="5" t="str">
        <f>Sales_Data!A297</f>
        <v>2025-04-18</v>
      </c>
      <c r="B300" s="5" t="str">
        <f>Sales_Data!B297</f>
        <v>Pune East</v>
      </c>
      <c r="C300" s="5" t="str">
        <f>Sales_Data!C297</f>
        <v>E023</v>
      </c>
      <c r="D300" s="5" t="str">
        <f>IFERROR(INDEX(Employee_Master!$B$2:$B$44,MATCH($C300,Employee_Master!$A$2:$A$44,0)),"Not Found")</f>
        <v>Edward Jones</v>
      </c>
      <c r="E300" s="5" t="str">
        <f>IFERROR(INDEX(Employee_Master!$C$2:$C$44,MATCH($C300,Employee_Master!$A$2:$A$44,0)),"Not Found")</f>
        <v>Operations</v>
      </c>
      <c r="F300" s="5" t="str">
        <f>IFERROR(INDEX(Employee_Master!$D$2:$D$44,MATCH($C300,Employee_Master!$A$2:$A$44,0)),"Not Found")</f>
        <v>Jordan Matthews</v>
      </c>
      <c r="G300" s="5" t="str">
        <f>IFERROR(INDEX(Employee_Master!$E$2:$E$44,MATCH($C300,Employee_Master!$A$2:$A$44,0)),"Not Found")</f>
        <v>West</v>
      </c>
      <c r="H300" s="5" t="str">
        <f>Sales_Data!D297</f>
        <v>P001 - Wireless Earbuds</v>
      </c>
      <c r="I300" s="5" t="str">
        <f>IFERROR(INDEX(Product_Master!$B$2:$B$30,MATCH($H300,Product_Master!$A$2:$A$30,0)),"Invalid Product Code")</f>
        <v>Electronics</v>
      </c>
      <c r="J300" s="5">
        <f>IFERROR(INDEX(Product_Master!$C$2:$C$30,MATCH($H300,Product_Master!$A$2:$A$30,0)),0)</f>
        <v>1676.76</v>
      </c>
      <c r="K300" s="5">
        <f>Sales_Data!E297</f>
        <v>9</v>
      </c>
      <c r="L300" s="5">
        <f>Sales_Data!F297</f>
        <v>14381.37</v>
      </c>
      <c r="M300" s="5">
        <f>Sales_Data!G297</f>
        <v>13936.63</v>
      </c>
      <c r="N300" s="5" t="str">
        <f>IFERROR(INDEX(Branch_Master!$B$2:$B$9,MATCH($B300,Branch_Master!$A$2:$A$9,0)),"Not Found")</f>
        <v>Pune</v>
      </c>
      <c r="O300" s="5" t="str">
        <f>IFERROR(INDEX(Branch_Master!$C$2:$C$9,MATCH($B300,Branch_Master!$A$2:$A$9,0)),"Not Found")</f>
        <v>Maharashtra</v>
      </c>
      <c r="P300" s="5">
        <f>IFERROR(INDEX(Targets!$B$2:$B$9,MATCH($B300,Targets!$A$2:$A$9,0)),0)</f>
        <v>1250000</v>
      </c>
      <c r="Q300" s="5" t="str">
        <f t="shared" si="8"/>
        <v>Yes</v>
      </c>
      <c r="R300" s="5" t="str">
        <f t="shared" si="9"/>
        <v>Apr</v>
      </c>
    </row>
    <row r="301" spans="1:18" ht="15" customHeight="1" x14ac:dyDescent="0.3">
      <c r="A301" s="5" t="str">
        <f>Sales_Data!A298</f>
        <v>2025-04-18</v>
      </c>
      <c r="B301" s="5" t="str">
        <f>Sales_Data!B298</f>
        <v>Hyderabad Hitech</v>
      </c>
      <c r="C301" s="5" t="str">
        <f>Sales_Data!C298</f>
        <v>E035</v>
      </c>
      <c r="D301" s="5" t="str">
        <f>IFERROR(INDEX(Employee_Master!$B$2:$B$44,MATCH($C301,Employee_Master!$A$2:$A$44,0)),"Not Found")</f>
        <v>Andrea Perez</v>
      </c>
      <c r="E301" s="5" t="str">
        <f>IFERROR(INDEX(Employee_Master!$C$2:$C$44,MATCH($C301,Employee_Master!$A$2:$A$44,0)),"Not Found")</f>
        <v>Sales</v>
      </c>
      <c r="F301" s="5" t="str">
        <f>IFERROR(INDEX(Employee_Master!$D$2:$D$44,MATCH($C301,Employee_Master!$A$2:$A$44,0)),"Not Found")</f>
        <v>Anna Turner</v>
      </c>
      <c r="G301" s="5" t="str">
        <f>IFERROR(INDEX(Employee_Master!$E$2:$E$44,MATCH($C301,Employee_Master!$A$2:$A$44,0)),"Not Found")</f>
        <v>South</v>
      </c>
      <c r="H301" s="5" t="str">
        <f>Sales_Data!D298</f>
        <v>P026 - Yoga Mat</v>
      </c>
      <c r="I301" s="5" t="str">
        <f>IFERROR(INDEX(Product_Master!$B$2:$B$30,MATCH($H301,Product_Master!$A$2:$A$30,0)),"Invalid Product Code")</f>
        <v>Sports</v>
      </c>
      <c r="J301" s="5">
        <f>IFERROR(INDEX(Product_Master!$C$2:$C$30,MATCH($H301,Product_Master!$A$2:$A$30,0)),0)</f>
        <v>518.76</v>
      </c>
      <c r="K301" s="5">
        <f>Sales_Data!E298</f>
        <v>6</v>
      </c>
      <c r="L301" s="5">
        <f>Sales_Data!F298</f>
        <v>2827.35</v>
      </c>
      <c r="M301" s="5">
        <f>Sales_Data!G298</f>
        <v>2672.54</v>
      </c>
      <c r="N301" s="5" t="str">
        <f>IFERROR(INDEX(Branch_Master!$B$2:$B$9,MATCH($B301,Branch_Master!$A$2:$A$9,0)),"Not Found")</f>
        <v>Hyderabad</v>
      </c>
      <c r="O301" s="5" t="str">
        <f>IFERROR(INDEX(Branch_Master!$C$2:$C$9,MATCH($B301,Branch_Master!$A$2:$A$9,0)),"Not Found")</f>
        <v>Telangana</v>
      </c>
      <c r="P301" s="5">
        <f>IFERROR(INDEX(Targets!$B$2:$B$9,MATCH($B301,Targets!$A$2:$A$9,0)),0)</f>
        <v>1210000</v>
      </c>
      <c r="Q301" s="5" t="str">
        <f t="shared" si="8"/>
        <v>Yes</v>
      </c>
      <c r="R301" s="5" t="str">
        <f t="shared" si="9"/>
        <v>Apr</v>
      </c>
    </row>
    <row r="302" spans="1:18" ht="15" customHeight="1" x14ac:dyDescent="0.3">
      <c r="A302" s="5" t="str">
        <f>Sales_Data!A299</f>
        <v>2025-04-18</v>
      </c>
      <c r="B302" s="5" t="str">
        <f>Sales_Data!B299</f>
        <v>Mumbai Central</v>
      </c>
      <c r="C302" s="5" t="str">
        <f>Sales_Data!C299</f>
        <v>E012</v>
      </c>
      <c r="D302" s="5" t="str">
        <f>IFERROR(INDEX(Employee_Master!$B$2:$B$44,MATCH($C302,Employee_Master!$A$2:$A$44,0)),"Not Found")</f>
        <v>Brandon Cook</v>
      </c>
      <c r="E302" s="5" t="str">
        <f>IFERROR(INDEX(Employee_Master!$C$2:$C$44,MATCH($C302,Employee_Master!$A$2:$A$44,0)),"Not Found")</f>
        <v>Customer Support</v>
      </c>
      <c r="F302" s="5" t="str">
        <f>IFERROR(INDEX(Employee_Master!$D$2:$D$44,MATCH($C302,Employee_Master!$A$2:$A$44,0)),"Not Found")</f>
        <v>Justin Glass</v>
      </c>
      <c r="G302" s="5" t="str">
        <f>IFERROR(INDEX(Employee_Master!$E$2:$E$44,MATCH($C302,Employee_Master!$A$2:$A$44,0)),"Not Found")</f>
        <v>West</v>
      </c>
      <c r="H302" s="5" t="str">
        <f>Sales_Data!D299</f>
        <v>P004 - Power Bank</v>
      </c>
      <c r="I302" s="5" t="str">
        <f>IFERROR(INDEX(Product_Master!$B$2:$B$30,MATCH($H302,Product_Master!$A$2:$A$30,0)),"Invalid Product Code")</f>
        <v>Electronics</v>
      </c>
      <c r="J302" s="5">
        <f>IFERROR(INDEX(Product_Master!$C$2:$C$30,MATCH($H302,Product_Master!$A$2:$A$30,0)),0)</f>
        <v>76.91</v>
      </c>
      <c r="K302" s="5">
        <f>Sales_Data!E299</f>
        <v>4</v>
      </c>
      <c r="L302" s="5">
        <f>Sales_Data!F299</f>
        <v>284.16000000000003</v>
      </c>
      <c r="M302" s="5">
        <f>Sales_Data!G299</f>
        <v>268.98</v>
      </c>
      <c r="N302" s="5" t="str">
        <f>IFERROR(INDEX(Branch_Master!$B$2:$B$9,MATCH($B302,Branch_Master!$A$2:$A$9,0)),"Not Found")</f>
        <v>Mumbai</v>
      </c>
      <c r="O302" s="5" t="str">
        <f>IFERROR(INDEX(Branch_Master!$C$2:$C$9,MATCH($B302,Branch_Master!$A$2:$A$9,0)),"Not Found")</f>
        <v>Maharashtra</v>
      </c>
      <c r="P302" s="5">
        <f>IFERROR(INDEX(Targets!$B$2:$B$9,MATCH($B302,Targets!$A$2:$A$9,0)),0)</f>
        <v>900000</v>
      </c>
      <c r="Q302" s="5" t="str">
        <f t="shared" si="8"/>
        <v>Yes</v>
      </c>
      <c r="R302" s="5" t="str">
        <f t="shared" si="9"/>
        <v>Apr</v>
      </c>
    </row>
    <row r="303" spans="1:18" ht="15" customHeight="1" x14ac:dyDescent="0.3">
      <c r="A303" s="5" t="str">
        <f>Sales_Data!A300</f>
        <v>2025-04-19</v>
      </c>
      <c r="B303" s="5" t="str">
        <f>Sales_Data!B300</f>
        <v>Mumbai Central</v>
      </c>
      <c r="C303" s="5" t="str">
        <f>Sales_Data!C300</f>
        <v>E027</v>
      </c>
      <c r="D303" s="5" t="str">
        <f>IFERROR(INDEX(Employee_Master!$B$2:$B$44,MATCH($C303,Employee_Master!$A$2:$A$44,0)),"Not Found")</f>
        <v>Catherine Moore</v>
      </c>
      <c r="E303" s="5" t="str">
        <f>IFERROR(INDEX(Employee_Master!$C$2:$C$44,MATCH($C303,Employee_Master!$A$2:$A$44,0)),"Not Found")</f>
        <v>Customer Support</v>
      </c>
      <c r="F303" s="5" t="str">
        <f>IFERROR(INDEX(Employee_Master!$D$2:$D$44,MATCH($C303,Employee_Master!$A$2:$A$44,0)),"Not Found")</f>
        <v>Justin Glass</v>
      </c>
      <c r="G303" s="5" t="str">
        <f>IFERROR(INDEX(Employee_Master!$E$2:$E$44,MATCH($C303,Employee_Master!$A$2:$A$44,0)),"Not Found")</f>
        <v>West</v>
      </c>
      <c r="H303" s="5" t="str">
        <f>Sales_Data!D300</f>
        <v>P014 - Air Fryer</v>
      </c>
      <c r="I303" s="5" t="str">
        <f>IFERROR(INDEX(Product_Master!$B$2:$B$30,MATCH($H303,Product_Master!$A$2:$A$30,0)),"Invalid Product Code")</f>
        <v>Home &amp; Kitchen</v>
      </c>
      <c r="J303" s="5">
        <f>IFERROR(INDEX(Product_Master!$C$2:$C$30,MATCH($H303,Product_Master!$A$2:$A$30,0)),0)</f>
        <v>729.85</v>
      </c>
      <c r="K303" s="5">
        <f>Sales_Data!E300</f>
        <v>6</v>
      </c>
      <c r="L303" s="5">
        <f>Sales_Data!F300</f>
        <v>4536.4399999999996</v>
      </c>
      <c r="M303" s="5">
        <f>Sales_Data!G300</f>
        <v>5014.54</v>
      </c>
      <c r="N303" s="5" t="str">
        <f>IFERROR(INDEX(Branch_Master!$B$2:$B$9,MATCH($B303,Branch_Master!$A$2:$A$9,0)),"Not Found")</f>
        <v>Mumbai</v>
      </c>
      <c r="O303" s="5" t="str">
        <f>IFERROR(INDEX(Branch_Master!$C$2:$C$9,MATCH($B303,Branch_Master!$A$2:$A$9,0)),"Not Found")</f>
        <v>Maharashtra</v>
      </c>
      <c r="P303" s="5">
        <f>IFERROR(INDEX(Targets!$B$2:$B$9,MATCH($B303,Targets!$A$2:$A$9,0)),0)</f>
        <v>900000</v>
      </c>
      <c r="Q303" s="5" t="str">
        <f t="shared" si="8"/>
        <v>No</v>
      </c>
      <c r="R303" s="5" t="str">
        <f t="shared" si="9"/>
        <v>Apr</v>
      </c>
    </row>
    <row r="304" spans="1:18" ht="15" customHeight="1" x14ac:dyDescent="0.3">
      <c r="A304" s="5" t="str">
        <f>Sales_Data!A301</f>
        <v>2025-04-19</v>
      </c>
      <c r="B304" s="5" t="str">
        <f>Sales_Data!B301</f>
        <v>Chennai South</v>
      </c>
      <c r="C304" s="5" t="str">
        <f>Sales_Data!C301</f>
        <v>E032</v>
      </c>
      <c r="D304" s="5" t="str">
        <f>IFERROR(INDEX(Employee_Master!$B$2:$B$44,MATCH($C304,Employee_Master!$A$2:$A$44,0)),"Not Found")</f>
        <v>Victor Allen</v>
      </c>
      <c r="E304" s="5" t="str">
        <f>IFERROR(INDEX(Employee_Master!$C$2:$C$44,MATCH($C304,Employee_Master!$A$2:$A$44,0)),"Not Found")</f>
        <v>Operations</v>
      </c>
      <c r="F304" s="5" t="str">
        <f>IFERROR(INDEX(Employee_Master!$D$2:$D$44,MATCH($C304,Employee_Master!$A$2:$A$44,0)),"Not Found")</f>
        <v>Robert Steele</v>
      </c>
      <c r="G304" s="5" t="str">
        <f>IFERROR(INDEX(Employee_Master!$E$2:$E$44,MATCH($C304,Employee_Master!$A$2:$A$44,0)),"Not Found")</f>
        <v>South</v>
      </c>
      <c r="H304" s="5" t="str">
        <f>Sales_Data!D301</f>
        <v>P022 - Face Wash</v>
      </c>
      <c r="I304" s="5" t="str">
        <f>IFERROR(INDEX(Product_Master!$B$2:$B$30,MATCH($H304,Product_Master!$A$2:$A$30,0)),"Invalid Product Code")</f>
        <v>Beauty</v>
      </c>
      <c r="J304" s="5">
        <f>IFERROR(INDEX(Product_Master!$C$2:$C$30,MATCH($H304,Product_Master!$A$2:$A$30,0)),0)</f>
        <v>396.75</v>
      </c>
      <c r="K304" s="5">
        <f>Sales_Data!E301</f>
        <v>7</v>
      </c>
      <c r="L304" s="5">
        <f>Sales_Data!F301</f>
        <v>3014.76</v>
      </c>
      <c r="M304" s="5">
        <f>Sales_Data!G301</f>
        <v>2480.0500000000002</v>
      </c>
      <c r="N304" s="5" t="str">
        <f>IFERROR(INDEX(Branch_Master!$B$2:$B$9,MATCH($B304,Branch_Master!$A$2:$A$9,0)),"Not Found")</f>
        <v>Chennai</v>
      </c>
      <c r="O304" s="5" t="str">
        <f>IFERROR(INDEX(Branch_Master!$C$2:$C$9,MATCH($B304,Branch_Master!$A$2:$A$9,0)),"Not Found")</f>
        <v>Tamil Nadu</v>
      </c>
      <c r="P304" s="5">
        <f>IFERROR(INDEX(Targets!$B$2:$B$9,MATCH($B304,Targets!$A$2:$A$9,0)),0)</f>
        <v>1910000</v>
      </c>
      <c r="Q304" s="5" t="str">
        <f t="shared" si="8"/>
        <v>Yes</v>
      </c>
      <c r="R304" s="5" t="str">
        <f t="shared" si="9"/>
        <v>Apr</v>
      </c>
    </row>
    <row r="305" spans="1:18" ht="15" customHeight="1" x14ac:dyDescent="0.3">
      <c r="A305" s="5" t="str">
        <f>Sales_Data!A302</f>
        <v>2025-04-19</v>
      </c>
      <c r="B305" s="5" t="str">
        <f>Sales_Data!B302</f>
        <v>Pune East</v>
      </c>
      <c r="C305" s="5" t="str">
        <f>Sales_Data!C302</f>
        <v>E034</v>
      </c>
      <c r="D305" s="5" t="str">
        <f>IFERROR(INDEX(Employee_Master!$B$2:$B$44,MATCH($C305,Employee_Master!$A$2:$A$44,0)),"Not Found")</f>
        <v>Elaine Thompson</v>
      </c>
      <c r="E305" s="5" t="str">
        <f>IFERROR(INDEX(Employee_Master!$C$2:$C$44,MATCH($C305,Employee_Master!$A$2:$A$44,0)),"Not Found")</f>
        <v>Marketing</v>
      </c>
      <c r="F305" s="5" t="str">
        <f>IFERROR(INDEX(Employee_Master!$D$2:$D$44,MATCH($C305,Employee_Master!$A$2:$A$44,0)),"Not Found")</f>
        <v>Jordan Matthews</v>
      </c>
      <c r="G305" s="5" t="str">
        <f>IFERROR(INDEX(Employee_Master!$E$2:$E$44,MATCH($C305,Employee_Master!$A$2:$A$44,0)),"Not Found")</f>
        <v>West</v>
      </c>
      <c r="H305" s="5" t="str">
        <f>Sales_Data!D302</f>
        <v>P002 - Smart Watch</v>
      </c>
      <c r="I305" s="5" t="str">
        <f>IFERROR(INDEX(Product_Master!$B$2:$B$30,MATCH($H305,Product_Master!$A$2:$A$30,0)),"Invalid Product Code")</f>
        <v>Electronics</v>
      </c>
      <c r="J305" s="5">
        <f>IFERROR(INDEX(Product_Master!$C$2:$C$30,MATCH($H305,Product_Master!$A$2:$A$30,0)),0)</f>
        <v>403.33</v>
      </c>
      <c r="K305" s="5">
        <f>Sales_Data!E302</f>
        <v>5</v>
      </c>
      <c r="L305" s="5">
        <f>Sales_Data!F302</f>
        <v>1960.54</v>
      </c>
      <c r="M305" s="5">
        <f>Sales_Data!G302</f>
        <v>2037.61</v>
      </c>
      <c r="N305" s="5" t="str">
        <f>IFERROR(INDEX(Branch_Master!$B$2:$B$9,MATCH($B305,Branch_Master!$A$2:$A$9,0)),"Not Found")</f>
        <v>Pune</v>
      </c>
      <c r="O305" s="5" t="str">
        <f>IFERROR(INDEX(Branch_Master!$C$2:$C$9,MATCH($B305,Branch_Master!$A$2:$A$9,0)),"Not Found")</f>
        <v>Maharashtra</v>
      </c>
      <c r="P305" s="5">
        <f>IFERROR(INDEX(Targets!$B$2:$B$9,MATCH($B305,Targets!$A$2:$A$9,0)),0)</f>
        <v>1250000</v>
      </c>
      <c r="Q305" s="5" t="str">
        <f t="shared" si="8"/>
        <v>No</v>
      </c>
      <c r="R305" s="5" t="str">
        <f t="shared" si="9"/>
        <v>Apr</v>
      </c>
    </row>
    <row r="306" spans="1:18" ht="15" customHeight="1" x14ac:dyDescent="0.3">
      <c r="A306" s="5" t="str">
        <f>Sales_Data!A303</f>
        <v>2025-04-20</v>
      </c>
      <c r="B306" s="5" t="str">
        <f>Sales_Data!B303</f>
        <v>Pune East</v>
      </c>
      <c r="C306" s="5" t="str">
        <f>Sales_Data!C303</f>
        <v>E023</v>
      </c>
      <c r="D306" s="5" t="str">
        <f>IFERROR(INDEX(Employee_Master!$B$2:$B$44,MATCH($C306,Employee_Master!$A$2:$A$44,0)),"Not Found")</f>
        <v>Edward Jones</v>
      </c>
      <c r="E306" s="5" t="str">
        <f>IFERROR(INDEX(Employee_Master!$C$2:$C$44,MATCH($C306,Employee_Master!$A$2:$A$44,0)),"Not Found")</f>
        <v>Operations</v>
      </c>
      <c r="F306" s="5" t="str">
        <f>IFERROR(INDEX(Employee_Master!$D$2:$D$44,MATCH($C306,Employee_Master!$A$2:$A$44,0)),"Not Found")</f>
        <v>Jordan Matthews</v>
      </c>
      <c r="G306" s="5" t="str">
        <f>IFERROR(INDEX(Employee_Master!$E$2:$E$44,MATCH($C306,Employee_Master!$A$2:$A$44,0)),"Not Found")</f>
        <v>West</v>
      </c>
      <c r="H306" s="5" t="str">
        <f>Sales_Data!D303</f>
        <v>P019 - Organic Honey</v>
      </c>
      <c r="I306" s="5" t="str">
        <f>IFERROR(INDEX(Product_Master!$B$2:$B$30,MATCH($H306,Product_Master!$A$2:$A$30,0)),"Invalid Product Code")</f>
        <v>Grocery</v>
      </c>
      <c r="J306" s="5">
        <f>IFERROR(INDEX(Product_Master!$C$2:$C$30,MATCH($H306,Product_Master!$A$2:$A$30,0)),0)</f>
        <v>482.15</v>
      </c>
      <c r="K306" s="5">
        <f>Sales_Data!E303</f>
        <v>1</v>
      </c>
      <c r="L306" s="5">
        <f>Sales_Data!F303</f>
        <v>445</v>
      </c>
      <c r="M306" s="5">
        <f>Sales_Data!G303</f>
        <v>425.46</v>
      </c>
      <c r="N306" s="5" t="str">
        <f>IFERROR(INDEX(Branch_Master!$B$2:$B$9,MATCH($B306,Branch_Master!$A$2:$A$9,0)),"Not Found")</f>
        <v>Pune</v>
      </c>
      <c r="O306" s="5" t="str">
        <f>IFERROR(INDEX(Branch_Master!$C$2:$C$9,MATCH($B306,Branch_Master!$A$2:$A$9,0)),"Not Found")</f>
        <v>Maharashtra</v>
      </c>
      <c r="P306" s="5">
        <f>IFERROR(INDEX(Targets!$B$2:$B$9,MATCH($B306,Targets!$A$2:$A$9,0)),0)</f>
        <v>1250000</v>
      </c>
      <c r="Q306" s="5" t="str">
        <f t="shared" si="8"/>
        <v>Yes</v>
      </c>
      <c r="R306" s="5" t="str">
        <f t="shared" si="9"/>
        <v>Apr</v>
      </c>
    </row>
    <row r="307" spans="1:18" ht="15" customHeight="1" x14ac:dyDescent="0.3">
      <c r="A307" s="5" t="str">
        <f>Sales_Data!A304</f>
        <v>2025-04-20</v>
      </c>
      <c r="B307" s="5" t="str">
        <f>Sales_Data!B304</f>
        <v>Hyderabad Hitech</v>
      </c>
      <c r="C307" s="5" t="str">
        <f>Sales_Data!C304</f>
        <v>E020</v>
      </c>
      <c r="D307" s="5" t="str">
        <f>IFERROR(INDEX(Employee_Master!$B$2:$B$44,MATCH($C307,Employee_Master!$A$2:$A$44,0)),"Not Found")</f>
        <v>Christine Long</v>
      </c>
      <c r="E307" s="5" t="str">
        <f>IFERROR(INDEX(Employee_Master!$C$2:$C$44,MATCH($C307,Employee_Master!$A$2:$A$44,0)),"Not Found")</f>
        <v>Operations</v>
      </c>
      <c r="F307" s="5" t="str">
        <f>IFERROR(INDEX(Employee_Master!$D$2:$D$44,MATCH($C307,Employee_Master!$A$2:$A$44,0)),"Not Found")</f>
        <v>Anna Turner</v>
      </c>
      <c r="G307" s="5" t="str">
        <f>IFERROR(INDEX(Employee_Master!$E$2:$E$44,MATCH($C307,Employee_Master!$A$2:$A$44,0)),"Not Found")</f>
        <v>South</v>
      </c>
      <c r="H307" s="5" t="str">
        <f>Sales_Data!D304</f>
        <v>P018 - Cooking Oil 1L</v>
      </c>
      <c r="I307" s="5" t="str">
        <f>IFERROR(INDEX(Product_Master!$B$2:$B$30,MATCH($H307,Product_Master!$A$2:$A$30,0)),"Invalid Product Code")</f>
        <v>Grocery</v>
      </c>
      <c r="J307" s="5">
        <f>IFERROR(INDEX(Product_Master!$C$2:$C$30,MATCH($H307,Product_Master!$A$2:$A$30,0)),0)</f>
        <v>1483.63</v>
      </c>
      <c r="K307" s="5">
        <f>Sales_Data!E304</f>
        <v>8</v>
      </c>
      <c r="L307" s="5">
        <f>Sales_Data!F304</f>
        <v>10713.57</v>
      </c>
      <c r="M307" s="5">
        <f>Sales_Data!G304</f>
        <v>11496.89</v>
      </c>
      <c r="N307" s="5" t="str">
        <f>IFERROR(INDEX(Branch_Master!$B$2:$B$9,MATCH($B307,Branch_Master!$A$2:$A$9,0)),"Not Found")</f>
        <v>Hyderabad</v>
      </c>
      <c r="O307" s="5" t="str">
        <f>IFERROR(INDEX(Branch_Master!$C$2:$C$9,MATCH($B307,Branch_Master!$A$2:$A$9,0)),"Not Found")</f>
        <v>Telangana</v>
      </c>
      <c r="P307" s="5">
        <f>IFERROR(INDEX(Targets!$B$2:$B$9,MATCH($B307,Targets!$A$2:$A$9,0)),0)</f>
        <v>1210000</v>
      </c>
      <c r="Q307" s="5" t="str">
        <f t="shared" si="8"/>
        <v>No</v>
      </c>
      <c r="R307" s="5" t="str">
        <f t="shared" si="9"/>
        <v>Apr</v>
      </c>
    </row>
    <row r="308" spans="1:18" ht="15" customHeight="1" x14ac:dyDescent="0.3">
      <c r="A308" s="5" t="str">
        <f>Sales_Data!A305</f>
        <v>2025-04-20</v>
      </c>
      <c r="B308" s="5" t="str">
        <f>Sales_Data!B305</f>
        <v>Chennai South</v>
      </c>
      <c r="C308" s="5" t="str">
        <f>Sales_Data!C305</f>
        <v>E032</v>
      </c>
      <c r="D308" s="5" t="str">
        <f>IFERROR(INDEX(Employee_Master!$B$2:$B$44,MATCH($C308,Employee_Master!$A$2:$A$44,0)),"Not Found")</f>
        <v>Victor Allen</v>
      </c>
      <c r="E308" s="5" t="str">
        <f>IFERROR(INDEX(Employee_Master!$C$2:$C$44,MATCH($C308,Employee_Master!$A$2:$A$44,0)),"Not Found")</f>
        <v>Operations</v>
      </c>
      <c r="F308" s="5" t="str">
        <f>IFERROR(INDEX(Employee_Master!$D$2:$D$44,MATCH($C308,Employee_Master!$A$2:$A$44,0)),"Not Found")</f>
        <v>Robert Steele</v>
      </c>
      <c r="G308" s="5" t="str">
        <f>IFERROR(INDEX(Employee_Master!$E$2:$E$44,MATCH($C308,Employee_Master!$A$2:$A$44,0)),"Not Found")</f>
        <v>South</v>
      </c>
      <c r="H308" s="5" t="str">
        <f>Sales_Data!D305</f>
        <v>P004 - Power Bank</v>
      </c>
      <c r="I308" s="5" t="str">
        <f>IFERROR(INDEX(Product_Master!$B$2:$B$30,MATCH($H308,Product_Master!$A$2:$A$30,0)),"Invalid Product Code")</f>
        <v>Electronics</v>
      </c>
      <c r="J308" s="5">
        <f>IFERROR(INDEX(Product_Master!$C$2:$C$30,MATCH($H308,Product_Master!$A$2:$A$30,0)),0)</f>
        <v>76.91</v>
      </c>
      <c r="K308" s="5">
        <f>Sales_Data!E305</f>
        <v>11</v>
      </c>
      <c r="L308" s="5">
        <f>Sales_Data!F305</f>
        <v>916.88</v>
      </c>
      <c r="M308" s="5">
        <f>Sales_Data!G305</f>
        <v>802.56</v>
      </c>
      <c r="N308" s="5" t="str">
        <f>IFERROR(INDEX(Branch_Master!$B$2:$B$9,MATCH($B308,Branch_Master!$A$2:$A$9,0)),"Not Found")</f>
        <v>Chennai</v>
      </c>
      <c r="O308" s="5" t="str">
        <f>IFERROR(INDEX(Branch_Master!$C$2:$C$9,MATCH($B308,Branch_Master!$A$2:$A$9,0)),"Not Found")</f>
        <v>Tamil Nadu</v>
      </c>
      <c r="P308" s="5">
        <f>IFERROR(INDEX(Targets!$B$2:$B$9,MATCH($B308,Targets!$A$2:$A$9,0)),0)</f>
        <v>1910000</v>
      </c>
      <c r="Q308" s="5" t="str">
        <f t="shared" si="8"/>
        <v>Yes</v>
      </c>
      <c r="R308" s="5" t="str">
        <f t="shared" si="9"/>
        <v>Apr</v>
      </c>
    </row>
    <row r="309" spans="1:18" ht="15" customHeight="1" x14ac:dyDescent="0.3">
      <c r="A309" s="5" t="str">
        <f>Sales_Data!A306</f>
        <v>2025-04-21</v>
      </c>
      <c r="B309" s="5" t="str">
        <f>Sales_Data!B306</f>
        <v>Ahmedabad West</v>
      </c>
      <c r="C309" s="5" t="str">
        <f>Sales_Data!C306</f>
        <v>E001</v>
      </c>
      <c r="D309" s="5" t="str">
        <f>IFERROR(INDEX(Employee_Master!$B$2:$B$44,MATCH($C309,Employee_Master!$A$2:$A$44,0)),"Not Found")</f>
        <v>David Johnson</v>
      </c>
      <c r="E309" s="5" t="str">
        <f>IFERROR(INDEX(Employee_Master!$C$2:$C$44,MATCH($C309,Employee_Master!$A$2:$A$44,0)),"Not Found")</f>
        <v>Customer Support</v>
      </c>
      <c r="F309" s="5" t="str">
        <f>IFERROR(INDEX(Employee_Master!$D$2:$D$44,MATCH($C309,Employee_Master!$A$2:$A$44,0)),"Not Found")</f>
        <v>Joseph Brown</v>
      </c>
      <c r="G309" s="5" t="str">
        <f>IFERROR(INDEX(Employee_Master!$E$2:$E$44,MATCH($C309,Employee_Master!$A$2:$A$44,0)),"Not Found")</f>
        <v>West</v>
      </c>
      <c r="H309" s="5" t="str">
        <f>Sales_Data!D306</f>
        <v>P027 - Cricket Bat</v>
      </c>
      <c r="I309" s="5" t="str">
        <f>IFERROR(INDEX(Product_Master!$B$2:$B$30,MATCH($H309,Product_Master!$A$2:$A$30,0)),"Invalid Product Code")</f>
        <v>Sports</v>
      </c>
      <c r="J309" s="5">
        <f>IFERROR(INDEX(Product_Master!$C$2:$C$30,MATCH($H309,Product_Master!$A$2:$A$30,0)),0)</f>
        <v>822.7</v>
      </c>
      <c r="K309" s="5">
        <f>Sales_Data!E306</f>
        <v>6</v>
      </c>
      <c r="L309" s="5">
        <f>Sales_Data!F306</f>
        <v>5282.25</v>
      </c>
      <c r="M309" s="5">
        <f>Sales_Data!G306</f>
        <v>4515.82</v>
      </c>
      <c r="N309" s="5" t="str">
        <f>IFERROR(INDEX(Branch_Master!$B$2:$B$9,MATCH($B309,Branch_Master!$A$2:$A$9,0)),"Not Found")</f>
        <v>Ahmedabad</v>
      </c>
      <c r="O309" s="5" t="str">
        <f>IFERROR(INDEX(Branch_Master!$C$2:$C$9,MATCH($B309,Branch_Master!$A$2:$A$9,0)),"Not Found")</f>
        <v>Gujarat</v>
      </c>
      <c r="P309" s="5">
        <f>IFERROR(INDEX(Targets!$B$2:$B$9,MATCH($B309,Targets!$A$2:$A$9,0)),0)</f>
        <v>1590000</v>
      </c>
      <c r="Q309" s="5" t="str">
        <f t="shared" si="8"/>
        <v>Yes</v>
      </c>
      <c r="R309" s="5" t="str">
        <f t="shared" si="9"/>
        <v>Apr</v>
      </c>
    </row>
    <row r="310" spans="1:18" ht="15" customHeight="1" x14ac:dyDescent="0.3">
      <c r="A310" s="5" t="str">
        <f>Sales_Data!A307</f>
        <v>2025-04-21</v>
      </c>
      <c r="B310" s="5" t="str">
        <f>Sales_Data!B307</f>
        <v>Delhi NCR</v>
      </c>
      <c r="C310" s="5" t="str">
        <f>Sales_Data!C307</f>
        <v>E013</v>
      </c>
      <c r="D310" s="5" t="str">
        <f>IFERROR(INDEX(Employee_Master!$B$2:$B$44,MATCH($C310,Employee_Master!$A$2:$A$44,0)),"Not Found")</f>
        <v>Norma Wilson</v>
      </c>
      <c r="E310" s="5" t="str">
        <f>IFERROR(INDEX(Employee_Master!$C$2:$C$44,MATCH($C310,Employee_Master!$A$2:$A$44,0)),"Not Found")</f>
        <v>Customer Support</v>
      </c>
      <c r="F310" s="5" t="str">
        <f>IFERROR(INDEX(Employee_Master!$D$2:$D$44,MATCH($C310,Employee_Master!$A$2:$A$44,0)),"Not Found")</f>
        <v>William Oconnell</v>
      </c>
      <c r="G310" s="5" t="str">
        <f>IFERROR(INDEX(Employee_Master!$E$2:$E$44,MATCH($C310,Employee_Master!$A$2:$A$44,0)),"Not Found")</f>
        <v>North</v>
      </c>
      <c r="H310" s="5" t="str">
        <f>Sales_Data!D307</f>
        <v>P025 - Lipstick Set</v>
      </c>
      <c r="I310" s="5" t="str">
        <f>IFERROR(INDEX(Product_Master!$B$2:$B$30,MATCH($H310,Product_Master!$A$2:$A$30,0)),"Invalid Product Code")</f>
        <v>Beauty</v>
      </c>
      <c r="J310" s="5">
        <f>IFERROR(INDEX(Product_Master!$C$2:$C$30,MATCH($H310,Product_Master!$A$2:$A$30,0)),0)</f>
        <v>765.9</v>
      </c>
      <c r="K310" s="5">
        <f>Sales_Data!E307</f>
        <v>6</v>
      </c>
      <c r="L310" s="5">
        <f>Sales_Data!F307</f>
        <v>4351.4799999999996</v>
      </c>
      <c r="M310" s="5">
        <f>Sales_Data!G307</f>
        <v>4778.09</v>
      </c>
      <c r="N310" s="5" t="str">
        <f>IFERROR(INDEX(Branch_Master!$B$2:$B$9,MATCH($B310,Branch_Master!$A$2:$A$9,0)),"Not Found")</f>
        <v>New Delhi</v>
      </c>
      <c r="O310" s="5" t="str">
        <f>IFERROR(INDEX(Branch_Master!$C$2:$C$9,MATCH($B310,Branch_Master!$A$2:$A$9,0)),"Not Found")</f>
        <v>Delhi</v>
      </c>
      <c r="P310" s="5">
        <f>IFERROR(INDEX(Targets!$B$2:$B$9,MATCH($B310,Targets!$A$2:$A$9,0)),0)</f>
        <v>2070000</v>
      </c>
      <c r="Q310" s="5" t="str">
        <f t="shared" si="8"/>
        <v>No</v>
      </c>
      <c r="R310" s="5" t="str">
        <f t="shared" si="9"/>
        <v>Apr</v>
      </c>
    </row>
    <row r="311" spans="1:18" ht="15" customHeight="1" x14ac:dyDescent="0.3">
      <c r="A311" s="5" t="str">
        <f>Sales_Data!A308</f>
        <v>2025-04-21</v>
      </c>
      <c r="B311" s="5" t="str">
        <f>Sales_Data!B308</f>
        <v>Ahmedabad West</v>
      </c>
      <c r="C311" s="5" t="str">
        <f>Sales_Data!C308</f>
        <v>E037</v>
      </c>
      <c r="D311" s="5" t="str">
        <f>IFERROR(INDEX(Employee_Master!$B$2:$B$44,MATCH($C311,Employee_Master!$A$2:$A$44,0)),"Not Found")</f>
        <v>Thomas Harris</v>
      </c>
      <c r="E311" s="5" t="str">
        <f>IFERROR(INDEX(Employee_Master!$C$2:$C$44,MATCH($C311,Employee_Master!$A$2:$A$44,0)),"Not Found")</f>
        <v>Customer Support</v>
      </c>
      <c r="F311" s="5" t="str">
        <f>IFERROR(INDEX(Employee_Master!$D$2:$D$44,MATCH($C311,Employee_Master!$A$2:$A$44,0)),"Not Found")</f>
        <v>Joseph Brown</v>
      </c>
      <c r="G311" s="5" t="str">
        <f>IFERROR(INDEX(Employee_Master!$E$2:$E$44,MATCH($C311,Employee_Master!$A$2:$A$44,0)),"Not Found")</f>
        <v>West</v>
      </c>
      <c r="H311" s="5" t="str">
        <f>Sales_Data!D308</f>
        <v>P018 - Cooking Oil 1L</v>
      </c>
      <c r="I311" s="5" t="str">
        <f>IFERROR(INDEX(Product_Master!$B$2:$B$30,MATCH($H311,Product_Master!$A$2:$A$30,0)),"Invalid Product Code")</f>
        <v>Grocery</v>
      </c>
      <c r="J311" s="5">
        <f>IFERROR(INDEX(Product_Master!$C$2:$C$30,MATCH($H311,Product_Master!$A$2:$A$30,0)),0)</f>
        <v>1483.63</v>
      </c>
      <c r="K311" s="5">
        <f>Sales_Data!E308</f>
        <v>6</v>
      </c>
      <c r="L311" s="5">
        <f>Sales_Data!F308</f>
        <v>9773.6200000000008</v>
      </c>
      <c r="M311" s="5">
        <f>Sales_Data!G308</f>
        <v>10027.9</v>
      </c>
      <c r="N311" s="5" t="str">
        <f>IFERROR(INDEX(Branch_Master!$B$2:$B$9,MATCH($B311,Branch_Master!$A$2:$A$9,0)),"Not Found")</f>
        <v>Ahmedabad</v>
      </c>
      <c r="O311" s="5" t="str">
        <f>IFERROR(INDEX(Branch_Master!$C$2:$C$9,MATCH($B311,Branch_Master!$A$2:$A$9,0)),"Not Found")</f>
        <v>Gujarat</v>
      </c>
      <c r="P311" s="5">
        <f>IFERROR(INDEX(Targets!$B$2:$B$9,MATCH($B311,Targets!$A$2:$A$9,0)),0)</f>
        <v>1590000</v>
      </c>
      <c r="Q311" s="5" t="str">
        <f t="shared" si="8"/>
        <v>No</v>
      </c>
      <c r="R311" s="5" t="str">
        <f t="shared" si="9"/>
        <v>Apr</v>
      </c>
    </row>
    <row r="312" spans="1:18" ht="15" customHeight="1" x14ac:dyDescent="0.3">
      <c r="A312" s="5" t="str">
        <f>Sales_Data!A309</f>
        <v>2025-04-21</v>
      </c>
      <c r="B312" s="5" t="str">
        <f>Sales_Data!B309</f>
        <v>Delhi NCR</v>
      </c>
      <c r="C312" s="5" t="str">
        <f>Sales_Data!C309</f>
        <v>E031</v>
      </c>
      <c r="D312" s="5" t="str">
        <f>IFERROR(INDEX(Employee_Master!$B$2:$B$44,MATCH($C312,Employee_Master!$A$2:$A$44,0)),"Not Found")</f>
        <v>Jennifer Garcia</v>
      </c>
      <c r="E312" s="5" t="str">
        <f>IFERROR(INDEX(Employee_Master!$C$2:$C$44,MATCH($C312,Employee_Master!$A$2:$A$44,0)),"Not Found")</f>
        <v>Sales</v>
      </c>
      <c r="F312" s="5" t="str">
        <f>IFERROR(INDEX(Employee_Master!$D$2:$D$44,MATCH($C312,Employee_Master!$A$2:$A$44,0)),"Not Found")</f>
        <v>William Oconnell</v>
      </c>
      <c r="G312" s="5" t="str">
        <f>IFERROR(INDEX(Employee_Master!$E$2:$E$44,MATCH($C312,Employee_Master!$A$2:$A$44,0)),"Not Found")</f>
        <v>North</v>
      </c>
      <c r="H312" s="5" t="str">
        <f>Sales_Data!D309</f>
        <v>P007 - Cotton T-Shirt</v>
      </c>
      <c r="I312" s="5" t="str">
        <f>IFERROR(INDEX(Product_Master!$B$2:$B$30,MATCH($H312,Product_Master!$A$2:$A$30,0)),"Invalid Product Code")</f>
        <v>Apparel</v>
      </c>
      <c r="J312" s="5">
        <f>IFERROR(INDEX(Product_Master!$C$2:$C$30,MATCH($H312,Product_Master!$A$2:$A$30,0)),0)</f>
        <v>338.44</v>
      </c>
      <c r="K312" s="5">
        <f>Sales_Data!E309</f>
        <v>1</v>
      </c>
      <c r="L312" s="5">
        <f>Sales_Data!F309</f>
        <v>334.73</v>
      </c>
      <c r="M312" s="5">
        <f>Sales_Data!G309</f>
        <v>334.24</v>
      </c>
      <c r="N312" s="5" t="str">
        <f>IFERROR(INDEX(Branch_Master!$B$2:$B$9,MATCH($B312,Branch_Master!$A$2:$A$9,0)),"Not Found")</f>
        <v>New Delhi</v>
      </c>
      <c r="O312" s="5" t="str">
        <f>IFERROR(INDEX(Branch_Master!$C$2:$C$9,MATCH($B312,Branch_Master!$A$2:$A$9,0)),"Not Found")</f>
        <v>Delhi</v>
      </c>
      <c r="P312" s="5">
        <f>IFERROR(INDEX(Targets!$B$2:$B$9,MATCH($B312,Targets!$A$2:$A$9,0)),0)</f>
        <v>2070000</v>
      </c>
      <c r="Q312" s="5" t="str">
        <f t="shared" si="8"/>
        <v>Yes</v>
      </c>
      <c r="R312" s="5" t="str">
        <f t="shared" si="9"/>
        <v>Apr</v>
      </c>
    </row>
    <row r="313" spans="1:18" ht="15" customHeight="1" x14ac:dyDescent="0.3">
      <c r="A313" s="5" t="str">
        <f>Sales_Data!A310</f>
        <v>2025-04-22</v>
      </c>
      <c r="B313" s="5" t="str">
        <f>Sales_Data!B310</f>
        <v>Hyderabad Hitech</v>
      </c>
      <c r="C313" s="5" t="str">
        <f>Sales_Data!C310</f>
        <v>E026</v>
      </c>
      <c r="D313" s="5" t="str">
        <f>IFERROR(INDEX(Employee_Master!$B$2:$B$44,MATCH($C313,Employee_Master!$A$2:$A$44,0)),"Not Found")</f>
        <v>Karen Andrews</v>
      </c>
      <c r="E313" s="5" t="str">
        <f>IFERROR(INDEX(Employee_Master!$C$2:$C$44,MATCH($C313,Employee_Master!$A$2:$A$44,0)),"Not Found")</f>
        <v>Marketing</v>
      </c>
      <c r="F313" s="5" t="str">
        <f>IFERROR(INDEX(Employee_Master!$D$2:$D$44,MATCH($C313,Employee_Master!$A$2:$A$44,0)),"Not Found")</f>
        <v>Anna Turner</v>
      </c>
      <c r="G313" s="5" t="str">
        <f>IFERROR(INDEX(Employee_Master!$E$2:$E$44,MATCH($C313,Employee_Master!$A$2:$A$44,0)),"Not Found")</f>
        <v>South</v>
      </c>
      <c r="H313" s="5" t="str">
        <f>Sales_Data!D310</f>
        <v>P012 - Non-Stick Pan</v>
      </c>
      <c r="I313" s="5" t="str">
        <f>IFERROR(INDEX(Product_Master!$B$2:$B$30,MATCH($H313,Product_Master!$A$2:$A$30,0)),"Invalid Product Code")</f>
        <v>Home &amp; Kitchen</v>
      </c>
      <c r="J313" s="5">
        <f>IFERROR(INDEX(Product_Master!$C$2:$C$30,MATCH($H313,Product_Master!$A$2:$A$30,0)),0)</f>
        <v>353.18</v>
      </c>
      <c r="K313" s="5">
        <f>Sales_Data!E310</f>
        <v>3</v>
      </c>
      <c r="L313" s="5">
        <f>Sales_Data!F310</f>
        <v>1062.8399999999999</v>
      </c>
      <c r="M313" s="5">
        <f>Sales_Data!G310</f>
        <v>931.1</v>
      </c>
      <c r="N313" s="5" t="str">
        <f>IFERROR(INDEX(Branch_Master!$B$2:$B$9,MATCH($B313,Branch_Master!$A$2:$A$9,0)),"Not Found")</f>
        <v>Hyderabad</v>
      </c>
      <c r="O313" s="5" t="str">
        <f>IFERROR(INDEX(Branch_Master!$C$2:$C$9,MATCH($B313,Branch_Master!$A$2:$A$9,0)),"Not Found")</f>
        <v>Telangana</v>
      </c>
      <c r="P313" s="5">
        <f>IFERROR(INDEX(Targets!$B$2:$B$9,MATCH($B313,Targets!$A$2:$A$9,0)),0)</f>
        <v>1210000</v>
      </c>
      <c r="Q313" s="5" t="str">
        <f t="shared" si="8"/>
        <v>Yes</v>
      </c>
      <c r="R313" s="5" t="str">
        <f t="shared" si="9"/>
        <v>Apr</v>
      </c>
    </row>
    <row r="314" spans="1:18" ht="15" customHeight="1" x14ac:dyDescent="0.3">
      <c r="A314" s="5" t="str">
        <f>Sales_Data!A311</f>
        <v>2025-04-23</v>
      </c>
      <c r="B314" s="5" t="str">
        <f>Sales_Data!B311</f>
        <v>Delhi NCR</v>
      </c>
      <c r="C314" s="5" t="str">
        <f>Sales_Data!C311</f>
        <v>E013</v>
      </c>
      <c r="D314" s="5" t="str">
        <f>IFERROR(INDEX(Employee_Master!$B$2:$B$44,MATCH($C314,Employee_Master!$A$2:$A$44,0)),"Not Found")</f>
        <v>Norma Wilson</v>
      </c>
      <c r="E314" s="5" t="str">
        <f>IFERROR(INDEX(Employee_Master!$C$2:$C$44,MATCH($C314,Employee_Master!$A$2:$A$44,0)),"Not Found")</f>
        <v>Customer Support</v>
      </c>
      <c r="F314" s="5" t="str">
        <f>IFERROR(INDEX(Employee_Master!$D$2:$D$44,MATCH($C314,Employee_Master!$A$2:$A$44,0)),"Not Found")</f>
        <v>William Oconnell</v>
      </c>
      <c r="G314" s="5" t="str">
        <f>IFERROR(INDEX(Employee_Master!$E$2:$E$44,MATCH($C314,Employee_Master!$A$2:$A$44,0)),"Not Found")</f>
        <v>North</v>
      </c>
      <c r="H314" s="5" t="str">
        <f>Sales_Data!D311</f>
        <v>P014 - Air Fryer</v>
      </c>
      <c r="I314" s="5" t="str">
        <f>IFERROR(INDEX(Product_Master!$B$2:$B$30,MATCH($H314,Product_Master!$A$2:$A$30,0)),"Invalid Product Code")</f>
        <v>Home &amp; Kitchen</v>
      </c>
      <c r="J314" s="5">
        <f>IFERROR(INDEX(Product_Master!$C$2:$C$30,MATCH($H314,Product_Master!$A$2:$A$30,0)),0)</f>
        <v>729.85</v>
      </c>
      <c r="K314" s="5">
        <f>Sales_Data!E311</f>
        <v>8</v>
      </c>
      <c r="L314" s="5">
        <f>Sales_Data!F311</f>
        <v>5704.11</v>
      </c>
      <c r="M314" s="5">
        <f>Sales_Data!G311</f>
        <v>6099.3</v>
      </c>
      <c r="N314" s="5" t="str">
        <f>IFERROR(INDEX(Branch_Master!$B$2:$B$9,MATCH($B314,Branch_Master!$A$2:$A$9,0)),"Not Found")</f>
        <v>New Delhi</v>
      </c>
      <c r="O314" s="5" t="str">
        <f>IFERROR(INDEX(Branch_Master!$C$2:$C$9,MATCH($B314,Branch_Master!$A$2:$A$9,0)),"Not Found")</f>
        <v>Delhi</v>
      </c>
      <c r="P314" s="5">
        <f>IFERROR(INDEX(Targets!$B$2:$B$9,MATCH($B314,Targets!$A$2:$A$9,0)),0)</f>
        <v>2070000</v>
      </c>
      <c r="Q314" s="5" t="str">
        <f t="shared" si="8"/>
        <v>No</v>
      </c>
      <c r="R314" s="5" t="str">
        <f t="shared" si="9"/>
        <v>Apr</v>
      </c>
    </row>
    <row r="315" spans="1:18" ht="15" customHeight="1" x14ac:dyDescent="0.3">
      <c r="A315" s="5" t="str">
        <f>Sales_Data!A312</f>
        <v>2025-04-24</v>
      </c>
      <c r="B315" s="5" t="str">
        <f>Sales_Data!B312</f>
        <v>Chennai South</v>
      </c>
      <c r="C315" s="5" t="str">
        <f>Sales_Data!C312</f>
        <v>E015</v>
      </c>
      <c r="D315" s="5" t="str">
        <f>IFERROR(INDEX(Employee_Master!$B$2:$B$44,MATCH($C315,Employee_Master!$A$2:$A$44,0)),"Not Found")</f>
        <v>Cassandra Hansen</v>
      </c>
      <c r="E315" s="5" t="str">
        <f>IFERROR(INDEX(Employee_Master!$C$2:$C$44,MATCH($C315,Employee_Master!$A$2:$A$44,0)),"Not Found")</f>
        <v>Customer Support</v>
      </c>
      <c r="F315" s="5" t="str">
        <f>IFERROR(INDEX(Employee_Master!$D$2:$D$44,MATCH($C315,Employee_Master!$A$2:$A$44,0)),"Not Found")</f>
        <v>Robert Steele</v>
      </c>
      <c r="G315" s="5" t="str">
        <f>IFERROR(INDEX(Employee_Master!$E$2:$E$44,MATCH($C315,Employee_Master!$A$2:$A$44,0)),"Not Found")</f>
        <v>South</v>
      </c>
      <c r="H315" s="5" t="str">
        <f>Sales_Data!D312</f>
        <v>P021 - Assorted Spices Kit</v>
      </c>
      <c r="I315" s="5" t="str">
        <f>IFERROR(INDEX(Product_Master!$B$2:$B$30,MATCH($H315,Product_Master!$A$2:$A$30,0)),"Invalid Product Code")</f>
        <v>Grocery</v>
      </c>
      <c r="J315" s="5">
        <f>IFERROR(INDEX(Product_Master!$C$2:$C$30,MATCH($H315,Product_Master!$A$2:$A$30,0)),0)</f>
        <v>1060.97</v>
      </c>
      <c r="K315" s="5">
        <f>Sales_Data!E312</f>
        <v>8</v>
      </c>
      <c r="L315" s="5">
        <f>Sales_Data!F312</f>
        <v>7649.11</v>
      </c>
      <c r="M315" s="5">
        <f>Sales_Data!G312</f>
        <v>9703.5400000000009</v>
      </c>
      <c r="N315" s="5" t="str">
        <f>IFERROR(INDEX(Branch_Master!$B$2:$B$9,MATCH($B315,Branch_Master!$A$2:$A$9,0)),"Not Found")</f>
        <v>Chennai</v>
      </c>
      <c r="O315" s="5" t="str">
        <f>IFERROR(INDEX(Branch_Master!$C$2:$C$9,MATCH($B315,Branch_Master!$A$2:$A$9,0)),"Not Found")</f>
        <v>Tamil Nadu</v>
      </c>
      <c r="P315" s="5">
        <f>IFERROR(INDEX(Targets!$B$2:$B$9,MATCH($B315,Targets!$A$2:$A$9,0)),0)</f>
        <v>1910000</v>
      </c>
      <c r="Q315" s="5" t="str">
        <f t="shared" si="8"/>
        <v>No</v>
      </c>
      <c r="R315" s="5" t="str">
        <f t="shared" si="9"/>
        <v>Apr</v>
      </c>
    </row>
    <row r="316" spans="1:18" ht="15" customHeight="1" x14ac:dyDescent="0.3">
      <c r="A316" s="5" t="str">
        <f>Sales_Data!A313</f>
        <v>2025-04-24</v>
      </c>
      <c r="B316" s="5" t="str">
        <f>Sales_Data!B313</f>
        <v>Hyderabad Hitech</v>
      </c>
      <c r="C316" s="5" t="str">
        <f>Sales_Data!C313</f>
        <v>E035</v>
      </c>
      <c r="D316" s="5" t="str">
        <f>IFERROR(INDEX(Employee_Master!$B$2:$B$44,MATCH($C316,Employee_Master!$A$2:$A$44,0)),"Not Found")</f>
        <v>Andrea Perez</v>
      </c>
      <c r="E316" s="5" t="str">
        <f>IFERROR(INDEX(Employee_Master!$C$2:$C$44,MATCH($C316,Employee_Master!$A$2:$A$44,0)),"Not Found")</f>
        <v>Sales</v>
      </c>
      <c r="F316" s="5" t="str">
        <f>IFERROR(INDEX(Employee_Master!$D$2:$D$44,MATCH($C316,Employee_Master!$A$2:$A$44,0)),"Not Found")</f>
        <v>Anna Turner</v>
      </c>
      <c r="G316" s="5" t="str">
        <f>IFERROR(INDEX(Employee_Master!$E$2:$E$44,MATCH($C316,Employee_Master!$A$2:$A$44,0)),"Not Found")</f>
        <v>South</v>
      </c>
      <c r="H316" s="5" t="str">
        <f>Sales_Data!D313</f>
        <v>P024 - Hair Serum</v>
      </c>
      <c r="I316" s="5" t="str">
        <f>IFERROR(INDEX(Product_Master!$B$2:$B$30,MATCH($H316,Product_Master!$A$2:$A$30,0)),"Invalid Product Code")</f>
        <v>Beauty</v>
      </c>
      <c r="J316" s="5">
        <f>IFERROR(INDEX(Product_Master!$C$2:$C$30,MATCH($H316,Product_Master!$A$2:$A$30,0)),0)</f>
        <v>1457.31</v>
      </c>
      <c r="K316" s="5">
        <f>Sales_Data!E313</f>
        <v>10</v>
      </c>
      <c r="L316" s="5">
        <f>Sales_Data!F313</f>
        <v>14157.18</v>
      </c>
      <c r="M316" s="5">
        <f>Sales_Data!G313</f>
        <v>15737.36</v>
      </c>
      <c r="N316" s="5" t="str">
        <f>IFERROR(INDEX(Branch_Master!$B$2:$B$9,MATCH($B316,Branch_Master!$A$2:$A$9,0)),"Not Found")</f>
        <v>Hyderabad</v>
      </c>
      <c r="O316" s="5" t="str">
        <f>IFERROR(INDEX(Branch_Master!$C$2:$C$9,MATCH($B316,Branch_Master!$A$2:$A$9,0)),"Not Found")</f>
        <v>Telangana</v>
      </c>
      <c r="P316" s="5">
        <f>IFERROR(INDEX(Targets!$B$2:$B$9,MATCH($B316,Targets!$A$2:$A$9,0)),0)</f>
        <v>1210000</v>
      </c>
      <c r="Q316" s="5" t="str">
        <f t="shared" si="8"/>
        <v>No</v>
      </c>
      <c r="R316" s="5" t="str">
        <f t="shared" si="9"/>
        <v>Apr</v>
      </c>
    </row>
    <row r="317" spans="1:18" ht="15" customHeight="1" x14ac:dyDescent="0.3">
      <c r="A317" s="5" t="str">
        <f>Sales_Data!A314</f>
        <v>2025-04-25</v>
      </c>
      <c r="B317" s="5" t="str">
        <f>Sales_Data!B314</f>
        <v>Mumbai Central</v>
      </c>
      <c r="C317" s="5" t="str">
        <f>Sales_Data!C314</f>
        <v>E021</v>
      </c>
      <c r="D317" s="5" t="str">
        <f>IFERROR(INDEX(Employee_Master!$B$2:$B$44,MATCH($C317,Employee_Master!$A$2:$A$44,0)),"Not Found")</f>
        <v>Maria Garcia</v>
      </c>
      <c r="E317" s="5" t="str">
        <f>IFERROR(INDEX(Employee_Master!$C$2:$C$44,MATCH($C317,Employee_Master!$A$2:$A$44,0)),"Not Found")</f>
        <v>Sales</v>
      </c>
      <c r="F317" s="5" t="str">
        <f>IFERROR(INDEX(Employee_Master!$D$2:$D$44,MATCH($C317,Employee_Master!$A$2:$A$44,0)),"Not Found")</f>
        <v>Justin Glass</v>
      </c>
      <c r="G317" s="5" t="str">
        <f>IFERROR(INDEX(Employee_Master!$E$2:$E$44,MATCH($C317,Employee_Master!$A$2:$A$44,0)),"Not Found")</f>
        <v>West</v>
      </c>
      <c r="H317" s="5" t="str">
        <f>Sales_Data!D314</f>
        <v>P021 - Assorted Spices Kit</v>
      </c>
      <c r="I317" s="5" t="str">
        <f>IFERROR(INDEX(Product_Master!$B$2:$B$30,MATCH($H317,Product_Master!$A$2:$A$30,0)),"Invalid Product Code")</f>
        <v>Grocery</v>
      </c>
      <c r="J317" s="5">
        <f>IFERROR(INDEX(Product_Master!$C$2:$C$30,MATCH($H317,Product_Master!$A$2:$A$30,0)),0)</f>
        <v>1060.97</v>
      </c>
      <c r="K317" s="5">
        <f>Sales_Data!E314</f>
        <v>1</v>
      </c>
      <c r="L317" s="5">
        <f>Sales_Data!F314</f>
        <v>1043.8699999999999</v>
      </c>
      <c r="M317" s="5">
        <f>Sales_Data!G314</f>
        <v>1085.04</v>
      </c>
      <c r="N317" s="5" t="str">
        <f>IFERROR(INDEX(Branch_Master!$B$2:$B$9,MATCH($B317,Branch_Master!$A$2:$A$9,0)),"Not Found")</f>
        <v>Mumbai</v>
      </c>
      <c r="O317" s="5" t="str">
        <f>IFERROR(INDEX(Branch_Master!$C$2:$C$9,MATCH($B317,Branch_Master!$A$2:$A$9,0)),"Not Found")</f>
        <v>Maharashtra</v>
      </c>
      <c r="P317" s="5">
        <f>IFERROR(INDEX(Targets!$B$2:$B$9,MATCH($B317,Targets!$A$2:$A$9,0)),0)</f>
        <v>900000</v>
      </c>
      <c r="Q317" s="5" t="str">
        <f t="shared" si="8"/>
        <v>No</v>
      </c>
      <c r="R317" s="5" t="str">
        <f t="shared" si="9"/>
        <v>Apr</v>
      </c>
    </row>
    <row r="318" spans="1:18" ht="15" customHeight="1" x14ac:dyDescent="0.3">
      <c r="A318" s="5" t="str">
        <f>Sales_Data!A315</f>
        <v>2025-04-25</v>
      </c>
      <c r="B318" s="5" t="str">
        <f>Sales_Data!B315</f>
        <v>Chennai South</v>
      </c>
      <c r="C318" s="5" t="str">
        <f>Sales_Data!C315</f>
        <v>E015</v>
      </c>
      <c r="D318" s="5" t="str">
        <f>IFERROR(INDEX(Employee_Master!$B$2:$B$44,MATCH($C318,Employee_Master!$A$2:$A$44,0)),"Not Found")</f>
        <v>Cassandra Hansen</v>
      </c>
      <c r="E318" s="5" t="str">
        <f>IFERROR(INDEX(Employee_Master!$C$2:$C$44,MATCH($C318,Employee_Master!$A$2:$A$44,0)),"Not Found")</f>
        <v>Customer Support</v>
      </c>
      <c r="F318" s="5" t="str">
        <f>IFERROR(INDEX(Employee_Master!$D$2:$D$44,MATCH($C318,Employee_Master!$A$2:$A$44,0)),"Not Found")</f>
        <v>Robert Steele</v>
      </c>
      <c r="G318" s="5" t="str">
        <f>IFERROR(INDEX(Employee_Master!$E$2:$E$44,MATCH($C318,Employee_Master!$A$2:$A$44,0)),"Not Found")</f>
        <v>South</v>
      </c>
      <c r="H318" s="5" t="str">
        <f>Sales_Data!D315</f>
        <v>P010 - Running Shoes</v>
      </c>
      <c r="I318" s="5" t="str">
        <f>IFERROR(INDEX(Product_Master!$B$2:$B$30,MATCH($H318,Product_Master!$A$2:$A$30,0)),"Invalid Product Code")</f>
        <v>Apparel</v>
      </c>
      <c r="J318" s="5">
        <f>IFERROR(INDEX(Product_Master!$C$2:$C$30,MATCH($H318,Product_Master!$A$2:$A$30,0)),0)</f>
        <v>233.71</v>
      </c>
      <c r="K318" s="5">
        <f>Sales_Data!E315</f>
        <v>5</v>
      </c>
      <c r="L318" s="5">
        <f>Sales_Data!F315</f>
        <v>1143.22</v>
      </c>
      <c r="M318" s="5">
        <f>Sales_Data!G315</f>
        <v>1220.4000000000001</v>
      </c>
      <c r="N318" s="5" t="str">
        <f>IFERROR(INDEX(Branch_Master!$B$2:$B$9,MATCH($B318,Branch_Master!$A$2:$A$9,0)),"Not Found")</f>
        <v>Chennai</v>
      </c>
      <c r="O318" s="5" t="str">
        <f>IFERROR(INDEX(Branch_Master!$C$2:$C$9,MATCH($B318,Branch_Master!$A$2:$A$9,0)),"Not Found")</f>
        <v>Tamil Nadu</v>
      </c>
      <c r="P318" s="5">
        <f>IFERROR(INDEX(Targets!$B$2:$B$9,MATCH($B318,Targets!$A$2:$A$9,0)),0)</f>
        <v>1910000</v>
      </c>
      <c r="Q318" s="5" t="str">
        <f t="shared" si="8"/>
        <v>No</v>
      </c>
      <c r="R318" s="5" t="str">
        <f t="shared" si="9"/>
        <v>Apr</v>
      </c>
    </row>
    <row r="319" spans="1:18" ht="15" customHeight="1" x14ac:dyDescent="0.3">
      <c r="A319" s="5" t="str">
        <f>Sales_Data!A316</f>
        <v>2025-04-25</v>
      </c>
      <c r="B319" s="5" t="str">
        <f>Sales_Data!B316</f>
        <v>Bangalore North</v>
      </c>
      <c r="C319" s="5" t="str">
        <f>Sales_Data!C316</f>
        <v>E040</v>
      </c>
      <c r="D319" s="5" t="str">
        <f>IFERROR(INDEX(Employee_Master!$B$2:$B$44,MATCH($C319,Employee_Master!$A$2:$A$44,0)),"Not Found")</f>
        <v>Bonnie Cox</v>
      </c>
      <c r="E319" s="5" t="str">
        <f>IFERROR(INDEX(Employee_Master!$C$2:$C$44,MATCH($C319,Employee_Master!$A$2:$A$44,0)),"Not Found")</f>
        <v>Customer Support</v>
      </c>
      <c r="F319" s="5" t="str">
        <f>IFERROR(INDEX(Employee_Master!$D$2:$D$44,MATCH($C319,Employee_Master!$A$2:$A$44,0)),"Not Found")</f>
        <v>Jose Soto</v>
      </c>
      <c r="G319" s="5" t="str">
        <f>IFERROR(INDEX(Employee_Master!$E$2:$E$44,MATCH($C319,Employee_Master!$A$2:$A$44,0)),"Not Found")</f>
        <v>South</v>
      </c>
      <c r="H319" s="5" t="str">
        <f>Sales_Data!D316</f>
        <v>P016 - Dinner Set</v>
      </c>
      <c r="I319" s="5" t="str">
        <f>IFERROR(INDEX(Product_Master!$B$2:$B$30,MATCH($H319,Product_Master!$A$2:$A$30,0)),"Invalid Product Code")</f>
        <v>Home &amp; Kitchen</v>
      </c>
      <c r="J319" s="5">
        <f>IFERROR(INDEX(Product_Master!$C$2:$C$30,MATCH($H319,Product_Master!$A$2:$A$30,0)),0)</f>
        <v>225.06</v>
      </c>
      <c r="K319" s="5">
        <f>Sales_Data!E316</f>
        <v>5</v>
      </c>
      <c r="L319" s="5">
        <f>Sales_Data!F316</f>
        <v>1095.33</v>
      </c>
      <c r="M319" s="5">
        <f>Sales_Data!G316</f>
        <v>1154.1500000000001</v>
      </c>
      <c r="N319" s="5" t="str">
        <f>IFERROR(INDEX(Branch_Master!$B$2:$B$9,MATCH($B319,Branch_Master!$A$2:$A$9,0)),"Not Found")</f>
        <v>Bangalore</v>
      </c>
      <c r="O319" s="5" t="str">
        <f>IFERROR(INDEX(Branch_Master!$C$2:$C$9,MATCH($B319,Branch_Master!$A$2:$A$9,0)),"Not Found")</f>
        <v>Karnataka</v>
      </c>
      <c r="P319" s="5">
        <f>IFERROR(INDEX(Targets!$B$2:$B$9,MATCH($B319,Targets!$A$2:$A$9,0)),0)</f>
        <v>900000</v>
      </c>
      <c r="Q319" s="5" t="str">
        <f t="shared" si="8"/>
        <v>No</v>
      </c>
      <c r="R319" s="5" t="str">
        <f t="shared" si="9"/>
        <v>Apr</v>
      </c>
    </row>
    <row r="320" spans="1:18" ht="15" customHeight="1" x14ac:dyDescent="0.3">
      <c r="A320" s="5" t="str">
        <f>Sales_Data!A317</f>
        <v>2025-04-25</v>
      </c>
      <c r="B320" s="5" t="str">
        <f>Sales_Data!B317</f>
        <v>Ahmedabad West</v>
      </c>
      <c r="C320" s="5" t="str">
        <f>Sales_Data!C317</f>
        <v>E001</v>
      </c>
      <c r="D320" s="5" t="str">
        <f>IFERROR(INDEX(Employee_Master!$B$2:$B$44,MATCH($C320,Employee_Master!$A$2:$A$44,0)),"Not Found")</f>
        <v>David Johnson</v>
      </c>
      <c r="E320" s="5" t="str">
        <f>IFERROR(INDEX(Employee_Master!$C$2:$C$44,MATCH($C320,Employee_Master!$A$2:$A$44,0)),"Not Found")</f>
        <v>Customer Support</v>
      </c>
      <c r="F320" s="5" t="str">
        <f>IFERROR(INDEX(Employee_Master!$D$2:$D$44,MATCH($C320,Employee_Master!$A$2:$A$44,0)),"Not Found")</f>
        <v>Joseph Brown</v>
      </c>
      <c r="G320" s="5" t="str">
        <f>IFERROR(INDEX(Employee_Master!$E$2:$E$44,MATCH($C320,Employee_Master!$A$2:$A$44,0)),"Not Found")</f>
        <v>West</v>
      </c>
      <c r="H320" s="5" t="str">
        <f>Sales_Data!D317</f>
        <v>P004 - Power Bank</v>
      </c>
      <c r="I320" s="5" t="str">
        <f>IFERROR(INDEX(Product_Master!$B$2:$B$30,MATCH($H320,Product_Master!$A$2:$A$30,0)),"Invalid Product Code")</f>
        <v>Electronics</v>
      </c>
      <c r="J320" s="5">
        <f>IFERROR(INDEX(Product_Master!$C$2:$C$30,MATCH($H320,Product_Master!$A$2:$A$30,0)),0)</f>
        <v>76.91</v>
      </c>
      <c r="K320" s="5">
        <f>Sales_Data!E317</f>
        <v>9</v>
      </c>
      <c r="L320" s="5">
        <f>Sales_Data!F317</f>
        <v>636.21</v>
      </c>
      <c r="M320" s="5">
        <f>Sales_Data!G317</f>
        <v>623.57000000000005</v>
      </c>
      <c r="N320" s="5" t="str">
        <f>IFERROR(INDEX(Branch_Master!$B$2:$B$9,MATCH($B320,Branch_Master!$A$2:$A$9,0)),"Not Found")</f>
        <v>Ahmedabad</v>
      </c>
      <c r="O320" s="5" t="str">
        <f>IFERROR(INDEX(Branch_Master!$C$2:$C$9,MATCH($B320,Branch_Master!$A$2:$A$9,0)),"Not Found")</f>
        <v>Gujarat</v>
      </c>
      <c r="P320" s="5">
        <f>IFERROR(INDEX(Targets!$B$2:$B$9,MATCH($B320,Targets!$A$2:$A$9,0)),0)</f>
        <v>1590000</v>
      </c>
      <c r="Q320" s="5" t="str">
        <f t="shared" si="8"/>
        <v>Yes</v>
      </c>
      <c r="R320" s="5" t="str">
        <f t="shared" si="9"/>
        <v>Apr</v>
      </c>
    </row>
    <row r="321" spans="1:18" ht="15" customHeight="1" x14ac:dyDescent="0.3">
      <c r="A321" s="5" t="str">
        <f>Sales_Data!A318</f>
        <v>2025-04-25</v>
      </c>
      <c r="B321" s="5" t="str">
        <f>Sales_Data!B318</f>
        <v>Ahmedabad West</v>
      </c>
      <c r="C321" s="5" t="str">
        <f>Sales_Data!C318</f>
        <v>E005</v>
      </c>
      <c r="D321" s="5" t="str">
        <f>IFERROR(INDEX(Employee_Master!$B$2:$B$44,MATCH($C321,Employee_Master!$A$2:$A$44,0)),"Not Found")</f>
        <v>Dr. Sara Zimmerman MD</v>
      </c>
      <c r="E321" s="5" t="str">
        <f>IFERROR(INDEX(Employee_Master!$C$2:$C$44,MATCH($C321,Employee_Master!$A$2:$A$44,0)),"Not Found")</f>
        <v>Operations</v>
      </c>
      <c r="F321" s="5" t="str">
        <f>IFERROR(INDEX(Employee_Master!$D$2:$D$44,MATCH($C321,Employee_Master!$A$2:$A$44,0)),"Not Found")</f>
        <v>Joseph Brown</v>
      </c>
      <c r="G321" s="5" t="str">
        <f>IFERROR(INDEX(Employee_Master!$E$2:$E$44,MATCH($C321,Employee_Master!$A$2:$A$44,0)),"Not Found")</f>
        <v>West</v>
      </c>
      <c r="H321" s="5" t="str">
        <f>Sales_Data!D318</f>
        <v>P006 - Laptop Stand</v>
      </c>
      <c r="I321" s="5" t="str">
        <f>IFERROR(INDEX(Product_Master!$B$2:$B$30,MATCH($H321,Product_Master!$A$2:$A$30,0)),"Invalid Product Code")</f>
        <v>Electronics</v>
      </c>
      <c r="J321" s="5">
        <f>IFERROR(INDEX(Product_Master!$C$2:$C$30,MATCH($H321,Product_Master!$A$2:$A$30,0)),0)</f>
        <v>393.96</v>
      </c>
      <c r="K321" s="5">
        <f>Sales_Data!E318</f>
        <v>2</v>
      </c>
      <c r="L321" s="5">
        <f>Sales_Data!F318</f>
        <v>781.17</v>
      </c>
      <c r="M321" s="5">
        <f>Sales_Data!G318</f>
        <v>688.49</v>
      </c>
      <c r="N321" s="5" t="str">
        <f>IFERROR(INDEX(Branch_Master!$B$2:$B$9,MATCH($B321,Branch_Master!$A$2:$A$9,0)),"Not Found")</f>
        <v>Ahmedabad</v>
      </c>
      <c r="O321" s="5" t="str">
        <f>IFERROR(INDEX(Branch_Master!$C$2:$C$9,MATCH($B321,Branch_Master!$A$2:$A$9,0)),"Not Found")</f>
        <v>Gujarat</v>
      </c>
      <c r="P321" s="5">
        <f>IFERROR(INDEX(Targets!$B$2:$B$9,MATCH($B321,Targets!$A$2:$A$9,0)),0)</f>
        <v>1590000</v>
      </c>
      <c r="Q321" s="5" t="str">
        <f t="shared" si="8"/>
        <v>Yes</v>
      </c>
      <c r="R321" s="5" t="str">
        <f t="shared" si="9"/>
        <v>Apr</v>
      </c>
    </row>
    <row r="322" spans="1:18" ht="15" customHeight="1" x14ac:dyDescent="0.3">
      <c r="A322" s="5" t="str">
        <f>Sales_Data!A319</f>
        <v>2025-04-25</v>
      </c>
      <c r="B322" s="5" t="str">
        <f>Sales_Data!B319</f>
        <v>Bangalore North</v>
      </c>
      <c r="C322" s="5" t="str">
        <f>Sales_Data!C319</f>
        <v>E040</v>
      </c>
      <c r="D322" s="5" t="str">
        <f>IFERROR(INDEX(Employee_Master!$B$2:$B$44,MATCH($C322,Employee_Master!$A$2:$A$44,0)),"Not Found")</f>
        <v>Bonnie Cox</v>
      </c>
      <c r="E322" s="5" t="str">
        <f>IFERROR(INDEX(Employee_Master!$C$2:$C$44,MATCH($C322,Employee_Master!$A$2:$A$44,0)),"Not Found")</f>
        <v>Customer Support</v>
      </c>
      <c r="F322" s="5" t="str">
        <f>IFERROR(INDEX(Employee_Master!$D$2:$D$44,MATCH($C322,Employee_Master!$A$2:$A$44,0)),"Not Found")</f>
        <v>Jose Soto</v>
      </c>
      <c r="G322" s="5" t="str">
        <f>IFERROR(INDEX(Employee_Master!$E$2:$E$44,MATCH($C322,Employee_Master!$A$2:$A$44,0)),"Not Found")</f>
        <v>South</v>
      </c>
      <c r="H322" s="5" t="str">
        <f>Sales_Data!D319</f>
        <v>P018 - Cooking Oil 1L</v>
      </c>
      <c r="I322" s="5" t="str">
        <f>IFERROR(INDEX(Product_Master!$B$2:$B$30,MATCH($H322,Product_Master!$A$2:$A$30,0)),"Invalid Product Code")</f>
        <v>Grocery</v>
      </c>
      <c r="J322" s="5">
        <f>IFERROR(INDEX(Product_Master!$C$2:$C$30,MATCH($H322,Product_Master!$A$2:$A$30,0)),0)</f>
        <v>1483.63</v>
      </c>
      <c r="K322" s="5">
        <f>Sales_Data!E319</f>
        <v>5</v>
      </c>
      <c r="L322" s="5">
        <f>Sales_Data!F319</f>
        <v>7097.63</v>
      </c>
      <c r="M322" s="5">
        <f>Sales_Data!G319</f>
        <v>8404.9500000000007</v>
      </c>
      <c r="N322" s="5" t="str">
        <f>IFERROR(INDEX(Branch_Master!$B$2:$B$9,MATCH($B322,Branch_Master!$A$2:$A$9,0)),"Not Found")</f>
        <v>Bangalore</v>
      </c>
      <c r="O322" s="5" t="str">
        <f>IFERROR(INDEX(Branch_Master!$C$2:$C$9,MATCH($B322,Branch_Master!$A$2:$A$9,0)),"Not Found")</f>
        <v>Karnataka</v>
      </c>
      <c r="P322" s="5">
        <f>IFERROR(INDEX(Targets!$B$2:$B$9,MATCH($B322,Targets!$A$2:$A$9,0)),0)</f>
        <v>900000</v>
      </c>
      <c r="Q322" s="5" t="str">
        <f t="shared" si="8"/>
        <v>No</v>
      </c>
      <c r="R322" s="5" t="str">
        <f t="shared" si="9"/>
        <v>Apr</v>
      </c>
    </row>
    <row r="323" spans="1:18" ht="15" customHeight="1" x14ac:dyDescent="0.3">
      <c r="A323" s="5" t="str">
        <f>Sales_Data!A320</f>
        <v>2025-04-26</v>
      </c>
      <c r="B323" s="5" t="str">
        <f>Sales_Data!B320</f>
        <v>Mumbai Central</v>
      </c>
      <c r="C323" s="5" t="str">
        <f>Sales_Data!C320</f>
        <v>E012</v>
      </c>
      <c r="D323" s="5" t="str">
        <f>IFERROR(INDEX(Employee_Master!$B$2:$B$44,MATCH($C323,Employee_Master!$A$2:$A$44,0)),"Not Found")</f>
        <v>Brandon Cook</v>
      </c>
      <c r="E323" s="5" t="str">
        <f>IFERROR(INDEX(Employee_Master!$C$2:$C$44,MATCH($C323,Employee_Master!$A$2:$A$44,0)),"Not Found")</f>
        <v>Customer Support</v>
      </c>
      <c r="F323" s="5" t="str">
        <f>IFERROR(INDEX(Employee_Master!$D$2:$D$44,MATCH($C323,Employee_Master!$A$2:$A$44,0)),"Not Found")</f>
        <v>Justin Glass</v>
      </c>
      <c r="G323" s="5" t="str">
        <f>IFERROR(INDEX(Employee_Master!$E$2:$E$44,MATCH($C323,Employee_Master!$A$2:$A$44,0)),"Not Found")</f>
        <v>West</v>
      </c>
      <c r="H323" s="5" t="str">
        <f>Sales_Data!D320</f>
        <v>P012 - Non-Stick Pan</v>
      </c>
      <c r="I323" s="5" t="str">
        <f>IFERROR(INDEX(Product_Master!$B$2:$B$30,MATCH($H323,Product_Master!$A$2:$A$30,0)),"Invalid Product Code")</f>
        <v>Home &amp; Kitchen</v>
      </c>
      <c r="J323" s="5">
        <f>IFERROR(INDEX(Product_Master!$C$2:$C$30,MATCH($H323,Product_Master!$A$2:$A$30,0)),0)</f>
        <v>353.18</v>
      </c>
      <c r="K323" s="5">
        <f>Sales_Data!E320</f>
        <v>2</v>
      </c>
      <c r="L323" s="5">
        <f>Sales_Data!F320</f>
        <v>697.05</v>
      </c>
      <c r="M323" s="5">
        <f>Sales_Data!G320</f>
        <v>779.79</v>
      </c>
      <c r="N323" s="5" t="str">
        <f>IFERROR(INDEX(Branch_Master!$B$2:$B$9,MATCH($B323,Branch_Master!$A$2:$A$9,0)),"Not Found")</f>
        <v>Mumbai</v>
      </c>
      <c r="O323" s="5" t="str">
        <f>IFERROR(INDEX(Branch_Master!$C$2:$C$9,MATCH($B323,Branch_Master!$A$2:$A$9,0)),"Not Found")</f>
        <v>Maharashtra</v>
      </c>
      <c r="P323" s="5">
        <f>IFERROR(INDEX(Targets!$B$2:$B$9,MATCH($B323,Targets!$A$2:$A$9,0)),0)</f>
        <v>900000</v>
      </c>
      <c r="Q323" s="5" t="str">
        <f t="shared" si="8"/>
        <v>No</v>
      </c>
      <c r="R323" s="5" t="str">
        <f t="shared" si="9"/>
        <v>Apr</v>
      </c>
    </row>
    <row r="324" spans="1:18" ht="15" customHeight="1" x14ac:dyDescent="0.3">
      <c r="A324" s="5" t="str">
        <f>Sales_Data!A321</f>
        <v>2025-04-26</v>
      </c>
      <c r="B324" s="5" t="str">
        <f>Sales_Data!B321</f>
        <v>Pune East</v>
      </c>
      <c r="C324" s="5" t="str">
        <f>Sales_Data!C321</f>
        <v>E023</v>
      </c>
      <c r="D324" s="5" t="str">
        <f>IFERROR(INDEX(Employee_Master!$B$2:$B$44,MATCH($C324,Employee_Master!$A$2:$A$44,0)),"Not Found")</f>
        <v>Edward Jones</v>
      </c>
      <c r="E324" s="5" t="str">
        <f>IFERROR(INDEX(Employee_Master!$C$2:$C$44,MATCH($C324,Employee_Master!$A$2:$A$44,0)),"Not Found")</f>
        <v>Operations</v>
      </c>
      <c r="F324" s="5" t="str">
        <f>IFERROR(INDEX(Employee_Master!$D$2:$D$44,MATCH($C324,Employee_Master!$A$2:$A$44,0)),"Not Found")</f>
        <v>Jordan Matthews</v>
      </c>
      <c r="G324" s="5" t="str">
        <f>IFERROR(INDEX(Employee_Master!$E$2:$E$44,MATCH($C324,Employee_Master!$A$2:$A$44,0)),"Not Found")</f>
        <v>West</v>
      </c>
      <c r="H324" s="5" t="str">
        <f>Sales_Data!D321</f>
        <v>P018 - Cooking Oil 1L</v>
      </c>
      <c r="I324" s="5" t="str">
        <f>IFERROR(INDEX(Product_Master!$B$2:$B$30,MATCH($H324,Product_Master!$A$2:$A$30,0)),"Invalid Product Code")</f>
        <v>Grocery</v>
      </c>
      <c r="J324" s="5">
        <f>IFERROR(INDEX(Product_Master!$C$2:$C$30,MATCH($H324,Product_Master!$A$2:$A$30,0)),0)</f>
        <v>1483.63</v>
      </c>
      <c r="K324" s="5">
        <f>Sales_Data!E321</f>
        <v>5</v>
      </c>
      <c r="L324" s="5">
        <f>Sales_Data!F321</f>
        <v>6759.61</v>
      </c>
      <c r="M324" s="5">
        <f>Sales_Data!G321</f>
        <v>7288.07</v>
      </c>
      <c r="N324" s="5" t="str">
        <f>IFERROR(INDEX(Branch_Master!$B$2:$B$9,MATCH($B324,Branch_Master!$A$2:$A$9,0)),"Not Found")</f>
        <v>Pune</v>
      </c>
      <c r="O324" s="5" t="str">
        <f>IFERROR(INDEX(Branch_Master!$C$2:$C$9,MATCH($B324,Branch_Master!$A$2:$A$9,0)),"Not Found")</f>
        <v>Maharashtra</v>
      </c>
      <c r="P324" s="5">
        <f>IFERROR(INDEX(Targets!$B$2:$B$9,MATCH($B324,Targets!$A$2:$A$9,0)),0)</f>
        <v>1250000</v>
      </c>
      <c r="Q324" s="5" t="str">
        <f t="shared" si="8"/>
        <v>No</v>
      </c>
      <c r="R324" s="5" t="str">
        <f t="shared" si="9"/>
        <v>Apr</v>
      </c>
    </row>
    <row r="325" spans="1:18" ht="15" customHeight="1" x14ac:dyDescent="0.3">
      <c r="A325" s="5" t="str">
        <f>Sales_Data!A322</f>
        <v>2025-04-26</v>
      </c>
      <c r="B325" s="5" t="str">
        <f>Sales_Data!B322</f>
        <v>Delhi NCR</v>
      </c>
      <c r="C325" s="5" t="str">
        <f>Sales_Data!C322</f>
        <v>E031</v>
      </c>
      <c r="D325" s="5" t="str">
        <f>IFERROR(INDEX(Employee_Master!$B$2:$B$44,MATCH($C325,Employee_Master!$A$2:$A$44,0)),"Not Found")</f>
        <v>Jennifer Garcia</v>
      </c>
      <c r="E325" s="5" t="str">
        <f>IFERROR(INDEX(Employee_Master!$C$2:$C$44,MATCH($C325,Employee_Master!$A$2:$A$44,0)),"Not Found")</f>
        <v>Sales</v>
      </c>
      <c r="F325" s="5" t="str">
        <f>IFERROR(INDEX(Employee_Master!$D$2:$D$44,MATCH($C325,Employee_Master!$A$2:$A$44,0)),"Not Found")</f>
        <v>William Oconnell</v>
      </c>
      <c r="G325" s="5" t="str">
        <f>IFERROR(INDEX(Employee_Master!$E$2:$E$44,MATCH($C325,Employee_Master!$A$2:$A$44,0)),"Not Found")</f>
        <v>North</v>
      </c>
      <c r="H325" s="5" t="str">
        <f>Sales_Data!D322</f>
        <v>P999 - Discontinued Item</v>
      </c>
      <c r="I325" s="5" t="str">
        <f>IFERROR(INDEX(Product_Master!$B$2:$B$30,MATCH($H325,Product_Master!$A$2:$A$30,0)),"Invalid Product Code")</f>
        <v>Invalid Product Code</v>
      </c>
      <c r="J325" s="5">
        <f>IFERROR(INDEX(Product_Master!$C$2:$C$30,MATCH($H325,Product_Master!$A$2:$A$30,0)),0)</f>
        <v>0</v>
      </c>
      <c r="K325" s="5">
        <f>Sales_Data!E322</f>
        <v>3</v>
      </c>
      <c r="L325" s="5">
        <f>Sales_Data!F322</f>
        <v>1364.4</v>
      </c>
      <c r="M325" s="5">
        <f>Sales_Data!G322</f>
        <v>1564.29</v>
      </c>
      <c r="N325" s="5" t="str">
        <f>IFERROR(INDEX(Branch_Master!$B$2:$B$9,MATCH($B325,Branch_Master!$A$2:$A$9,0)),"Not Found")</f>
        <v>New Delhi</v>
      </c>
      <c r="O325" s="5" t="str">
        <f>IFERROR(INDEX(Branch_Master!$C$2:$C$9,MATCH($B325,Branch_Master!$A$2:$A$9,0)),"Not Found")</f>
        <v>Delhi</v>
      </c>
      <c r="P325" s="5">
        <f>IFERROR(INDEX(Targets!$B$2:$B$9,MATCH($B325,Targets!$A$2:$A$9,0)),0)</f>
        <v>2070000</v>
      </c>
      <c r="Q325" s="5" t="str">
        <f t="shared" ref="Q325:Q388" si="10">IF(L325&gt;=M325,"Yes","No")</f>
        <v>No</v>
      </c>
      <c r="R325" s="5" t="str">
        <f t="shared" ref="R325:R388" si="11">TEXT(A325,"MMM")</f>
        <v>Apr</v>
      </c>
    </row>
    <row r="326" spans="1:18" ht="15" customHeight="1" x14ac:dyDescent="0.3">
      <c r="A326" s="5" t="str">
        <f>Sales_Data!A323</f>
        <v>2025-04-26</v>
      </c>
      <c r="B326" s="5" t="str">
        <f>Sales_Data!B323</f>
        <v>Ahmedabad West</v>
      </c>
      <c r="C326" s="5" t="str">
        <f>Sales_Data!C323</f>
        <v>E005</v>
      </c>
      <c r="D326" s="5" t="str">
        <f>IFERROR(INDEX(Employee_Master!$B$2:$B$44,MATCH($C326,Employee_Master!$A$2:$A$44,0)),"Not Found")</f>
        <v>Dr. Sara Zimmerman MD</v>
      </c>
      <c r="E326" s="5" t="str">
        <f>IFERROR(INDEX(Employee_Master!$C$2:$C$44,MATCH($C326,Employee_Master!$A$2:$A$44,0)),"Not Found")</f>
        <v>Operations</v>
      </c>
      <c r="F326" s="5" t="str">
        <f>IFERROR(INDEX(Employee_Master!$D$2:$D$44,MATCH($C326,Employee_Master!$A$2:$A$44,0)),"Not Found")</f>
        <v>Joseph Brown</v>
      </c>
      <c r="G326" s="5" t="str">
        <f>IFERROR(INDEX(Employee_Master!$E$2:$E$44,MATCH($C326,Employee_Master!$A$2:$A$44,0)),"Not Found")</f>
        <v>West</v>
      </c>
      <c r="H326" s="5" t="str">
        <f>Sales_Data!D323</f>
        <v>P027 - Cricket Bat</v>
      </c>
      <c r="I326" s="5" t="str">
        <f>IFERROR(INDEX(Product_Master!$B$2:$B$30,MATCH($H326,Product_Master!$A$2:$A$30,0)),"Invalid Product Code")</f>
        <v>Sports</v>
      </c>
      <c r="J326" s="5">
        <f>IFERROR(INDEX(Product_Master!$C$2:$C$30,MATCH($H326,Product_Master!$A$2:$A$30,0)),0)</f>
        <v>822.7</v>
      </c>
      <c r="K326" s="5">
        <f>Sales_Data!E323</f>
        <v>12</v>
      </c>
      <c r="L326" s="5">
        <f>Sales_Data!F323</f>
        <v>9456.24</v>
      </c>
      <c r="M326" s="5">
        <f>Sales_Data!G323</f>
        <v>10365.31</v>
      </c>
      <c r="N326" s="5" t="str">
        <f>IFERROR(INDEX(Branch_Master!$B$2:$B$9,MATCH($B326,Branch_Master!$A$2:$A$9,0)),"Not Found")</f>
        <v>Ahmedabad</v>
      </c>
      <c r="O326" s="5" t="str">
        <f>IFERROR(INDEX(Branch_Master!$C$2:$C$9,MATCH($B326,Branch_Master!$A$2:$A$9,0)),"Not Found")</f>
        <v>Gujarat</v>
      </c>
      <c r="P326" s="5">
        <f>IFERROR(INDEX(Targets!$B$2:$B$9,MATCH($B326,Targets!$A$2:$A$9,0)),0)</f>
        <v>1590000</v>
      </c>
      <c r="Q326" s="5" t="str">
        <f t="shared" si="10"/>
        <v>No</v>
      </c>
      <c r="R326" s="5" t="str">
        <f t="shared" si="11"/>
        <v>Apr</v>
      </c>
    </row>
    <row r="327" spans="1:18" ht="15" customHeight="1" x14ac:dyDescent="0.3">
      <c r="A327" s="5" t="str">
        <f>Sales_Data!A324</f>
        <v>2025-04-29</v>
      </c>
      <c r="B327" s="5" t="str">
        <f>Sales_Data!B324</f>
        <v>Bangalore North</v>
      </c>
      <c r="C327" s="5" t="str">
        <f>Sales_Data!C324</f>
        <v>E003</v>
      </c>
      <c r="D327" s="5" t="str">
        <f>IFERROR(INDEX(Employee_Master!$B$2:$B$44,MATCH($C327,Employee_Master!$A$2:$A$44,0)),"Not Found")</f>
        <v>Margaret Porter</v>
      </c>
      <c r="E327" s="5" t="str">
        <f>IFERROR(INDEX(Employee_Master!$C$2:$C$44,MATCH($C327,Employee_Master!$A$2:$A$44,0)),"Not Found")</f>
        <v>Customer Support</v>
      </c>
      <c r="F327" s="5" t="str">
        <f>IFERROR(INDEX(Employee_Master!$D$2:$D$44,MATCH($C327,Employee_Master!$A$2:$A$44,0)),"Not Found")</f>
        <v>Jose Soto</v>
      </c>
      <c r="G327" s="5" t="str">
        <f>IFERROR(INDEX(Employee_Master!$E$2:$E$44,MATCH($C327,Employee_Master!$A$2:$A$44,0)),"Not Found")</f>
        <v>South</v>
      </c>
      <c r="H327" s="5" t="str">
        <f>Sales_Data!D324</f>
        <v>P007 - Cotton T-Shirt</v>
      </c>
      <c r="I327" s="5" t="str">
        <f>IFERROR(INDEX(Product_Master!$B$2:$B$30,MATCH($H327,Product_Master!$A$2:$A$30,0)),"Invalid Product Code")</f>
        <v>Apparel</v>
      </c>
      <c r="J327" s="5">
        <f>IFERROR(INDEX(Product_Master!$C$2:$C$30,MATCH($H327,Product_Master!$A$2:$A$30,0)),0)</f>
        <v>338.44</v>
      </c>
      <c r="K327" s="5">
        <f>Sales_Data!E324</f>
        <v>4</v>
      </c>
      <c r="L327" s="5">
        <f>Sales_Data!F324</f>
        <v>1320.84</v>
      </c>
      <c r="M327" s="5">
        <f>Sales_Data!G324</f>
        <v>1341.61</v>
      </c>
      <c r="N327" s="5" t="str">
        <f>IFERROR(INDEX(Branch_Master!$B$2:$B$9,MATCH($B327,Branch_Master!$A$2:$A$9,0)),"Not Found")</f>
        <v>Bangalore</v>
      </c>
      <c r="O327" s="5" t="str">
        <f>IFERROR(INDEX(Branch_Master!$C$2:$C$9,MATCH($B327,Branch_Master!$A$2:$A$9,0)),"Not Found")</f>
        <v>Karnataka</v>
      </c>
      <c r="P327" s="5">
        <f>IFERROR(INDEX(Targets!$B$2:$B$9,MATCH($B327,Targets!$A$2:$A$9,0)),0)</f>
        <v>900000</v>
      </c>
      <c r="Q327" s="5" t="str">
        <f t="shared" si="10"/>
        <v>No</v>
      </c>
      <c r="R327" s="5" t="str">
        <f t="shared" si="11"/>
        <v>Apr</v>
      </c>
    </row>
    <row r="328" spans="1:18" ht="15" customHeight="1" x14ac:dyDescent="0.3">
      <c r="A328" s="5" t="str">
        <f>Sales_Data!A325</f>
        <v>2025-04-30</v>
      </c>
      <c r="B328" s="5" t="str">
        <f>Sales_Data!B325</f>
        <v>Chennai South</v>
      </c>
      <c r="C328" s="5" t="str">
        <f>Sales_Data!C325</f>
        <v>E019</v>
      </c>
      <c r="D328" s="5" t="str">
        <f>IFERROR(INDEX(Employee_Master!$B$2:$B$44,MATCH($C328,Employee_Master!$A$2:$A$44,0)),"Not Found")</f>
        <v>Regina Torres</v>
      </c>
      <c r="E328" s="5" t="str">
        <f>IFERROR(INDEX(Employee_Master!$C$2:$C$44,MATCH($C328,Employee_Master!$A$2:$A$44,0)),"Not Found")</f>
        <v>Operations</v>
      </c>
      <c r="F328" s="5" t="str">
        <f>IFERROR(INDEX(Employee_Master!$D$2:$D$44,MATCH($C328,Employee_Master!$A$2:$A$44,0)),"Not Found")</f>
        <v>Robert Steele</v>
      </c>
      <c r="G328" s="5" t="str">
        <f>IFERROR(INDEX(Employee_Master!$E$2:$E$44,MATCH($C328,Employee_Master!$A$2:$A$44,0)),"Not Found")</f>
        <v>South</v>
      </c>
      <c r="H328" s="5" t="str">
        <f>Sales_Data!D325</f>
        <v>P024 - Hair Serum</v>
      </c>
      <c r="I328" s="5" t="str">
        <f>IFERROR(INDEX(Product_Master!$B$2:$B$30,MATCH($H328,Product_Master!$A$2:$A$30,0)),"Invalid Product Code")</f>
        <v>Beauty</v>
      </c>
      <c r="J328" s="5">
        <f>IFERROR(INDEX(Product_Master!$C$2:$C$30,MATCH($H328,Product_Master!$A$2:$A$30,0)),0)</f>
        <v>1457.31</v>
      </c>
      <c r="K328" s="5">
        <f>Sales_Data!E325</f>
        <v>7</v>
      </c>
      <c r="L328" s="5">
        <f>Sales_Data!F325</f>
        <v>10354.14</v>
      </c>
      <c r="M328" s="5">
        <f>Sales_Data!G325</f>
        <v>9457.68</v>
      </c>
      <c r="N328" s="5" t="str">
        <f>IFERROR(INDEX(Branch_Master!$B$2:$B$9,MATCH($B328,Branch_Master!$A$2:$A$9,0)),"Not Found")</f>
        <v>Chennai</v>
      </c>
      <c r="O328" s="5" t="str">
        <f>IFERROR(INDEX(Branch_Master!$C$2:$C$9,MATCH($B328,Branch_Master!$A$2:$A$9,0)),"Not Found")</f>
        <v>Tamil Nadu</v>
      </c>
      <c r="P328" s="5">
        <f>IFERROR(INDEX(Targets!$B$2:$B$9,MATCH($B328,Targets!$A$2:$A$9,0)),0)</f>
        <v>1910000</v>
      </c>
      <c r="Q328" s="5" t="str">
        <f t="shared" si="10"/>
        <v>Yes</v>
      </c>
      <c r="R328" s="5" t="str">
        <f t="shared" si="11"/>
        <v>Apr</v>
      </c>
    </row>
    <row r="329" spans="1:18" ht="15" customHeight="1" x14ac:dyDescent="0.3">
      <c r="A329" s="5" t="str">
        <f>Sales_Data!A326</f>
        <v>2025-05-01</v>
      </c>
      <c r="B329" s="5" t="str">
        <f>Sales_Data!B326</f>
        <v>Hyderabad Hitech</v>
      </c>
      <c r="C329" s="5" t="str">
        <f>Sales_Data!C326</f>
        <v>E030</v>
      </c>
      <c r="D329" s="5" t="str">
        <f>IFERROR(INDEX(Employee_Master!$B$2:$B$44,MATCH($C329,Employee_Master!$A$2:$A$44,0)),"Not Found")</f>
        <v>Travis Khan</v>
      </c>
      <c r="E329" s="5" t="str">
        <f>IFERROR(INDEX(Employee_Master!$C$2:$C$44,MATCH($C329,Employee_Master!$A$2:$A$44,0)),"Not Found")</f>
        <v>Operations</v>
      </c>
      <c r="F329" s="5" t="str">
        <f>IFERROR(INDEX(Employee_Master!$D$2:$D$44,MATCH($C329,Employee_Master!$A$2:$A$44,0)),"Not Found")</f>
        <v>Anna Turner</v>
      </c>
      <c r="G329" s="5" t="str">
        <f>IFERROR(INDEX(Employee_Master!$E$2:$E$44,MATCH($C329,Employee_Master!$A$2:$A$44,0)),"Not Found")</f>
        <v>South</v>
      </c>
      <c r="H329" s="5" t="str">
        <f>Sales_Data!D326</f>
        <v>P002 - Smart Watch</v>
      </c>
      <c r="I329" s="5" t="str">
        <f>IFERROR(INDEX(Product_Master!$B$2:$B$30,MATCH($H329,Product_Master!$A$2:$A$30,0)),"Invalid Product Code")</f>
        <v>Electronics</v>
      </c>
      <c r="J329" s="5">
        <f>IFERROR(INDEX(Product_Master!$C$2:$C$30,MATCH($H329,Product_Master!$A$2:$A$30,0)),0)</f>
        <v>403.33</v>
      </c>
      <c r="K329" s="5">
        <f>Sales_Data!E326</f>
        <v>5</v>
      </c>
      <c r="L329" s="5">
        <f>Sales_Data!F326</f>
        <v>2016.58</v>
      </c>
      <c r="M329" s="5">
        <f>Sales_Data!G326</f>
        <v>1897.17</v>
      </c>
      <c r="N329" s="5" t="str">
        <f>IFERROR(INDEX(Branch_Master!$B$2:$B$9,MATCH($B329,Branch_Master!$A$2:$A$9,0)),"Not Found")</f>
        <v>Hyderabad</v>
      </c>
      <c r="O329" s="5" t="str">
        <f>IFERROR(INDEX(Branch_Master!$C$2:$C$9,MATCH($B329,Branch_Master!$A$2:$A$9,0)),"Not Found")</f>
        <v>Telangana</v>
      </c>
      <c r="P329" s="5">
        <f>IFERROR(INDEX(Targets!$B$2:$B$9,MATCH($B329,Targets!$A$2:$A$9,0)),0)</f>
        <v>1210000</v>
      </c>
      <c r="Q329" s="5" t="str">
        <f t="shared" si="10"/>
        <v>Yes</v>
      </c>
      <c r="R329" s="5" t="str">
        <f t="shared" si="11"/>
        <v>May</v>
      </c>
    </row>
    <row r="330" spans="1:18" ht="15" customHeight="1" x14ac:dyDescent="0.3">
      <c r="A330" s="5" t="str">
        <f>Sales_Data!A327</f>
        <v>2025-05-01</v>
      </c>
      <c r="B330" s="5" t="str">
        <f>Sales_Data!B327</f>
        <v>Ahmedabad West</v>
      </c>
      <c r="C330" s="5" t="str">
        <f>Sales_Data!C327</f>
        <v>E008</v>
      </c>
      <c r="D330" s="5" t="str">
        <f>IFERROR(INDEX(Employee_Master!$B$2:$B$44,MATCH($C330,Employee_Master!$A$2:$A$44,0)),"Not Found")</f>
        <v>Tyler Boone</v>
      </c>
      <c r="E330" s="5" t="str">
        <f>IFERROR(INDEX(Employee_Master!$C$2:$C$44,MATCH($C330,Employee_Master!$A$2:$A$44,0)),"Not Found")</f>
        <v>Marketing</v>
      </c>
      <c r="F330" s="5" t="str">
        <f>IFERROR(INDEX(Employee_Master!$D$2:$D$44,MATCH($C330,Employee_Master!$A$2:$A$44,0)),"Not Found")</f>
        <v>Joseph Brown</v>
      </c>
      <c r="G330" s="5" t="str">
        <f>IFERROR(INDEX(Employee_Master!$E$2:$E$44,MATCH($C330,Employee_Master!$A$2:$A$44,0)),"Not Found")</f>
        <v>West</v>
      </c>
      <c r="H330" s="5" t="str">
        <f>Sales_Data!D327</f>
        <v>P012 - Non-Stick Pan</v>
      </c>
      <c r="I330" s="5" t="str">
        <f>IFERROR(INDEX(Product_Master!$B$2:$B$30,MATCH($H330,Product_Master!$A$2:$A$30,0)),"Invalid Product Code")</f>
        <v>Home &amp; Kitchen</v>
      </c>
      <c r="J330" s="5">
        <f>IFERROR(INDEX(Product_Master!$C$2:$C$30,MATCH($H330,Product_Master!$A$2:$A$30,0)),0)</f>
        <v>353.18</v>
      </c>
      <c r="K330" s="5">
        <f>Sales_Data!E327</f>
        <v>4</v>
      </c>
      <c r="L330" s="5">
        <f>Sales_Data!F327</f>
        <v>1282.27</v>
      </c>
      <c r="M330" s="5">
        <f>Sales_Data!G327</f>
        <v>1310.8</v>
      </c>
      <c r="N330" s="5" t="str">
        <f>IFERROR(INDEX(Branch_Master!$B$2:$B$9,MATCH($B330,Branch_Master!$A$2:$A$9,0)),"Not Found")</f>
        <v>Ahmedabad</v>
      </c>
      <c r="O330" s="5" t="str">
        <f>IFERROR(INDEX(Branch_Master!$C$2:$C$9,MATCH($B330,Branch_Master!$A$2:$A$9,0)),"Not Found")</f>
        <v>Gujarat</v>
      </c>
      <c r="P330" s="5">
        <f>IFERROR(INDEX(Targets!$B$2:$B$9,MATCH($B330,Targets!$A$2:$A$9,0)),0)</f>
        <v>1590000</v>
      </c>
      <c r="Q330" s="5" t="str">
        <f t="shared" si="10"/>
        <v>No</v>
      </c>
      <c r="R330" s="5" t="str">
        <f t="shared" si="11"/>
        <v>May</v>
      </c>
    </row>
    <row r="331" spans="1:18" ht="15" customHeight="1" x14ac:dyDescent="0.3">
      <c r="A331" s="5" t="str">
        <f>Sales_Data!A328</f>
        <v>2025-05-01</v>
      </c>
      <c r="B331" s="5" t="str">
        <f>Sales_Data!B328</f>
        <v>Chennai South</v>
      </c>
      <c r="C331" s="5" t="str">
        <f>Sales_Data!C328</f>
        <v>E019</v>
      </c>
      <c r="D331" s="5" t="str">
        <f>IFERROR(INDEX(Employee_Master!$B$2:$B$44,MATCH($C331,Employee_Master!$A$2:$A$44,0)),"Not Found")</f>
        <v>Regina Torres</v>
      </c>
      <c r="E331" s="5" t="str">
        <f>IFERROR(INDEX(Employee_Master!$C$2:$C$44,MATCH($C331,Employee_Master!$A$2:$A$44,0)),"Not Found")</f>
        <v>Operations</v>
      </c>
      <c r="F331" s="5" t="str">
        <f>IFERROR(INDEX(Employee_Master!$D$2:$D$44,MATCH($C331,Employee_Master!$A$2:$A$44,0)),"Not Found")</f>
        <v>Robert Steele</v>
      </c>
      <c r="G331" s="5" t="str">
        <f>IFERROR(INDEX(Employee_Master!$E$2:$E$44,MATCH($C331,Employee_Master!$A$2:$A$44,0)),"Not Found")</f>
        <v>South</v>
      </c>
      <c r="H331" s="5" t="str">
        <f>Sales_Data!D328</f>
        <v>P018 - Cooking Oil 1L</v>
      </c>
      <c r="I331" s="5" t="str">
        <f>IFERROR(INDEX(Product_Master!$B$2:$B$30,MATCH($H331,Product_Master!$A$2:$A$30,0)),"Invalid Product Code")</f>
        <v>Grocery</v>
      </c>
      <c r="J331" s="5">
        <f>IFERROR(INDEX(Product_Master!$C$2:$C$30,MATCH($H331,Product_Master!$A$2:$A$30,0)),0)</f>
        <v>1483.63</v>
      </c>
      <c r="K331" s="5">
        <f>Sales_Data!E328</f>
        <v>4</v>
      </c>
      <c r="L331" s="5">
        <f>Sales_Data!F328</f>
        <v>6353.06</v>
      </c>
      <c r="M331" s="5">
        <f>Sales_Data!G328</f>
        <v>6118.43</v>
      </c>
      <c r="N331" s="5" t="str">
        <f>IFERROR(INDEX(Branch_Master!$B$2:$B$9,MATCH($B331,Branch_Master!$A$2:$A$9,0)),"Not Found")</f>
        <v>Chennai</v>
      </c>
      <c r="O331" s="5" t="str">
        <f>IFERROR(INDEX(Branch_Master!$C$2:$C$9,MATCH($B331,Branch_Master!$A$2:$A$9,0)),"Not Found")</f>
        <v>Tamil Nadu</v>
      </c>
      <c r="P331" s="5">
        <f>IFERROR(INDEX(Targets!$B$2:$B$9,MATCH($B331,Targets!$A$2:$A$9,0)),0)</f>
        <v>1910000</v>
      </c>
      <c r="Q331" s="5" t="str">
        <f t="shared" si="10"/>
        <v>Yes</v>
      </c>
      <c r="R331" s="5" t="str">
        <f t="shared" si="11"/>
        <v>May</v>
      </c>
    </row>
    <row r="332" spans="1:18" ht="15" customHeight="1" x14ac:dyDescent="0.3">
      <c r="A332" s="5" t="str">
        <f>Sales_Data!A329</f>
        <v>2025-05-02</v>
      </c>
      <c r="B332" s="5" t="str">
        <f>Sales_Data!B329</f>
        <v>Chennai South</v>
      </c>
      <c r="C332" s="5" t="str">
        <f>Sales_Data!C329</f>
        <v>E019</v>
      </c>
      <c r="D332" s="5" t="str">
        <f>IFERROR(INDEX(Employee_Master!$B$2:$B$44,MATCH($C332,Employee_Master!$A$2:$A$44,0)),"Not Found")</f>
        <v>Regina Torres</v>
      </c>
      <c r="E332" s="5" t="str">
        <f>IFERROR(INDEX(Employee_Master!$C$2:$C$44,MATCH($C332,Employee_Master!$A$2:$A$44,0)),"Not Found")</f>
        <v>Operations</v>
      </c>
      <c r="F332" s="5" t="str">
        <f>IFERROR(INDEX(Employee_Master!$D$2:$D$44,MATCH($C332,Employee_Master!$A$2:$A$44,0)),"Not Found")</f>
        <v>Robert Steele</v>
      </c>
      <c r="G332" s="5" t="str">
        <f>IFERROR(INDEX(Employee_Master!$E$2:$E$44,MATCH($C332,Employee_Master!$A$2:$A$44,0)),"Not Found")</f>
        <v>South</v>
      </c>
      <c r="H332" s="5" t="str">
        <f>Sales_Data!D329</f>
        <v>P013 - Mixer Grinder</v>
      </c>
      <c r="I332" s="5" t="str">
        <f>IFERROR(INDEX(Product_Master!$B$2:$B$30,MATCH($H332,Product_Master!$A$2:$A$30,0)),"Invalid Product Code")</f>
        <v>Home &amp; Kitchen</v>
      </c>
      <c r="J332" s="5">
        <f>IFERROR(INDEX(Product_Master!$C$2:$C$30,MATCH($H332,Product_Master!$A$2:$A$30,0)),0)</f>
        <v>798.53</v>
      </c>
      <c r="K332" s="5">
        <f>Sales_Data!E329</f>
        <v>9</v>
      </c>
      <c r="L332" s="5">
        <f>Sales_Data!F329</f>
        <v>6540.62</v>
      </c>
      <c r="M332" s="5">
        <f>Sales_Data!G329</f>
        <v>6530.14</v>
      </c>
      <c r="N332" s="5" t="str">
        <f>IFERROR(INDEX(Branch_Master!$B$2:$B$9,MATCH($B332,Branch_Master!$A$2:$A$9,0)),"Not Found")</f>
        <v>Chennai</v>
      </c>
      <c r="O332" s="5" t="str">
        <f>IFERROR(INDEX(Branch_Master!$C$2:$C$9,MATCH($B332,Branch_Master!$A$2:$A$9,0)),"Not Found")</f>
        <v>Tamil Nadu</v>
      </c>
      <c r="P332" s="5">
        <f>IFERROR(INDEX(Targets!$B$2:$B$9,MATCH($B332,Targets!$A$2:$A$9,0)),0)</f>
        <v>1910000</v>
      </c>
      <c r="Q332" s="5" t="str">
        <f t="shared" si="10"/>
        <v>Yes</v>
      </c>
      <c r="R332" s="5" t="str">
        <f t="shared" si="11"/>
        <v>May</v>
      </c>
    </row>
    <row r="333" spans="1:18" ht="15" customHeight="1" x14ac:dyDescent="0.3">
      <c r="A333" s="5" t="str">
        <f>Sales_Data!A330</f>
        <v>2025-05-02</v>
      </c>
      <c r="B333" s="5" t="str">
        <f>Sales_Data!B330</f>
        <v>Bangalore North</v>
      </c>
      <c r="C333" s="5" t="str">
        <f>Sales_Data!C330</f>
        <v>E003</v>
      </c>
      <c r="D333" s="5" t="str">
        <f>IFERROR(INDEX(Employee_Master!$B$2:$B$44,MATCH($C333,Employee_Master!$A$2:$A$44,0)),"Not Found")</f>
        <v>Margaret Porter</v>
      </c>
      <c r="E333" s="5" t="str">
        <f>IFERROR(INDEX(Employee_Master!$C$2:$C$44,MATCH($C333,Employee_Master!$A$2:$A$44,0)),"Not Found")</f>
        <v>Customer Support</v>
      </c>
      <c r="F333" s="5" t="str">
        <f>IFERROR(INDEX(Employee_Master!$D$2:$D$44,MATCH($C333,Employee_Master!$A$2:$A$44,0)),"Not Found")</f>
        <v>Jose Soto</v>
      </c>
      <c r="G333" s="5" t="str">
        <f>IFERROR(INDEX(Employee_Master!$E$2:$E$44,MATCH($C333,Employee_Master!$A$2:$A$44,0)),"Not Found")</f>
        <v>South</v>
      </c>
      <c r="H333" s="5" t="str">
        <f>Sales_Data!D330</f>
        <v>P021 - Assorted Spices Kit</v>
      </c>
      <c r="I333" s="5" t="str">
        <f>IFERROR(INDEX(Product_Master!$B$2:$B$30,MATCH($H333,Product_Master!$A$2:$A$30,0)),"Invalid Product Code")</f>
        <v>Grocery</v>
      </c>
      <c r="J333" s="5">
        <f>IFERROR(INDEX(Product_Master!$C$2:$C$30,MATCH($H333,Product_Master!$A$2:$A$30,0)),0)</f>
        <v>1060.97</v>
      </c>
      <c r="K333" s="5">
        <f>Sales_Data!E330</f>
        <v>2</v>
      </c>
      <c r="L333" s="5">
        <f>Sales_Data!F330</f>
        <v>2099.23</v>
      </c>
      <c r="M333" s="5">
        <f>Sales_Data!G330</f>
        <v>2204.67</v>
      </c>
      <c r="N333" s="5" t="str">
        <f>IFERROR(INDEX(Branch_Master!$B$2:$B$9,MATCH($B333,Branch_Master!$A$2:$A$9,0)),"Not Found")</f>
        <v>Bangalore</v>
      </c>
      <c r="O333" s="5" t="str">
        <f>IFERROR(INDEX(Branch_Master!$C$2:$C$9,MATCH($B333,Branch_Master!$A$2:$A$9,0)),"Not Found")</f>
        <v>Karnataka</v>
      </c>
      <c r="P333" s="5">
        <f>IFERROR(INDEX(Targets!$B$2:$B$9,MATCH($B333,Targets!$A$2:$A$9,0)),0)</f>
        <v>900000</v>
      </c>
      <c r="Q333" s="5" t="str">
        <f t="shared" si="10"/>
        <v>No</v>
      </c>
      <c r="R333" s="5" t="str">
        <f t="shared" si="11"/>
        <v>May</v>
      </c>
    </row>
    <row r="334" spans="1:18" ht="15" customHeight="1" x14ac:dyDescent="0.3">
      <c r="A334" s="5" t="str">
        <f>Sales_Data!A331</f>
        <v>2025-05-03</v>
      </c>
      <c r="B334" s="5" t="str">
        <f>Sales_Data!B331</f>
        <v>Bangalore North</v>
      </c>
      <c r="C334" s="5" t="str">
        <f>Sales_Data!C331</f>
        <v>E003</v>
      </c>
      <c r="D334" s="5" t="str">
        <f>IFERROR(INDEX(Employee_Master!$B$2:$B$44,MATCH($C334,Employee_Master!$A$2:$A$44,0)),"Not Found")</f>
        <v>Margaret Porter</v>
      </c>
      <c r="E334" s="5" t="str">
        <f>IFERROR(INDEX(Employee_Master!$C$2:$C$44,MATCH($C334,Employee_Master!$A$2:$A$44,0)),"Not Found")</f>
        <v>Customer Support</v>
      </c>
      <c r="F334" s="5" t="str">
        <f>IFERROR(INDEX(Employee_Master!$D$2:$D$44,MATCH($C334,Employee_Master!$A$2:$A$44,0)),"Not Found")</f>
        <v>Jose Soto</v>
      </c>
      <c r="G334" s="5" t="str">
        <f>IFERROR(INDEX(Employee_Master!$E$2:$E$44,MATCH($C334,Employee_Master!$A$2:$A$44,0)),"Not Found")</f>
        <v>South</v>
      </c>
      <c r="H334" s="5" t="str">
        <f>Sales_Data!D331</f>
        <v>P009 - Formal Shirt</v>
      </c>
      <c r="I334" s="5" t="str">
        <f>IFERROR(INDEX(Product_Master!$B$2:$B$30,MATCH($H334,Product_Master!$A$2:$A$30,0)),"Invalid Product Code")</f>
        <v>Apparel</v>
      </c>
      <c r="J334" s="5">
        <f>IFERROR(INDEX(Product_Master!$C$2:$C$30,MATCH($H334,Product_Master!$A$2:$A$30,0)),0)</f>
        <v>661.65</v>
      </c>
      <c r="K334" s="5">
        <f>Sales_Data!E331</f>
        <v>7</v>
      </c>
      <c r="L334" s="5">
        <f>Sales_Data!F331</f>
        <v>4258.26</v>
      </c>
      <c r="M334" s="5">
        <f>Sales_Data!G331</f>
        <v>5093.09</v>
      </c>
      <c r="N334" s="5" t="str">
        <f>IFERROR(INDEX(Branch_Master!$B$2:$B$9,MATCH($B334,Branch_Master!$A$2:$A$9,0)),"Not Found")</f>
        <v>Bangalore</v>
      </c>
      <c r="O334" s="5" t="str">
        <f>IFERROR(INDEX(Branch_Master!$C$2:$C$9,MATCH($B334,Branch_Master!$A$2:$A$9,0)),"Not Found")</f>
        <v>Karnataka</v>
      </c>
      <c r="P334" s="5">
        <f>IFERROR(INDEX(Targets!$B$2:$B$9,MATCH($B334,Targets!$A$2:$A$9,0)),0)</f>
        <v>900000</v>
      </c>
      <c r="Q334" s="5" t="str">
        <f t="shared" si="10"/>
        <v>No</v>
      </c>
      <c r="R334" s="5" t="str">
        <f t="shared" si="11"/>
        <v>May</v>
      </c>
    </row>
    <row r="335" spans="1:18" ht="15" customHeight="1" x14ac:dyDescent="0.3">
      <c r="A335" s="5" t="str">
        <f>Sales_Data!A332</f>
        <v>2025-05-03</v>
      </c>
      <c r="B335" s="5" t="str">
        <f>Sales_Data!B332</f>
        <v>Kolkata Central</v>
      </c>
      <c r="C335" s="5" t="str">
        <f>Sales_Data!C332</f>
        <v>E018</v>
      </c>
      <c r="D335" s="5" t="str">
        <f>IFERROR(INDEX(Employee_Master!$B$2:$B$44,MATCH($C335,Employee_Master!$A$2:$A$44,0)),"Not Found")</f>
        <v>Daniel Nelson</v>
      </c>
      <c r="E335" s="5" t="str">
        <f>IFERROR(INDEX(Employee_Master!$C$2:$C$44,MATCH($C335,Employee_Master!$A$2:$A$44,0)),"Not Found")</f>
        <v>Sales</v>
      </c>
      <c r="F335" s="5" t="str">
        <f>IFERROR(INDEX(Employee_Master!$D$2:$D$44,MATCH($C335,Employee_Master!$A$2:$A$44,0)),"Not Found")</f>
        <v>Lisa Moore</v>
      </c>
      <c r="G335" s="5" t="str">
        <f>IFERROR(INDEX(Employee_Master!$E$2:$E$44,MATCH($C335,Employee_Master!$A$2:$A$44,0)),"Not Found")</f>
        <v>East</v>
      </c>
      <c r="H335" s="5" t="str">
        <f>Sales_Data!D332</f>
        <v>P003 - Bluetooth Speaker</v>
      </c>
      <c r="I335" s="5" t="str">
        <f>IFERROR(INDEX(Product_Master!$B$2:$B$30,MATCH($H335,Product_Master!$A$2:$A$30,0)),"Invalid Product Code")</f>
        <v>Electronics</v>
      </c>
      <c r="J335" s="5">
        <f>IFERROR(INDEX(Product_Master!$C$2:$C$30,MATCH($H335,Product_Master!$A$2:$A$30,0)),0)</f>
        <v>351.01</v>
      </c>
      <c r="K335" s="5">
        <f>Sales_Data!E332</f>
        <v>12</v>
      </c>
      <c r="L335" s="5">
        <f>Sales_Data!F332</f>
        <v>4266.0200000000004</v>
      </c>
      <c r="M335" s="5">
        <f>Sales_Data!G332</f>
        <v>3890.17</v>
      </c>
      <c r="N335" s="5" t="str">
        <f>IFERROR(INDEX(Branch_Master!$B$2:$B$9,MATCH($B335,Branch_Master!$A$2:$A$9,0)),"Not Found")</f>
        <v>Kolkata</v>
      </c>
      <c r="O335" s="5" t="str">
        <f>IFERROR(INDEX(Branch_Master!$C$2:$C$9,MATCH($B335,Branch_Master!$A$2:$A$9,0)),"Not Found")</f>
        <v>West Bengal</v>
      </c>
      <c r="P335" s="5">
        <f>IFERROR(INDEX(Targets!$B$2:$B$9,MATCH($B335,Targets!$A$2:$A$9,0)),0)</f>
        <v>1910000</v>
      </c>
      <c r="Q335" s="5" t="str">
        <f t="shared" si="10"/>
        <v>Yes</v>
      </c>
      <c r="R335" s="5" t="str">
        <f t="shared" si="11"/>
        <v>May</v>
      </c>
    </row>
    <row r="336" spans="1:18" ht="15" customHeight="1" x14ac:dyDescent="0.3">
      <c r="A336" s="5" t="str">
        <f>Sales_Data!A333</f>
        <v>2025-05-04</v>
      </c>
      <c r="B336" s="5" t="str">
        <f>Sales_Data!B333</f>
        <v>Chennai South</v>
      </c>
      <c r="C336" s="5" t="str">
        <f>Sales_Data!C333</f>
        <v>E015</v>
      </c>
      <c r="D336" s="5" t="str">
        <f>IFERROR(INDEX(Employee_Master!$B$2:$B$44,MATCH($C336,Employee_Master!$A$2:$A$44,0)),"Not Found")</f>
        <v>Cassandra Hansen</v>
      </c>
      <c r="E336" s="5" t="str">
        <f>IFERROR(INDEX(Employee_Master!$C$2:$C$44,MATCH($C336,Employee_Master!$A$2:$A$44,0)),"Not Found")</f>
        <v>Customer Support</v>
      </c>
      <c r="F336" s="5" t="str">
        <f>IFERROR(INDEX(Employee_Master!$D$2:$D$44,MATCH($C336,Employee_Master!$A$2:$A$44,0)),"Not Found")</f>
        <v>Robert Steele</v>
      </c>
      <c r="G336" s="5" t="str">
        <f>IFERROR(INDEX(Employee_Master!$E$2:$E$44,MATCH($C336,Employee_Master!$A$2:$A$44,0)),"Not Found")</f>
        <v>South</v>
      </c>
      <c r="H336" s="5" t="str">
        <f>Sales_Data!D333</f>
        <v>P019 - Organic Honey</v>
      </c>
      <c r="I336" s="5" t="str">
        <f>IFERROR(INDEX(Product_Master!$B$2:$B$30,MATCH($H336,Product_Master!$A$2:$A$30,0)),"Invalid Product Code")</f>
        <v>Grocery</v>
      </c>
      <c r="J336" s="5">
        <f>IFERROR(INDEX(Product_Master!$C$2:$C$30,MATCH($H336,Product_Master!$A$2:$A$30,0)),0)</f>
        <v>482.15</v>
      </c>
      <c r="K336" s="5">
        <f>Sales_Data!E333</f>
        <v>6</v>
      </c>
      <c r="L336" s="5">
        <f>Sales_Data!F333</f>
        <v>2908.01</v>
      </c>
      <c r="M336" s="5">
        <f>Sales_Data!G333</f>
        <v>2750.03</v>
      </c>
      <c r="N336" s="5" t="str">
        <f>IFERROR(INDEX(Branch_Master!$B$2:$B$9,MATCH($B336,Branch_Master!$A$2:$A$9,0)),"Not Found")</f>
        <v>Chennai</v>
      </c>
      <c r="O336" s="5" t="str">
        <f>IFERROR(INDEX(Branch_Master!$C$2:$C$9,MATCH($B336,Branch_Master!$A$2:$A$9,0)),"Not Found")</f>
        <v>Tamil Nadu</v>
      </c>
      <c r="P336" s="5">
        <f>IFERROR(INDEX(Targets!$B$2:$B$9,MATCH($B336,Targets!$A$2:$A$9,0)),0)</f>
        <v>1910000</v>
      </c>
      <c r="Q336" s="5" t="str">
        <f t="shared" si="10"/>
        <v>Yes</v>
      </c>
      <c r="R336" s="5" t="str">
        <f t="shared" si="11"/>
        <v>May</v>
      </c>
    </row>
    <row r="337" spans="1:18" ht="15" customHeight="1" x14ac:dyDescent="0.3">
      <c r="A337" s="5" t="str">
        <f>Sales_Data!A334</f>
        <v>2025-05-05</v>
      </c>
      <c r="B337" s="5" t="str">
        <f>Sales_Data!B334</f>
        <v>Mumbai Central</v>
      </c>
      <c r="C337" s="5" t="str">
        <f>Sales_Data!C334</f>
        <v>E033</v>
      </c>
      <c r="D337" s="5" t="str">
        <f>IFERROR(INDEX(Employee_Master!$B$2:$B$44,MATCH($C337,Employee_Master!$A$2:$A$44,0)),"Not Found")</f>
        <v>Dawn Colon</v>
      </c>
      <c r="E337" s="5" t="str">
        <f>IFERROR(INDEX(Employee_Master!$C$2:$C$44,MATCH($C337,Employee_Master!$A$2:$A$44,0)),"Not Found")</f>
        <v>Customer Support</v>
      </c>
      <c r="F337" s="5" t="str">
        <f>IFERROR(INDEX(Employee_Master!$D$2:$D$44,MATCH($C337,Employee_Master!$A$2:$A$44,0)),"Not Found")</f>
        <v>Justin Glass</v>
      </c>
      <c r="G337" s="5" t="str">
        <f>IFERROR(INDEX(Employee_Master!$E$2:$E$44,MATCH($C337,Employee_Master!$A$2:$A$44,0)),"Not Found")</f>
        <v>West</v>
      </c>
      <c r="H337" s="5" t="str">
        <f>Sales_Data!D334</f>
        <v>P004 - Power Bank</v>
      </c>
      <c r="I337" s="5" t="str">
        <f>IFERROR(INDEX(Product_Master!$B$2:$B$30,MATCH($H337,Product_Master!$A$2:$A$30,0)),"Invalid Product Code")</f>
        <v>Electronics</v>
      </c>
      <c r="J337" s="5">
        <f>IFERROR(INDEX(Product_Master!$C$2:$C$30,MATCH($H337,Product_Master!$A$2:$A$30,0)),0)</f>
        <v>76.91</v>
      </c>
      <c r="K337" s="5">
        <f>Sales_Data!E334</f>
        <v>12</v>
      </c>
      <c r="L337" s="5">
        <f>Sales_Data!F334</f>
        <v>998.5</v>
      </c>
      <c r="M337" s="5">
        <f>Sales_Data!G334</f>
        <v>824.45</v>
      </c>
      <c r="N337" s="5" t="str">
        <f>IFERROR(INDEX(Branch_Master!$B$2:$B$9,MATCH($B337,Branch_Master!$A$2:$A$9,0)),"Not Found")</f>
        <v>Mumbai</v>
      </c>
      <c r="O337" s="5" t="str">
        <f>IFERROR(INDEX(Branch_Master!$C$2:$C$9,MATCH($B337,Branch_Master!$A$2:$A$9,0)),"Not Found")</f>
        <v>Maharashtra</v>
      </c>
      <c r="P337" s="5">
        <f>IFERROR(INDEX(Targets!$B$2:$B$9,MATCH($B337,Targets!$A$2:$A$9,0)),0)</f>
        <v>900000</v>
      </c>
      <c r="Q337" s="5" t="str">
        <f t="shared" si="10"/>
        <v>Yes</v>
      </c>
      <c r="R337" s="5" t="str">
        <f t="shared" si="11"/>
        <v>May</v>
      </c>
    </row>
    <row r="338" spans="1:18" ht="15" customHeight="1" x14ac:dyDescent="0.3">
      <c r="A338" s="5" t="str">
        <f>Sales_Data!A335</f>
        <v>2025-05-05</v>
      </c>
      <c r="B338" s="5" t="str">
        <f>Sales_Data!B335</f>
        <v>Delhi NCR</v>
      </c>
      <c r="C338" s="5" t="str">
        <f>Sales_Data!C335</f>
        <v>E013</v>
      </c>
      <c r="D338" s="5" t="str">
        <f>IFERROR(INDEX(Employee_Master!$B$2:$B$44,MATCH($C338,Employee_Master!$A$2:$A$44,0)),"Not Found")</f>
        <v>Norma Wilson</v>
      </c>
      <c r="E338" s="5" t="str">
        <f>IFERROR(INDEX(Employee_Master!$C$2:$C$44,MATCH($C338,Employee_Master!$A$2:$A$44,0)),"Not Found")</f>
        <v>Customer Support</v>
      </c>
      <c r="F338" s="5" t="str">
        <f>IFERROR(INDEX(Employee_Master!$D$2:$D$44,MATCH($C338,Employee_Master!$A$2:$A$44,0)),"Not Found")</f>
        <v>William Oconnell</v>
      </c>
      <c r="G338" s="5" t="str">
        <f>IFERROR(INDEX(Employee_Master!$E$2:$E$44,MATCH($C338,Employee_Master!$A$2:$A$44,0)),"Not Found")</f>
        <v>North</v>
      </c>
      <c r="H338" s="5" t="str">
        <f>Sales_Data!D335</f>
        <v>P021 - Assorted Spices Kit</v>
      </c>
      <c r="I338" s="5" t="str">
        <f>IFERROR(INDEX(Product_Master!$B$2:$B$30,MATCH($H338,Product_Master!$A$2:$A$30,0)),"Invalid Product Code")</f>
        <v>Grocery</v>
      </c>
      <c r="J338" s="5">
        <f>IFERROR(INDEX(Product_Master!$C$2:$C$30,MATCH($H338,Product_Master!$A$2:$A$30,0)),0)</f>
        <v>1060.97</v>
      </c>
      <c r="K338" s="5">
        <f>Sales_Data!E335</f>
        <v>1</v>
      </c>
      <c r="L338" s="5">
        <f>Sales_Data!F335</f>
        <v>1108</v>
      </c>
      <c r="M338" s="5">
        <f>Sales_Data!G335</f>
        <v>1152.48</v>
      </c>
      <c r="N338" s="5" t="str">
        <f>IFERROR(INDEX(Branch_Master!$B$2:$B$9,MATCH($B338,Branch_Master!$A$2:$A$9,0)),"Not Found")</f>
        <v>New Delhi</v>
      </c>
      <c r="O338" s="5" t="str">
        <f>IFERROR(INDEX(Branch_Master!$C$2:$C$9,MATCH($B338,Branch_Master!$A$2:$A$9,0)),"Not Found")</f>
        <v>Delhi</v>
      </c>
      <c r="P338" s="5">
        <f>IFERROR(INDEX(Targets!$B$2:$B$9,MATCH($B338,Targets!$A$2:$A$9,0)),0)</f>
        <v>2070000</v>
      </c>
      <c r="Q338" s="5" t="str">
        <f t="shared" si="10"/>
        <v>No</v>
      </c>
      <c r="R338" s="5" t="str">
        <f t="shared" si="11"/>
        <v>May</v>
      </c>
    </row>
    <row r="339" spans="1:18" ht="15" customHeight="1" x14ac:dyDescent="0.3">
      <c r="A339" s="5" t="str">
        <f>Sales_Data!A336</f>
        <v>2025-05-06</v>
      </c>
      <c r="B339" s="5" t="str">
        <f>Sales_Data!B336</f>
        <v>Chennai South</v>
      </c>
      <c r="C339" s="5" t="str">
        <f>Sales_Data!C336</f>
        <v>E015</v>
      </c>
      <c r="D339" s="5" t="str">
        <f>IFERROR(INDEX(Employee_Master!$B$2:$B$44,MATCH($C339,Employee_Master!$A$2:$A$44,0)),"Not Found")</f>
        <v>Cassandra Hansen</v>
      </c>
      <c r="E339" s="5" t="str">
        <f>IFERROR(INDEX(Employee_Master!$C$2:$C$44,MATCH($C339,Employee_Master!$A$2:$A$44,0)),"Not Found")</f>
        <v>Customer Support</v>
      </c>
      <c r="F339" s="5" t="str">
        <f>IFERROR(INDEX(Employee_Master!$D$2:$D$44,MATCH($C339,Employee_Master!$A$2:$A$44,0)),"Not Found")</f>
        <v>Robert Steele</v>
      </c>
      <c r="G339" s="5" t="str">
        <f>IFERROR(INDEX(Employee_Master!$E$2:$E$44,MATCH($C339,Employee_Master!$A$2:$A$44,0)),"Not Found")</f>
        <v>South</v>
      </c>
      <c r="H339" s="5" t="str">
        <f>Sales_Data!D336</f>
        <v>P023 - Sunscreen SPF50</v>
      </c>
      <c r="I339" s="5" t="str">
        <f>IFERROR(INDEX(Product_Master!$B$2:$B$30,MATCH($H339,Product_Master!$A$2:$A$30,0)),"Invalid Product Code")</f>
        <v>Beauty</v>
      </c>
      <c r="J339" s="5">
        <f>IFERROR(INDEX(Product_Master!$C$2:$C$30,MATCH($H339,Product_Master!$A$2:$A$30,0)),0)</f>
        <v>818.95</v>
      </c>
      <c r="K339" s="5">
        <f>Sales_Data!E336</f>
        <v>12</v>
      </c>
      <c r="L339" s="5">
        <f>Sales_Data!F336</f>
        <v>9967</v>
      </c>
      <c r="M339" s="5">
        <f>Sales_Data!G336</f>
        <v>8515.5300000000007</v>
      </c>
      <c r="N339" s="5" t="str">
        <f>IFERROR(INDEX(Branch_Master!$B$2:$B$9,MATCH($B339,Branch_Master!$A$2:$A$9,0)),"Not Found")</f>
        <v>Chennai</v>
      </c>
      <c r="O339" s="5" t="str">
        <f>IFERROR(INDEX(Branch_Master!$C$2:$C$9,MATCH($B339,Branch_Master!$A$2:$A$9,0)),"Not Found")</f>
        <v>Tamil Nadu</v>
      </c>
      <c r="P339" s="5">
        <f>IFERROR(INDEX(Targets!$B$2:$B$9,MATCH($B339,Targets!$A$2:$A$9,0)),0)</f>
        <v>1910000</v>
      </c>
      <c r="Q339" s="5" t="str">
        <f t="shared" si="10"/>
        <v>Yes</v>
      </c>
      <c r="R339" s="5" t="str">
        <f t="shared" si="11"/>
        <v>May</v>
      </c>
    </row>
    <row r="340" spans="1:18" ht="15" customHeight="1" x14ac:dyDescent="0.3">
      <c r="A340" s="5" t="str">
        <f>Sales_Data!A337</f>
        <v>2025-05-06</v>
      </c>
      <c r="B340" s="5" t="str">
        <f>Sales_Data!B337</f>
        <v>Pune East</v>
      </c>
      <c r="C340" s="5" t="str">
        <f>Sales_Data!C337</f>
        <v>E034</v>
      </c>
      <c r="D340" s="5" t="str">
        <f>IFERROR(INDEX(Employee_Master!$B$2:$B$44,MATCH($C340,Employee_Master!$A$2:$A$44,0)),"Not Found")</f>
        <v>Elaine Thompson</v>
      </c>
      <c r="E340" s="5" t="str">
        <f>IFERROR(INDEX(Employee_Master!$C$2:$C$44,MATCH($C340,Employee_Master!$A$2:$A$44,0)),"Not Found")</f>
        <v>Marketing</v>
      </c>
      <c r="F340" s="5" t="str">
        <f>IFERROR(INDEX(Employee_Master!$D$2:$D$44,MATCH($C340,Employee_Master!$A$2:$A$44,0)),"Not Found")</f>
        <v>Jordan Matthews</v>
      </c>
      <c r="G340" s="5" t="str">
        <f>IFERROR(INDEX(Employee_Master!$E$2:$E$44,MATCH($C340,Employee_Master!$A$2:$A$44,0)),"Not Found")</f>
        <v>West</v>
      </c>
      <c r="H340" s="5" t="str">
        <f>Sales_Data!D337</f>
        <v>P024 - Hair Serum</v>
      </c>
      <c r="I340" s="5" t="str">
        <f>IFERROR(INDEX(Product_Master!$B$2:$B$30,MATCH($H340,Product_Master!$A$2:$A$30,0)),"Invalid Product Code")</f>
        <v>Beauty</v>
      </c>
      <c r="J340" s="5">
        <f>IFERROR(INDEX(Product_Master!$C$2:$C$30,MATCH($H340,Product_Master!$A$2:$A$30,0)),0)</f>
        <v>1457.31</v>
      </c>
      <c r="K340" s="5">
        <f>Sales_Data!E337</f>
        <v>11</v>
      </c>
      <c r="L340" s="5">
        <f>Sales_Data!F337</f>
        <v>15022.76</v>
      </c>
      <c r="M340" s="5">
        <f>Sales_Data!G337</f>
        <v>15517.62</v>
      </c>
      <c r="N340" s="5" t="str">
        <f>IFERROR(INDEX(Branch_Master!$B$2:$B$9,MATCH($B340,Branch_Master!$A$2:$A$9,0)),"Not Found")</f>
        <v>Pune</v>
      </c>
      <c r="O340" s="5" t="str">
        <f>IFERROR(INDEX(Branch_Master!$C$2:$C$9,MATCH($B340,Branch_Master!$A$2:$A$9,0)),"Not Found")</f>
        <v>Maharashtra</v>
      </c>
      <c r="P340" s="5">
        <f>IFERROR(INDEX(Targets!$B$2:$B$9,MATCH($B340,Targets!$A$2:$A$9,0)),0)</f>
        <v>1250000</v>
      </c>
      <c r="Q340" s="5" t="str">
        <f t="shared" si="10"/>
        <v>No</v>
      </c>
      <c r="R340" s="5" t="str">
        <f t="shared" si="11"/>
        <v>May</v>
      </c>
    </row>
    <row r="341" spans="1:18" ht="15" customHeight="1" x14ac:dyDescent="0.3">
      <c r="A341" s="5" t="str">
        <f>Sales_Data!A338</f>
        <v>2025-05-06</v>
      </c>
      <c r="B341" s="5" t="str">
        <f>Sales_Data!B338</f>
        <v>Hyderabad Hitech</v>
      </c>
      <c r="C341" s="5" t="str">
        <f>Sales_Data!C338</f>
        <v>E014</v>
      </c>
      <c r="D341" s="5" t="str">
        <f>IFERROR(INDEX(Employee_Master!$B$2:$B$44,MATCH($C341,Employee_Master!$A$2:$A$44,0)),"Not Found")</f>
        <v>Brian Brown</v>
      </c>
      <c r="E341" s="5" t="str">
        <f>IFERROR(INDEX(Employee_Master!$C$2:$C$44,MATCH($C341,Employee_Master!$A$2:$A$44,0)),"Not Found")</f>
        <v>Marketing</v>
      </c>
      <c r="F341" s="5" t="str">
        <f>IFERROR(INDEX(Employee_Master!$D$2:$D$44,MATCH($C341,Employee_Master!$A$2:$A$44,0)),"Not Found")</f>
        <v>Anna Turner</v>
      </c>
      <c r="G341" s="5" t="str">
        <f>IFERROR(INDEX(Employee_Master!$E$2:$E$44,MATCH($C341,Employee_Master!$A$2:$A$44,0)),"Not Found")</f>
        <v>South</v>
      </c>
      <c r="H341" s="5" t="str">
        <f>Sales_Data!D338</f>
        <v>P028 - Football</v>
      </c>
      <c r="I341" s="5" t="str">
        <f>IFERROR(INDEX(Product_Master!$B$2:$B$30,MATCH($H341,Product_Master!$A$2:$A$30,0)),"Invalid Product Code")</f>
        <v>Sports</v>
      </c>
      <c r="J341" s="5">
        <f>IFERROR(INDEX(Product_Master!$C$2:$C$30,MATCH($H341,Product_Master!$A$2:$A$30,0)),0)</f>
        <v>314.25</v>
      </c>
      <c r="K341" s="5">
        <f>Sales_Data!E338</f>
        <v>6</v>
      </c>
      <c r="L341" s="5">
        <f>Sales_Data!F338</f>
        <v>1758.94</v>
      </c>
      <c r="M341" s="5">
        <f>Sales_Data!G338</f>
        <v>1690.33</v>
      </c>
      <c r="N341" s="5" t="str">
        <f>IFERROR(INDEX(Branch_Master!$B$2:$B$9,MATCH($B341,Branch_Master!$A$2:$A$9,0)),"Not Found")</f>
        <v>Hyderabad</v>
      </c>
      <c r="O341" s="5" t="str">
        <f>IFERROR(INDEX(Branch_Master!$C$2:$C$9,MATCH($B341,Branch_Master!$A$2:$A$9,0)),"Not Found")</f>
        <v>Telangana</v>
      </c>
      <c r="P341" s="5">
        <f>IFERROR(INDEX(Targets!$B$2:$B$9,MATCH($B341,Targets!$A$2:$A$9,0)),0)</f>
        <v>1210000</v>
      </c>
      <c r="Q341" s="5" t="str">
        <f t="shared" si="10"/>
        <v>Yes</v>
      </c>
      <c r="R341" s="5" t="str">
        <f t="shared" si="11"/>
        <v>May</v>
      </c>
    </row>
    <row r="342" spans="1:18" ht="15" customHeight="1" x14ac:dyDescent="0.3">
      <c r="A342" s="5" t="str">
        <f>Sales_Data!A339</f>
        <v>2025-05-06</v>
      </c>
      <c r="B342" s="5" t="str">
        <f>Sales_Data!B339</f>
        <v>Pune East</v>
      </c>
      <c r="C342" s="5" t="str">
        <f>Sales_Data!C339</f>
        <v>E022</v>
      </c>
      <c r="D342" s="5" t="str">
        <f>IFERROR(INDEX(Employee_Master!$B$2:$B$44,MATCH($C342,Employee_Master!$A$2:$A$44,0)),"Not Found")</f>
        <v>Cindy Green PhD</v>
      </c>
      <c r="E342" s="5" t="str">
        <f>IFERROR(INDEX(Employee_Master!$C$2:$C$44,MATCH($C342,Employee_Master!$A$2:$A$44,0)),"Not Found")</f>
        <v>Customer Support</v>
      </c>
      <c r="F342" s="5" t="str">
        <f>IFERROR(INDEX(Employee_Master!$D$2:$D$44,MATCH($C342,Employee_Master!$A$2:$A$44,0)),"Not Found")</f>
        <v>Jordan Matthews</v>
      </c>
      <c r="G342" s="5" t="str">
        <f>IFERROR(INDEX(Employee_Master!$E$2:$E$44,MATCH($C342,Employee_Master!$A$2:$A$44,0)),"Not Found")</f>
        <v>West</v>
      </c>
      <c r="H342" s="5" t="str">
        <f>Sales_Data!D339</f>
        <v>P020 - Green Tea Pack</v>
      </c>
      <c r="I342" s="5" t="str">
        <f>IFERROR(INDEX(Product_Master!$B$2:$B$30,MATCH($H342,Product_Master!$A$2:$A$30,0)),"Invalid Product Code")</f>
        <v>Grocery</v>
      </c>
      <c r="J342" s="5">
        <f>IFERROR(INDEX(Product_Master!$C$2:$C$30,MATCH($H342,Product_Master!$A$2:$A$30,0)),0)</f>
        <v>305.39</v>
      </c>
      <c r="K342" s="5">
        <f>Sales_Data!E339</f>
        <v>7</v>
      </c>
      <c r="L342" s="5">
        <f>Sales_Data!F339</f>
        <v>2118.7800000000002</v>
      </c>
      <c r="M342" s="5">
        <f>Sales_Data!G339</f>
        <v>1947.68</v>
      </c>
      <c r="N342" s="5" t="str">
        <f>IFERROR(INDEX(Branch_Master!$B$2:$B$9,MATCH($B342,Branch_Master!$A$2:$A$9,0)),"Not Found")</f>
        <v>Pune</v>
      </c>
      <c r="O342" s="5" t="str">
        <f>IFERROR(INDEX(Branch_Master!$C$2:$C$9,MATCH($B342,Branch_Master!$A$2:$A$9,0)),"Not Found")</f>
        <v>Maharashtra</v>
      </c>
      <c r="P342" s="5">
        <f>IFERROR(INDEX(Targets!$B$2:$B$9,MATCH($B342,Targets!$A$2:$A$9,0)),0)</f>
        <v>1250000</v>
      </c>
      <c r="Q342" s="5" t="str">
        <f t="shared" si="10"/>
        <v>Yes</v>
      </c>
      <c r="R342" s="5" t="str">
        <f t="shared" si="11"/>
        <v>May</v>
      </c>
    </row>
    <row r="343" spans="1:18" ht="15" customHeight="1" x14ac:dyDescent="0.3">
      <c r="A343" s="5" t="str">
        <f>Sales_Data!A340</f>
        <v>2025-05-06</v>
      </c>
      <c r="B343" s="5" t="str">
        <f>Sales_Data!B340</f>
        <v>Delhi NCR</v>
      </c>
      <c r="C343" s="5" t="str">
        <f>Sales_Data!C340</f>
        <v>E013</v>
      </c>
      <c r="D343" s="5" t="str">
        <f>IFERROR(INDEX(Employee_Master!$B$2:$B$44,MATCH($C343,Employee_Master!$A$2:$A$44,0)),"Not Found")</f>
        <v>Norma Wilson</v>
      </c>
      <c r="E343" s="5" t="str">
        <f>IFERROR(INDEX(Employee_Master!$C$2:$C$44,MATCH($C343,Employee_Master!$A$2:$A$44,0)),"Not Found")</f>
        <v>Customer Support</v>
      </c>
      <c r="F343" s="5" t="str">
        <f>IFERROR(INDEX(Employee_Master!$D$2:$D$44,MATCH($C343,Employee_Master!$A$2:$A$44,0)),"Not Found")</f>
        <v>William Oconnell</v>
      </c>
      <c r="G343" s="5" t="str">
        <f>IFERROR(INDEX(Employee_Master!$E$2:$E$44,MATCH($C343,Employee_Master!$A$2:$A$44,0)),"Not Found")</f>
        <v>North</v>
      </c>
      <c r="H343" s="5" t="str">
        <f>Sales_Data!D340</f>
        <v>P027 - Cricket Bat</v>
      </c>
      <c r="I343" s="5" t="str">
        <f>IFERROR(INDEX(Product_Master!$B$2:$B$30,MATCH($H343,Product_Master!$A$2:$A$30,0)),"Invalid Product Code")</f>
        <v>Sports</v>
      </c>
      <c r="J343" s="5">
        <f>IFERROR(INDEX(Product_Master!$C$2:$C$30,MATCH($H343,Product_Master!$A$2:$A$30,0)),0)</f>
        <v>822.7</v>
      </c>
      <c r="K343" s="5">
        <f>Sales_Data!E340</f>
        <v>8</v>
      </c>
      <c r="L343" s="5">
        <f>Sales_Data!F340</f>
        <v>6760.15</v>
      </c>
      <c r="M343" s="5">
        <f>Sales_Data!G340</f>
        <v>7099.93</v>
      </c>
      <c r="N343" s="5" t="str">
        <f>IFERROR(INDEX(Branch_Master!$B$2:$B$9,MATCH($B343,Branch_Master!$A$2:$A$9,0)),"Not Found")</f>
        <v>New Delhi</v>
      </c>
      <c r="O343" s="5" t="str">
        <f>IFERROR(INDEX(Branch_Master!$C$2:$C$9,MATCH($B343,Branch_Master!$A$2:$A$9,0)),"Not Found")</f>
        <v>Delhi</v>
      </c>
      <c r="P343" s="5">
        <f>IFERROR(INDEX(Targets!$B$2:$B$9,MATCH($B343,Targets!$A$2:$A$9,0)),0)</f>
        <v>2070000</v>
      </c>
      <c r="Q343" s="5" t="str">
        <f t="shared" si="10"/>
        <v>No</v>
      </c>
      <c r="R343" s="5" t="str">
        <f t="shared" si="11"/>
        <v>May</v>
      </c>
    </row>
    <row r="344" spans="1:18" ht="15" customHeight="1" x14ac:dyDescent="0.3">
      <c r="A344" s="5" t="str">
        <f>Sales_Data!A341</f>
        <v>2025-05-07</v>
      </c>
      <c r="B344" s="5" t="str">
        <f>Sales_Data!B341</f>
        <v>Delhi NCR</v>
      </c>
      <c r="C344" s="5" t="str">
        <f>Sales_Data!C341</f>
        <v>E031</v>
      </c>
      <c r="D344" s="5" t="str">
        <f>IFERROR(INDEX(Employee_Master!$B$2:$B$44,MATCH($C344,Employee_Master!$A$2:$A$44,0)),"Not Found")</f>
        <v>Jennifer Garcia</v>
      </c>
      <c r="E344" s="5" t="str">
        <f>IFERROR(INDEX(Employee_Master!$C$2:$C$44,MATCH($C344,Employee_Master!$A$2:$A$44,0)),"Not Found")</f>
        <v>Sales</v>
      </c>
      <c r="F344" s="5" t="str">
        <f>IFERROR(INDEX(Employee_Master!$D$2:$D$44,MATCH($C344,Employee_Master!$A$2:$A$44,0)),"Not Found")</f>
        <v>William Oconnell</v>
      </c>
      <c r="G344" s="5" t="str">
        <f>IFERROR(INDEX(Employee_Master!$E$2:$E$44,MATCH($C344,Employee_Master!$A$2:$A$44,0)),"Not Found")</f>
        <v>North</v>
      </c>
      <c r="H344" s="5" t="str">
        <f>Sales_Data!D341</f>
        <v>P027 - Cricket Bat</v>
      </c>
      <c r="I344" s="5" t="str">
        <f>IFERROR(INDEX(Product_Master!$B$2:$B$30,MATCH($H344,Product_Master!$A$2:$A$30,0)),"Invalid Product Code")</f>
        <v>Sports</v>
      </c>
      <c r="J344" s="5">
        <f>IFERROR(INDEX(Product_Master!$C$2:$C$30,MATCH($H344,Product_Master!$A$2:$A$30,0)),0)</f>
        <v>822.7</v>
      </c>
      <c r="K344" s="5">
        <f>Sales_Data!E341</f>
        <v>5</v>
      </c>
      <c r="L344" s="5">
        <f>Sales_Data!F341</f>
        <v>3874.75</v>
      </c>
      <c r="M344" s="5">
        <f>Sales_Data!G341</f>
        <v>4437.63</v>
      </c>
      <c r="N344" s="5" t="str">
        <f>IFERROR(INDEX(Branch_Master!$B$2:$B$9,MATCH($B344,Branch_Master!$A$2:$A$9,0)),"Not Found")</f>
        <v>New Delhi</v>
      </c>
      <c r="O344" s="5" t="str">
        <f>IFERROR(INDEX(Branch_Master!$C$2:$C$9,MATCH($B344,Branch_Master!$A$2:$A$9,0)),"Not Found")</f>
        <v>Delhi</v>
      </c>
      <c r="P344" s="5">
        <f>IFERROR(INDEX(Targets!$B$2:$B$9,MATCH($B344,Targets!$A$2:$A$9,0)),0)</f>
        <v>2070000</v>
      </c>
      <c r="Q344" s="5" t="str">
        <f t="shared" si="10"/>
        <v>No</v>
      </c>
      <c r="R344" s="5" t="str">
        <f t="shared" si="11"/>
        <v>May</v>
      </c>
    </row>
    <row r="345" spans="1:18" ht="15" customHeight="1" x14ac:dyDescent="0.3">
      <c r="A345" s="5" t="str">
        <f>Sales_Data!A342</f>
        <v>2025-05-07</v>
      </c>
      <c r="B345" s="5" t="str">
        <f>Sales_Data!B342</f>
        <v>Delhi NCR</v>
      </c>
      <c r="C345" s="5" t="str">
        <f>Sales_Data!C342</f>
        <v>E031</v>
      </c>
      <c r="D345" s="5" t="str">
        <f>IFERROR(INDEX(Employee_Master!$B$2:$B$44,MATCH($C345,Employee_Master!$A$2:$A$44,0)),"Not Found")</f>
        <v>Jennifer Garcia</v>
      </c>
      <c r="E345" s="5" t="str">
        <f>IFERROR(INDEX(Employee_Master!$C$2:$C$44,MATCH($C345,Employee_Master!$A$2:$A$44,0)),"Not Found")</f>
        <v>Sales</v>
      </c>
      <c r="F345" s="5" t="str">
        <f>IFERROR(INDEX(Employee_Master!$D$2:$D$44,MATCH($C345,Employee_Master!$A$2:$A$44,0)),"Not Found")</f>
        <v>William Oconnell</v>
      </c>
      <c r="G345" s="5" t="str">
        <f>IFERROR(INDEX(Employee_Master!$E$2:$E$44,MATCH($C345,Employee_Master!$A$2:$A$44,0)),"Not Found")</f>
        <v>North</v>
      </c>
      <c r="H345" s="5" t="str">
        <f>Sales_Data!D342</f>
        <v>P023 - Sunscreen SPF50</v>
      </c>
      <c r="I345" s="5" t="str">
        <f>IFERROR(INDEX(Product_Master!$B$2:$B$30,MATCH($H345,Product_Master!$A$2:$A$30,0)),"Invalid Product Code")</f>
        <v>Beauty</v>
      </c>
      <c r="J345" s="5">
        <f>IFERROR(INDEX(Product_Master!$C$2:$C$30,MATCH($H345,Product_Master!$A$2:$A$30,0)),0)</f>
        <v>818.95</v>
      </c>
      <c r="K345" s="5">
        <f>Sales_Data!E342</f>
        <v>11</v>
      </c>
      <c r="L345" s="5">
        <f>Sales_Data!F342</f>
        <v>9082.94</v>
      </c>
      <c r="M345" s="5">
        <f>Sales_Data!G342</f>
        <v>9063.2199999999993</v>
      </c>
      <c r="N345" s="5" t="str">
        <f>IFERROR(INDEX(Branch_Master!$B$2:$B$9,MATCH($B345,Branch_Master!$A$2:$A$9,0)),"Not Found")</f>
        <v>New Delhi</v>
      </c>
      <c r="O345" s="5" t="str">
        <f>IFERROR(INDEX(Branch_Master!$C$2:$C$9,MATCH($B345,Branch_Master!$A$2:$A$9,0)),"Not Found")</f>
        <v>Delhi</v>
      </c>
      <c r="P345" s="5">
        <f>IFERROR(INDEX(Targets!$B$2:$B$9,MATCH($B345,Targets!$A$2:$A$9,0)),0)</f>
        <v>2070000</v>
      </c>
      <c r="Q345" s="5" t="str">
        <f t="shared" si="10"/>
        <v>Yes</v>
      </c>
      <c r="R345" s="5" t="str">
        <f t="shared" si="11"/>
        <v>May</v>
      </c>
    </row>
    <row r="346" spans="1:18" ht="15" customHeight="1" x14ac:dyDescent="0.3">
      <c r="A346" s="5" t="str">
        <f>Sales_Data!A343</f>
        <v>2025-05-07</v>
      </c>
      <c r="B346" s="5" t="str">
        <f>Sales_Data!B343</f>
        <v>Kolkata Central</v>
      </c>
      <c r="C346" s="5" t="str">
        <f>Sales_Data!C343</f>
        <v>E029</v>
      </c>
      <c r="D346" s="5" t="str">
        <f>IFERROR(INDEX(Employee_Master!$B$2:$B$44,MATCH($C346,Employee_Master!$A$2:$A$44,0)),"Not Found")</f>
        <v>Patrick Shepard</v>
      </c>
      <c r="E346" s="5" t="str">
        <f>IFERROR(INDEX(Employee_Master!$C$2:$C$44,MATCH($C346,Employee_Master!$A$2:$A$44,0)),"Not Found")</f>
        <v>Sales</v>
      </c>
      <c r="F346" s="5" t="str">
        <f>IFERROR(INDEX(Employee_Master!$D$2:$D$44,MATCH($C346,Employee_Master!$A$2:$A$44,0)),"Not Found")</f>
        <v>Lisa Moore</v>
      </c>
      <c r="G346" s="5" t="str">
        <f>IFERROR(INDEX(Employee_Master!$E$2:$E$44,MATCH($C346,Employee_Master!$A$2:$A$44,0)),"Not Found")</f>
        <v>East</v>
      </c>
      <c r="H346" s="5" t="str">
        <f>Sales_Data!D343</f>
        <v>P002 - Smart Watch</v>
      </c>
      <c r="I346" s="5" t="str">
        <f>IFERROR(INDEX(Product_Master!$B$2:$B$30,MATCH($H346,Product_Master!$A$2:$A$30,0)),"Invalid Product Code")</f>
        <v>Electronics</v>
      </c>
      <c r="J346" s="5">
        <f>IFERROR(INDEX(Product_Master!$C$2:$C$30,MATCH($H346,Product_Master!$A$2:$A$30,0)),0)</f>
        <v>403.33</v>
      </c>
      <c r="K346" s="5">
        <f>Sales_Data!E343</f>
        <v>4</v>
      </c>
      <c r="L346" s="5">
        <f>Sales_Data!F343</f>
        <v>1642</v>
      </c>
      <c r="M346" s="5">
        <f>Sales_Data!G343</f>
        <v>1453.7</v>
      </c>
      <c r="N346" s="5" t="str">
        <f>IFERROR(INDEX(Branch_Master!$B$2:$B$9,MATCH($B346,Branch_Master!$A$2:$A$9,0)),"Not Found")</f>
        <v>Kolkata</v>
      </c>
      <c r="O346" s="5" t="str">
        <f>IFERROR(INDEX(Branch_Master!$C$2:$C$9,MATCH($B346,Branch_Master!$A$2:$A$9,0)),"Not Found")</f>
        <v>West Bengal</v>
      </c>
      <c r="P346" s="5">
        <f>IFERROR(INDEX(Targets!$B$2:$B$9,MATCH($B346,Targets!$A$2:$A$9,0)),0)</f>
        <v>1910000</v>
      </c>
      <c r="Q346" s="5" t="str">
        <f t="shared" si="10"/>
        <v>Yes</v>
      </c>
      <c r="R346" s="5" t="str">
        <f t="shared" si="11"/>
        <v>May</v>
      </c>
    </row>
    <row r="347" spans="1:18" ht="15" customHeight="1" x14ac:dyDescent="0.3">
      <c r="A347" s="5" t="str">
        <f>Sales_Data!A344</f>
        <v>2025-05-07</v>
      </c>
      <c r="B347" s="5" t="str">
        <f>Sales_Data!B344</f>
        <v>Hyderabad Hitech</v>
      </c>
      <c r="C347" s="5" t="str">
        <f>Sales_Data!C344</f>
        <v>E011</v>
      </c>
      <c r="D347" s="5" t="str">
        <f>IFERROR(INDEX(Employee_Master!$B$2:$B$44,MATCH($C347,Employee_Master!$A$2:$A$44,0)),"Not Found")</f>
        <v>Mark Osborne</v>
      </c>
      <c r="E347" s="5" t="str">
        <f>IFERROR(INDEX(Employee_Master!$C$2:$C$44,MATCH($C347,Employee_Master!$A$2:$A$44,0)),"Not Found")</f>
        <v>Marketing</v>
      </c>
      <c r="F347" s="5" t="str">
        <f>IFERROR(INDEX(Employee_Master!$D$2:$D$44,MATCH($C347,Employee_Master!$A$2:$A$44,0)),"Not Found")</f>
        <v>Anna Turner</v>
      </c>
      <c r="G347" s="5" t="str">
        <f>IFERROR(INDEX(Employee_Master!$E$2:$E$44,MATCH($C347,Employee_Master!$A$2:$A$44,0)),"Not Found")</f>
        <v>South</v>
      </c>
      <c r="H347" s="5" t="str">
        <f>Sales_Data!D344</f>
        <v>P004 - Power Bank</v>
      </c>
      <c r="I347" s="5" t="str">
        <f>IFERROR(INDEX(Product_Master!$B$2:$B$30,MATCH($H347,Product_Master!$A$2:$A$30,0)),"Invalid Product Code")</f>
        <v>Electronics</v>
      </c>
      <c r="J347" s="5">
        <f>IFERROR(INDEX(Product_Master!$C$2:$C$30,MATCH($H347,Product_Master!$A$2:$A$30,0)),0)</f>
        <v>76.91</v>
      </c>
      <c r="K347" s="5">
        <f>Sales_Data!E344</f>
        <v>4</v>
      </c>
      <c r="L347" s="5">
        <f>Sales_Data!F344</f>
        <v>324.66000000000003</v>
      </c>
      <c r="M347" s="5">
        <f>Sales_Data!G344</f>
        <v>274.60000000000002</v>
      </c>
      <c r="N347" s="5" t="str">
        <f>IFERROR(INDEX(Branch_Master!$B$2:$B$9,MATCH($B347,Branch_Master!$A$2:$A$9,0)),"Not Found")</f>
        <v>Hyderabad</v>
      </c>
      <c r="O347" s="5" t="str">
        <f>IFERROR(INDEX(Branch_Master!$C$2:$C$9,MATCH($B347,Branch_Master!$A$2:$A$9,0)),"Not Found")</f>
        <v>Telangana</v>
      </c>
      <c r="P347" s="5">
        <f>IFERROR(INDEX(Targets!$B$2:$B$9,MATCH($B347,Targets!$A$2:$A$9,0)),0)</f>
        <v>1210000</v>
      </c>
      <c r="Q347" s="5" t="str">
        <f t="shared" si="10"/>
        <v>Yes</v>
      </c>
      <c r="R347" s="5" t="str">
        <f t="shared" si="11"/>
        <v>May</v>
      </c>
    </row>
    <row r="348" spans="1:18" ht="15" customHeight="1" x14ac:dyDescent="0.3">
      <c r="A348" s="5" t="str">
        <f>Sales_Data!A345</f>
        <v>2025-05-08</v>
      </c>
      <c r="B348" s="5" t="str">
        <f>Sales_Data!B345</f>
        <v>Chennai South</v>
      </c>
      <c r="C348" s="5" t="str">
        <f>Sales_Data!C345</f>
        <v>E015</v>
      </c>
      <c r="D348" s="5" t="str">
        <f>IFERROR(INDEX(Employee_Master!$B$2:$B$44,MATCH($C348,Employee_Master!$A$2:$A$44,0)),"Not Found")</f>
        <v>Cassandra Hansen</v>
      </c>
      <c r="E348" s="5" t="str">
        <f>IFERROR(INDEX(Employee_Master!$C$2:$C$44,MATCH($C348,Employee_Master!$A$2:$A$44,0)),"Not Found")</f>
        <v>Customer Support</v>
      </c>
      <c r="F348" s="5" t="str">
        <f>IFERROR(INDEX(Employee_Master!$D$2:$D$44,MATCH($C348,Employee_Master!$A$2:$A$44,0)),"Not Found")</f>
        <v>Robert Steele</v>
      </c>
      <c r="G348" s="5" t="str">
        <f>IFERROR(INDEX(Employee_Master!$E$2:$E$44,MATCH($C348,Employee_Master!$A$2:$A$44,0)),"Not Found")</f>
        <v>South</v>
      </c>
      <c r="H348" s="5" t="str">
        <f>Sales_Data!D345</f>
        <v>P019 - Organic Honey</v>
      </c>
      <c r="I348" s="5" t="str">
        <f>IFERROR(INDEX(Product_Master!$B$2:$B$30,MATCH($H348,Product_Master!$A$2:$A$30,0)),"Invalid Product Code")</f>
        <v>Grocery</v>
      </c>
      <c r="J348" s="5">
        <f>IFERROR(INDEX(Product_Master!$C$2:$C$30,MATCH($H348,Product_Master!$A$2:$A$30,0)),0)</f>
        <v>482.15</v>
      </c>
      <c r="K348" s="5">
        <f>Sales_Data!E345</f>
        <v>6</v>
      </c>
      <c r="L348" s="5">
        <f>Sales_Data!F345</f>
        <v>2743.24</v>
      </c>
      <c r="M348" s="5">
        <f>Sales_Data!G345</f>
        <v>2743.19</v>
      </c>
      <c r="N348" s="5" t="str">
        <f>IFERROR(INDEX(Branch_Master!$B$2:$B$9,MATCH($B348,Branch_Master!$A$2:$A$9,0)),"Not Found")</f>
        <v>Chennai</v>
      </c>
      <c r="O348" s="5" t="str">
        <f>IFERROR(INDEX(Branch_Master!$C$2:$C$9,MATCH($B348,Branch_Master!$A$2:$A$9,0)),"Not Found")</f>
        <v>Tamil Nadu</v>
      </c>
      <c r="P348" s="5">
        <f>IFERROR(INDEX(Targets!$B$2:$B$9,MATCH($B348,Targets!$A$2:$A$9,0)),0)</f>
        <v>1910000</v>
      </c>
      <c r="Q348" s="5" t="str">
        <f t="shared" si="10"/>
        <v>Yes</v>
      </c>
      <c r="R348" s="5" t="str">
        <f t="shared" si="11"/>
        <v>May</v>
      </c>
    </row>
    <row r="349" spans="1:18" ht="15" customHeight="1" x14ac:dyDescent="0.3">
      <c r="A349" s="5" t="str">
        <f>Sales_Data!A346</f>
        <v>2025-05-08</v>
      </c>
      <c r="B349" s="5" t="str">
        <f>Sales_Data!B346</f>
        <v>Delhi NCR</v>
      </c>
      <c r="C349" s="5" t="str">
        <f>Sales_Data!C346</f>
        <v>E013</v>
      </c>
      <c r="D349" s="5" t="str">
        <f>IFERROR(INDEX(Employee_Master!$B$2:$B$44,MATCH($C349,Employee_Master!$A$2:$A$44,0)),"Not Found")</f>
        <v>Norma Wilson</v>
      </c>
      <c r="E349" s="5" t="str">
        <f>IFERROR(INDEX(Employee_Master!$C$2:$C$44,MATCH($C349,Employee_Master!$A$2:$A$44,0)),"Not Found")</f>
        <v>Customer Support</v>
      </c>
      <c r="F349" s="5" t="str">
        <f>IFERROR(INDEX(Employee_Master!$D$2:$D$44,MATCH($C349,Employee_Master!$A$2:$A$44,0)),"Not Found")</f>
        <v>William Oconnell</v>
      </c>
      <c r="G349" s="5" t="str">
        <f>IFERROR(INDEX(Employee_Master!$E$2:$E$44,MATCH($C349,Employee_Master!$A$2:$A$44,0)),"Not Found")</f>
        <v>North</v>
      </c>
      <c r="H349" s="5" t="str">
        <f>Sales_Data!D346</f>
        <v>P008 - Denim Jeans</v>
      </c>
      <c r="I349" s="5" t="str">
        <f>IFERROR(INDEX(Product_Master!$B$2:$B$30,MATCH($H349,Product_Master!$A$2:$A$30,0)),"Invalid Product Code")</f>
        <v>Apparel</v>
      </c>
      <c r="J349" s="5">
        <f>IFERROR(INDEX(Product_Master!$C$2:$C$30,MATCH($H349,Product_Master!$A$2:$A$30,0)),0)</f>
        <v>614.48</v>
      </c>
      <c r="K349" s="5">
        <f>Sales_Data!E346</f>
        <v>5</v>
      </c>
      <c r="L349" s="5">
        <f>Sales_Data!F346</f>
        <v>2949.34</v>
      </c>
      <c r="M349" s="5">
        <f>Sales_Data!G346</f>
        <v>2625.36</v>
      </c>
      <c r="N349" s="5" t="str">
        <f>IFERROR(INDEX(Branch_Master!$B$2:$B$9,MATCH($B349,Branch_Master!$A$2:$A$9,0)),"Not Found")</f>
        <v>New Delhi</v>
      </c>
      <c r="O349" s="5" t="str">
        <f>IFERROR(INDEX(Branch_Master!$C$2:$C$9,MATCH($B349,Branch_Master!$A$2:$A$9,0)),"Not Found")</f>
        <v>Delhi</v>
      </c>
      <c r="P349" s="5">
        <f>IFERROR(INDEX(Targets!$B$2:$B$9,MATCH($B349,Targets!$A$2:$A$9,0)),0)</f>
        <v>2070000</v>
      </c>
      <c r="Q349" s="5" t="str">
        <f t="shared" si="10"/>
        <v>Yes</v>
      </c>
      <c r="R349" s="5" t="str">
        <f t="shared" si="11"/>
        <v>May</v>
      </c>
    </row>
    <row r="350" spans="1:18" ht="15" customHeight="1" x14ac:dyDescent="0.3">
      <c r="A350" s="5" t="str">
        <f>Sales_Data!A347</f>
        <v>2025-05-09</v>
      </c>
      <c r="B350" s="5" t="str">
        <f>Sales_Data!B347</f>
        <v>Kolkata Central</v>
      </c>
      <c r="C350" s="5" t="str">
        <f>Sales_Data!C347</f>
        <v>E029</v>
      </c>
      <c r="D350" s="5" t="str">
        <f>IFERROR(INDEX(Employee_Master!$B$2:$B$44,MATCH($C350,Employee_Master!$A$2:$A$44,0)),"Not Found")</f>
        <v>Patrick Shepard</v>
      </c>
      <c r="E350" s="5" t="str">
        <f>IFERROR(INDEX(Employee_Master!$C$2:$C$44,MATCH($C350,Employee_Master!$A$2:$A$44,0)),"Not Found")</f>
        <v>Sales</v>
      </c>
      <c r="F350" s="5" t="str">
        <f>IFERROR(INDEX(Employee_Master!$D$2:$D$44,MATCH($C350,Employee_Master!$A$2:$A$44,0)),"Not Found")</f>
        <v>Lisa Moore</v>
      </c>
      <c r="G350" s="5" t="str">
        <f>IFERROR(INDEX(Employee_Master!$E$2:$E$44,MATCH($C350,Employee_Master!$A$2:$A$44,0)),"Not Found")</f>
        <v>East</v>
      </c>
      <c r="H350" s="5" t="str">
        <f>Sales_Data!D347</f>
        <v>P009 - Formal Shirt</v>
      </c>
      <c r="I350" s="5" t="str">
        <f>IFERROR(INDEX(Product_Master!$B$2:$B$30,MATCH($H350,Product_Master!$A$2:$A$30,0)),"Invalid Product Code")</f>
        <v>Apparel</v>
      </c>
      <c r="J350" s="5">
        <f>IFERROR(INDEX(Product_Master!$C$2:$C$30,MATCH($H350,Product_Master!$A$2:$A$30,0)),0)</f>
        <v>661.65</v>
      </c>
      <c r="K350" s="5">
        <f>Sales_Data!E347</f>
        <v>6</v>
      </c>
      <c r="L350" s="5">
        <f>Sales_Data!F347</f>
        <v>3653.95</v>
      </c>
      <c r="M350" s="5">
        <f>Sales_Data!G347</f>
        <v>4422.59</v>
      </c>
      <c r="N350" s="5" t="str">
        <f>IFERROR(INDEX(Branch_Master!$B$2:$B$9,MATCH($B350,Branch_Master!$A$2:$A$9,0)),"Not Found")</f>
        <v>Kolkata</v>
      </c>
      <c r="O350" s="5" t="str">
        <f>IFERROR(INDEX(Branch_Master!$C$2:$C$9,MATCH($B350,Branch_Master!$A$2:$A$9,0)),"Not Found")</f>
        <v>West Bengal</v>
      </c>
      <c r="P350" s="5">
        <f>IFERROR(INDEX(Targets!$B$2:$B$9,MATCH($B350,Targets!$A$2:$A$9,0)),0)</f>
        <v>1910000</v>
      </c>
      <c r="Q350" s="5" t="str">
        <f t="shared" si="10"/>
        <v>No</v>
      </c>
      <c r="R350" s="5" t="str">
        <f t="shared" si="11"/>
        <v>May</v>
      </c>
    </row>
    <row r="351" spans="1:18" ht="15" customHeight="1" x14ac:dyDescent="0.3">
      <c r="A351" s="5" t="str">
        <f>Sales_Data!A348</f>
        <v>2025-05-10</v>
      </c>
      <c r="B351" s="5" t="str">
        <f>Sales_Data!B348</f>
        <v>Chennai South</v>
      </c>
      <c r="C351" s="5" t="str">
        <f>Sales_Data!C348</f>
        <v>E019</v>
      </c>
      <c r="D351" s="5" t="str">
        <f>IFERROR(INDEX(Employee_Master!$B$2:$B$44,MATCH($C351,Employee_Master!$A$2:$A$44,0)),"Not Found")</f>
        <v>Regina Torres</v>
      </c>
      <c r="E351" s="5" t="str">
        <f>IFERROR(INDEX(Employee_Master!$C$2:$C$44,MATCH($C351,Employee_Master!$A$2:$A$44,0)),"Not Found")</f>
        <v>Operations</v>
      </c>
      <c r="F351" s="5" t="str">
        <f>IFERROR(INDEX(Employee_Master!$D$2:$D$44,MATCH($C351,Employee_Master!$A$2:$A$44,0)),"Not Found")</f>
        <v>Robert Steele</v>
      </c>
      <c r="G351" s="5" t="str">
        <f>IFERROR(INDEX(Employee_Master!$E$2:$E$44,MATCH($C351,Employee_Master!$A$2:$A$44,0)),"Not Found")</f>
        <v>South</v>
      </c>
      <c r="H351" s="5" t="str">
        <f>Sales_Data!D348</f>
        <v>P023 - Sunscreen SPF50</v>
      </c>
      <c r="I351" s="5" t="str">
        <f>IFERROR(INDEX(Product_Master!$B$2:$B$30,MATCH($H351,Product_Master!$A$2:$A$30,0)),"Invalid Product Code")</f>
        <v>Beauty</v>
      </c>
      <c r="J351" s="5">
        <f>IFERROR(INDEX(Product_Master!$C$2:$C$30,MATCH($H351,Product_Master!$A$2:$A$30,0)),0)</f>
        <v>818.95</v>
      </c>
      <c r="K351" s="5">
        <f>Sales_Data!E348</f>
        <v>11</v>
      </c>
      <c r="L351" s="5">
        <f>Sales_Data!F348</f>
        <v>8696.51</v>
      </c>
      <c r="M351" s="5">
        <f>Sales_Data!G348</f>
        <v>8559.4</v>
      </c>
      <c r="N351" s="5" t="str">
        <f>IFERROR(INDEX(Branch_Master!$B$2:$B$9,MATCH($B351,Branch_Master!$A$2:$A$9,0)),"Not Found")</f>
        <v>Chennai</v>
      </c>
      <c r="O351" s="5" t="str">
        <f>IFERROR(INDEX(Branch_Master!$C$2:$C$9,MATCH($B351,Branch_Master!$A$2:$A$9,0)),"Not Found")</f>
        <v>Tamil Nadu</v>
      </c>
      <c r="P351" s="5">
        <f>IFERROR(INDEX(Targets!$B$2:$B$9,MATCH($B351,Targets!$A$2:$A$9,0)),0)</f>
        <v>1910000</v>
      </c>
      <c r="Q351" s="5" t="str">
        <f t="shared" si="10"/>
        <v>Yes</v>
      </c>
      <c r="R351" s="5" t="str">
        <f t="shared" si="11"/>
        <v>May</v>
      </c>
    </row>
    <row r="352" spans="1:18" ht="15" customHeight="1" x14ac:dyDescent="0.3">
      <c r="A352" s="5" t="str">
        <f>Sales_Data!A349</f>
        <v>2025-05-10</v>
      </c>
      <c r="B352" s="5" t="str">
        <f>Sales_Data!B349</f>
        <v>Pune East</v>
      </c>
      <c r="C352" s="5" t="str">
        <f>Sales_Data!C349</f>
        <v>E034</v>
      </c>
      <c r="D352" s="5" t="str">
        <f>IFERROR(INDEX(Employee_Master!$B$2:$B$44,MATCH($C352,Employee_Master!$A$2:$A$44,0)),"Not Found")</f>
        <v>Elaine Thompson</v>
      </c>
      <c r="E352" s="5" t="str">
        <f>IFERROR(INDEX(Employee_Master!$C$2:$C$44,MATCH($C352,Employee_Master!$A$2:$A$44,0)),"Not Found")</f>
        <v>Marketing</v>
      </c>
      <c r="F352" s="5" t="str">
        <f>IFERROR(INDEX(Employee_Master!$D$2:$D$44,MATCH($C352,Employee_Master!$A$2:$A$44,0)),"Not Found")</f>
        <v>Jordan Matthews</v>
      </c>
      <c r="G352" s="5" t="str">
        <f>IFERROR(INDEX(Employee_Master!$E$2:$E$44,MATCH($C352,Employee_Master!$A$2:$A$44,0)),"Not Found")</f>
        <v>West</v>
      </c>
      <c r="H352" s="5" t="str">
        <f>Sales_Data!D349</f>
        <v>P015 - Water Bottle</v>
      </c>
      <c r="I352" s="5" t="str">
        <f>IFERROR(INDEX(Product_Master!$B$2:$B$30,MATCH($H352,Product_Master!$A$2:$A$30,0)),"Invalid Product Code")</f>
        <v>Home &amp; Kitchen</v>
      </c>
      <c r="J352" s="5">
        <f>IFERROR(INDEX(Product_Master!$C$2:$C$30,MATCH($H352,Product_Master!$A$2:$A$30,0)),0)</f>
        <v>197.57</v>
      </c>
      <c r="K352" s="5">
        <f>Sales_Data!E349</f>
        <v>4</v>
      </c>
      <c r="L352" s="5">
        <f>Sales_Data!F349</f>
        <v>751.22</v>
      </c>
      <c r="M352" s="5">
        <f>Sales_Data!G349</f>
        <v>740.68</v>
      </c>
      <c r="N352" s="5" t="str">
        <f>IFERROR(INDEX(Branch_Master!$B$2:$B$9,MATCH($B352,Branch_Master!$A$2:$A$9,0)),"Not Found")</f>
        <v>Pune</v>
      </c>
      <c r="O352" s="5" t="str">
        <f>IFERROR(INDEX(Branch_Master!$C$2:$C$9,MATCH($B352,Branch_Master!$A$2:$A$9,0)),"Not Found")</f>
        <v>Maharashtra</v>
      </c>
      <c r="P352" s="5">
        <f>IFERROR(INDEX(Targets!$B$2:$B$9,MATCH($B352,Targets!$A$2:$A$9,0)),0)</f>
        <v>1250000</v>
      </c>
      <c r="Q352" s="5" t="str">
        <f t="shared" si="10"/>
        <v>Yes</v>
      </c>
      <c r="R352" s="5" t="str">
        <f t="shared" si="11"/>
        <v>May</v>
      </c>
    </row>
    <row r="353" spans="1:18" ht="15" customHeight="1" x14ac:dyDescent="0.3">
      <c r="A353" s="5" t="str">
        <f>Sales_Data!A350</f>
        <v>2025-05-10</v>
      </c>
      <c r="B353" s="5" t="str">
        <f>Sales_Data!B350</f>
        <v>Ahmedabad West</v>
      </c>
      <c r="C353" s="5" t="str">
        <f>Sales_Data!C350</f>
        <v>E039</v>
      </c>
      <c r="D353" s="5" t="str">
        <f>IFERROR(INDEX(Employee_Master!$B$2:$B$44,MATCH($C353,Employee_Master!$A$2:$A$44,0)),"Not Found")</f>
        <v>Christopher Wood</v>
      </c>
      <c r="E353" s="5" t="str">
        <f>IFERROR(INDEX(Employee_Master!$C$2:$C$44,MATCH($C353,Employee_Master!$A$2:$A$44,0)),"Not Found")</f>
        <v>Marketing</v>
      </c>
      <c r="F353" s="5" t="str">
        <f>IFERROR(INDEX(Employee_Master!$D$2:$D$44,MATCH($C353,Employee_Master!$A$2:$A$44,0)),"Not Found")</f>
        <v>Joseph Brown</v>
      </c>
      <c r="G353" s="5" t="str">
        <f>IFERROR(INDEX(Employee_Master!$E$2:$E$44,MATCH($C353,Employee_Master!$A$2:$A$44,0)),"Not Found")</f>
        <v>West</v>
      </c>
      <c r="H353" s="5" t="str">
        <f>Sales_Data!D350</f>
        <v>P029 - Dumbbell Set 10kg</v>
      </c>
      <c r="I353" s="5" t="str">
        <f>IFERROR(INDEX(Product_Master!$B$2:$B$30,MATCH($H353,Product_Master!$A$2:$A$30,0)),"Invalid Product Code")</f>
        <v>Sports</v>
      </c>
      <c r="J353" s="5">
        <f>IFERROR(INDEX(Product_Master!$C$2:$C$30,MATCH($H353,Product_Master!$A$2:$A$30,0)),0)</f>
        <v>435</v>
      </c>
      <c r="K353" s="5">
        <f>Sales_Data!E350</f>
        <v>2</v>
      </c>
      <c r="L353" s="5">
        <f>Sales_Data!F350</f>
        <v>858.37</v>
      </c>
      <c r="M353" s="5">
        <f>Sales_Data!G350</f>
        <v>780.16</v>
      </c>
      <c r="N353" s="5" t="str">
        <f>IFERROR(INDEX(Branch_Master!$B$2:$B$9,MATCH($B353,Branch_Master!$A$2:$A$9,0)),"Not Found")</f>
        <v>Ahmedabad</v>
      </c>
      <c r="O353" s="5" t="str">
        <f>IFERROR(INDEX(Branch_Master!$C$2:$C$9,MATCH($B353,Branch_Master!$A$2:$A$9,0)),"Not Found")</f>
        <v>Gujarat</v>
      </c>
      <c r="P353" s="5">
        <f>IFERROR(INDEX(Targets!$B$2:$B$9,MATCH($B353,Targets!$A$2:$A$9,0)),0)</f>
        <v>1590000</v>
      </c>
      <c r="Q353" s="5" t="str">
        <f t="shared" si="10"/>
        <v>Yes</v>
      </c>
      <c r="R353" s="5" t="str">
        <f t="shared" si="11"/>
        <v>May</v>
      </c>
    </row>
    <row r="354" spans="1:18" ht="15" customHeight="1" x14ac:dyDescent="0.3">
      <c r="A354" s="5" t="str">
        <f>Sales_Data!A351</f>
        <v>2025-05-11</v>
      </c>
      <c r="B354" s="5" t="str">
        <f>Sales_Data!B351</f>
        <v>Ahmedabad West</v>
      </c>
      <c r="C354" s="5" t="str">
        <f>Sales_Data!C351</f>
        <v>E039</v>
      </c>
      <c r="D354" s="5" t="str">
        <f>IFERROR(INDEX(Employee_Master!$B$2:$B$44,MATCH($C354,Employee_Master!$A$2:$A$44,0)),"Not Found")</f>
        <v>Christopher Wood</v>
      </c>
      <c r="E354" s="5" t="str">
        <f>IFERROR(INDEX(Employee_Master!$C$2:$C$44,MATCH($C354,Employee_Master!$A$2:$A$44,0)),"Not Found")</f>
        <v>Marketing</v>
      </c>
      <c r="F354" s="5" t="str">
        <f>IFERROR(INDEX(Employee_Master!$D$2:$D$44,MATCH($C354,Employee_Master!$A$2:$A$44,0)),"Not Found")</f>
        <v>Joseph Brown</v>
      </c>
      <c r="G354" s="5" t="str">
        <f>IFERROR(INDEX(Employee_Master!$E$2:$E$44,MATCH($C354,Employee_Master!$A$2:$A$44,0)),"Not Found")</f>
        <v>West</v>
      </c>
      <c r="H354" s="5" t="str">
        <f>Sales_Data!D351</f>
        <v>P027 - Cricket Bat</v>
      </c>
      <c r="I354" s="5" t="str">
        <f>IFERROR(INDEX(Product_Master!$B$2:$B$30,MATCH($H354,Product_Master!$A$2:$A$30,0)),"Invalid Product Code")</f>
        <v>Sports</v>
      </c>
      <c r="J354" s="5">
        <f>IFERROR(INDEX(Product_Master!$C$2:$C$30,MATCH($H354,Product_Master!$A$2:$A$30,0)),0)</f>
        <v>822.7</v>
      </c>
      <c r="K354" s="5">
        <f>Sales_Data!E351</f>
        <v>6</v>
      </c>
      <c r="L354" s="5">
        <f>Sales_Data!F351</f>
        <v>5371.52</v>
      </c>
      <c r="M354" s="5">
        <f>Sales_Data!G351</f>
        <v>4280.7299999999996</v>
      </c>
      <c r="N354" s="5" t="str">
        <f>IFERROR(INDEX(Branch_Master!$B$2:$B$9,MATCH($B354,Branch_Master!$A$2:$A$9,0)),"Not Found")</f>
        <v>Ahmedabad</v>
      </c>
      <c r="O354" s="5" t="str">
        <f>IFERROR(INDEX(Branch_Master!$C$2:$C$9,MATCH($B354,Branch_Master!$A$2:$A$9,0)),"Not Found")</f>
        <v>Gujarat</v>
      </c>
      <c r="P354" s="5">
        <f>IFERROR(INDEX(Targets!$B$2:$B$9,MATCH($B354,Targets!$A$2:$A$9,0)),0)</f>
        <v>1590000</v>
      </c>
      <c r="Q354" s="5" t="str">
        <f t="shared" si="10"/>
        <v>Yes</v>
      </c>
      <c r="R354" s="5" t="str">
        <f t="shared" si="11"/>
        <v>May</v>
      </c>
    </row>
    <row r="355" spans="1:18" ht="15" customHeight="1" x14ac:dyDescent="0.3">
      <c r="A355" s="5" t="str">
        <f>Sales_Data!A352</f>
        <v>2025-05-12</v>
      </c>
      <c r="B355" s="5" t="str">
        <f>Sales_Data!B352</f>
        <v>Kolkata Central</v>
      </c>
      <c r="C355" s="5" t="str">
        <f>Sales_Data!C352</f>
        <v>E029</v>
      </c>
      <c r="D355" s="5" t="str">
        <f>IFERROR(INDEX(Employee_Master!$B$2:$B$44,MATCH($C355,Employee_Master!$A$2:$A$44,0)),"Not Found")</f>
        <v>Patrick Shepard</v>
      </c>
      <c r="E355" s="5" t="str">
        <f>IFERROR(INDEX(Employee_Master!$C$2:$C$44,MATCH($C355,Employee_Master!$A$2:$A$44,0)),"Not Found")</f>
        <v>Sales</v>
      </c>
      <c r="F355" s="5" t="str">
        <f>IFERROR(INDEX(Employee_Master!$D$2:$D$44,MATCH($C355,Employee_Master!$A$2:$A$44,0)),"Not Found")</f>
        <v>Lisa Moore</v>
      </c>
      <c r="G355" s="5" t="str">
        <f>IFERROR(INDEX(Employee_Master!$E$2:$E$44,MATCH($C355,Employee_Master!$A$2:$A$44,0)),"Not Found")</f>
        <v>East</v>
      </c>
      <c r="H355" s="5" t="str">
        <f>Sales_Data!D352</f>
        <v>P010 - Running Shoes</v>
      </c>
      <c r="I355" s="5" t="str">
        <f>IFERROR(INDEX(Product_Master!$B$2:$B$30,MATCH($H355,Product_Master!$A$2:$A$30,0)),"Invalid Product Code")</f>
        <v>Apparel</v>
      </c>
      <c r="J355" s="5">
        <f>IFERROR(INDEX(Product_Master!$C$2:$C$30,MATCH($H355,Product_Master!$A$2:$A$30,0)),0)</f>
        <v>233.71</v>
      </c>
      <c r="K355" s="5">
        <f>Sales_Data!E352</f>
        <v>9</v>
      </c>
      <c r="L355" s="5">
        <f>Sales_Data!F352</f>
        <v>1966.85</v>
      </c>
      <c r="M355" s="5">
        <f>Sales_Data!G352</f>
        <v>2242.44</v>
      </c>
      <c r="N355" s="5" t="str">
        <f>IFERROR(INDEX(Branch_Master!$B$2:$B$9,MATCH($B355,Branch_Master!$A$2:$A$9,0)),"Not Found")</f>
        <v>Kolkata</v>
      </c>
      <c r="O355" s="5" t="str">
        <f>IFERROR(INDEX(Branch_Master!$C$2:$C$9,MATCH($B355,Branch_Master!$A$2:$A$9,0)),"Not Found")</f>
        <v>West Bengal</v>
      </c>
      <c r="P355" s="5">
        <f>IFERROR(INDEX(Targets!$B$2:$B$9,MATCH($B355,Targets!$A$2:$A$9,0)),0)</f>
        <v>1910000</v>
      </c>
      <c r="Q355" s="5" t="str">
        <f t="shared" si="10"/>
        <v>No</v>
      </c>
      <c r="R355" s="5" t="str">
        <f t="shared" si="11"/>
        <v>May</v>
      </c>
    </row>
    <row r="356" spans="1:18" ht="15" customHeight="1" x14ac:dyDescent="0.3">
      <c r="A356" s="5" t="str">
        <f>Sales_Data!A353</f>
        <v>2025-05-12</v>
      </c>
      <c r="B356" s="5" t="str">
        <f>Sales_Data!B353</f>
        <v>Mumbai Central</v>
      </c>
      <c r="C356" s="5" t="str">
        <f>Sales_Data!C353</f>
        <v>E016</v>
      </c>
      <c r="D356" s="5" t="str">
        <f>IFERROR(INDEX(Employee_Master!$B$2:$B$44,MATCH($C356,Employee_Master!$A$2:$A$44,0)),"Not Found")</f>
        <v>Connor Dennis</v>
      </c>
      <c r="E356" s="5" t="str">
        <f>IFERROR(INDEX(Employee_Master!$C$2:$C$44,MATCH($C356,Employee_Master!$A$2:$A$44,0)),"Not Found")</f>
        <v>Sales</v>
      </c>
      <c r="F356" s="5" t="str">
        <f>IFERROR(INDEX(Employee_Master!$D$2:$D$44,MATCH($C356,Employee_Master!$A$2:$A$44,0)),"Not Found")</f>
        <v>Justin Glass</v>
      </c>
      <c r="G356" s="5" t="str">
        <f>IFERROR(INDEX(Employee_Master!$E$2:$E$44,MATCH($C356,Employee_Master!$A$2:$A$44,0)),"Not Found")</f>
        <v>West</v>
      </c>
      <c r="H356" s="5" t="str">
        <f>Sales_Data!D353</f>
        <v>P024 - Hair Serum</v>
      </c>
      <c r="I356" s="5" t="str">
        <f>IFERROR(INDEX(Product_Master!$B$2:$B$30,MATCH($H356,Product_Master!$A$2:$A$30,0)),"Invalid Product Code")</f>
        <v>Beauty</v>
      </c>
      <c r="J356" s="5">
        <f>IFERROR(INDEX(Product_Master!$C$2:$C$30,MATCH($H356,Product_Master!$A$2:$A$30,0)),0)</f>
        <v>1457.31</v>
      </c>
      <c r="K356" s="5">
        <f>Sales_Data!E353</f>
        <v>2</v>
      </c>
      <c r="L356" s="5">
        <f>Sales_Data!F353</f>
        <v>3072.72</v>
      </c>
      <c r="M356" s="5">
        <f>Sales_Data!G353</f>
        <v>2986.51</v>
      </c>
      <c r="N356" s="5" t="str">
        <f>IFERROR(INDEX(Branch_Master!$B$2:$B$9,MATCH($B356,Branch_Master!$A$2:$A$9,0)),"Not Found")</f>
        <v>Mumbai</v>
      </c>
      <c r="O356" s="5" t="str">
        <f>IFERROR(INDEX(Branch_Master!$C$2:$C$9,MATCH($B356,Branch_Master!$A$2:$A$9,0)),"Not Found")</f>
        <v>Maharashtra</v>
      </c>
      <c r="P356" s="5">
        <f>IFERROR(INDEX(Targets!$B$2:$B$9,MATCH($B356,Targets!$A$2:$A$9,0)),0)</f>
        <v>900000</v>
      </c>
      <c r="Q356" s="5" t="str">
        <f t="shared" si="10"/>
        <v>Yes</v>
      </c>
      <c r="R356" s="5" t="str">
        <f t="shared" si="11"/>
        <v>May</v>
      </c>
    </row>
    <row r="357" spans="1:18" ht="15" customHeight="1" x14ac:dyDescent="0.3">
      <c r="A357" s="5" t="str">
        <f>Sales_Data!A354</f>
        <v>2025-05-12</v>
      </c>
      <c r="B357" s="5" t="str">
        <f>Sales_Data!B354</f>
        <v>Pune East</v>
      </c>
      <c r="C357" s="5" t="str">
        <f>Sales_Data!C354</f>
        <v>E034</v>
      </c>
      <c r="D357" s="5" t="str">
        <f>IFERROR(INDEX(Employee_Master!$B$2:$B$44,MATCH($C357,Employee_Master!$A$2:$A$44,0)),"Not Found")</f>
        <v>Elaine Thompson</v>
      </c>
      <c r="E357" s="5" t="str">
        <f>IFERROR(INDEX(Employee_Master!$C$2:$C$44,MATCH($C357,Employee_Master!$A$2:$A$44,0)),"Not Found")</f>
        <v>Marketing</v>
      </c>
      <c r="F357" s="5" t="str">
        <f>IFERROR(INDEX(Employee_Master!$D$2:$D$44,MATCH($C357,Employee_Master!$A$2:$A$44,0)),"Not Found")</f>
        <v>Jordan Matthews</v>
      </c>
      <c r="G357" s="5" t="str">
        <f>IFERROR(INDEX(Employee_Master!$E$2:$E$44,MATCH($C357,Employee_Master!$A$2:$A$44,0)),"Not Found")</f>
        <v>West</v>
      </c>
      <c r="H357" s="5" t="str">
        <f>Sales_Data!D354</f>
        <v>P027 - Cricket Bat</v>
      </c>
      <c r="I357" s="5" t="str">
        <f>IFERROR(INDEX(Product_Master!$B$2:$B$30,MATCH($H357,Product_Master!$A$2:$A$30,0)),"Invalid Product Code")</f>
        <v>Sports</v>
      </c>
      <c r="J357" s="5">
        <f>IFERROR(INDEX(Product_Master!$C$2:$C$30,MATCH($H357,Product_Master!$A$2:$A$30,0)),0)</f>
        <v>822.7</v>
      </c>
      <c r="K357" s="5">
        <f>Sales_Data!E354</f>
        <v>2</v>
      </c>
      <c r="L357" s="5">
        <f>Sales_Data!F354</f>
        <v>1670.1</v>
      </c>
      <c r="M357" s="5">
        <f>Sales_Data!G354</f>
        <v>1768.6</v>
      </c>
      <c r="N357" s="5" t="str">
        <f>IFERROR(INDEX(Branch_Master!$B$2:$B$9,MATCH($B357,Branch_Master!$A$2:$A$9,0)),"Not Found")</f>
        <v>Pune</v>
      </c>
      <c r="O357" s="5" t="str">
        <f>IFERROR(INDEX(Branch_Master!$C$2:$C$9,MATCH($B357,Branch_Master!$A$2:$A$9,0)),"Not Found")</f>
        <v>Maharashtra</v>
      </c>
      <c r="P357" s="5">
        <f>IFERROR(INDEX(Targets!$B$2:$B$9,MATCH($B357,Targets!$A$2:$A$9,0)),0)</f>
        <v>1250000</v>
      </c>
      <c r="Q357" s="5" t="str">
        <f t="shared" si="10"/>
        <v>No</v>
      </c>
      <c r="R357" s="5" t="str">
        <f t="shared" si="11"/>
        <v>May</v>
      </c>
    </row>
    <row r="358" spans="1:18" ht="15" customHeight="1" x14ac:dyDescent="0.3">
      <c r="A358" s="5" t="str">
        <f>Sales_Data!A355</f>
        <v>2025-05-12</v>
      </c>
      <c r="B358" s="5" t="str">
        <f>Sales_Data!B355</f>
        <v>Delhi NCR</v>
      </c>
      <c r="C358" s="5" t="str">
        <f>Sales_Data!C355</f>
        <v>E013</v>
      </c>
      <c r="D358" s="5" t="str">
        <f>IFERROR(INDEX(Employee_Master!$B$2:$B$44,MATCH($C358,Employee_Master!$A$2:$A$44,0)),"Not Found")</f>
        <v>Norma Wilson</v>
      </c>
      <c r="E358" s="5" t="str">
        <f>IFERROR(INDEX(Employee_Master!$C$2:$C$44,MATCH($C358,Employee_Master!$A$2:$A$44,0)),"Not Found")</f>
        <v>Customer Support</v>
      </c>
      <c r="F358" s="5" t="str">
        <f>IFERROR(INDEX(Employee_Master!$D$2:$D$44,MATCH($C358,Employee_Master!$A$2:$A$44,0)),"Not Found")</f>
        <v>William Oconnell</v>
      </c>
      <c r="G358" s="5" t="str">
        <f>IFERROR(INDEX(Employee_Master!$E$2:$E$44,MATCH($C358,Employee_Master!$A$2:$A$44,0)),"Not Found")</f>
        <v>North</v>
      </c>
      <c r="H358" s="5" t="str">
        <f>Sales_Data!D355</f>
        <v>P024 - Hair Serum</v>
      </c>
      <c r="I358" s="5" t="str">
        <f>IFERROR(INDEX(Product_Master!$B$2:$B$30,MATCH($H358,Product_Master!$A$2:$A$30,0)),"Invalid Product Code")</f>
        <v>Beauty</v>
      </c>
      <c r="J358" s="5">
        <f>IFERROR(INDEX(Product_Master!$C$2:$C$30,MATCH($H358,Product_Master!$A$2:$A$30,0)),0)</f>
        <v>1457.31</v>
      </c>
      <c r="K358" s="5">
        <f>Sales_Data!E355</f>
        <v>8</v>
      </c>
      <c r="L358" s="5">
        <f>Sales_Data!F355</f>
        <v>12799.65</v>
      </c>
      <c r="M358" s="5">
        <f>Sales_Data!G355</f>
        <v>11316.06</v>
      </c>
      <c r="N358" s="5" t="str">
        <f>IFERROR(INDEX(Branch_Master!$B$2:$B$9,MATCH($B358,Branch_Master!$A$2:$A$9,0)),"Not Found")</f>
        <v>New Delhi</v>
      </c>
      <c r="O358" s="5" t="str">
        <f>IFERROR(INDEX(Branch_Master!$C$2:$C$9,MATCH($B358,Branch_Master!$A$2:$A$9,0)),"Not Found")</f>
        <v>Delhi</v>
      </c>
      <c r="P358" s="5">
        <f>IFERROR(INDEX(Targets!$B$2:$B$9,MATCH($B358,Targets!$A$2:$A$9,0)),0)</f>
        <v>2070000</v>
      </c>
      <c r="Q358" s="5" t="str">
        <f t="shared" si="10"/>
        <v>Yes</v>
      </c>
      <c r="R358" s="5" t="str">
        <f t="shared" si="11"/>
        <v>May</v>
      </c>
    </row>
    <row r="359" spans="1:18" ht="15" customHeight="1" x14ac:dyDescent="0.3">
      <c r="A359" s="5" t="str">
        <f>Sales_Data!A356</f>
        <v>2025-05-12</v>
      </c>
      <c r="B359" s="5" t="str">
        <f>Sales_Data!B356</f>
        <v>Kolkata Central</v>
      </c>
      <c r="C359" s="5" t="str">
        <f>Sales_Data!C356</f>
        <v>E028</v>
      </c>
      <c r="D359" s="5" t="str">
        <f>IFERROR(INDEX(Employee_Master!$B$2:$B$44,MATCH($C359,Employee_Master!$A$2:$A$44,0)),"Not Found")</f>
        <v>Sabrina Wright</v>
      </c>
      <c r="E359" s="5" t="str">
        <f>IFERROR(INDEX(Employee_Master!$C$2:$C$44,MATCH($C359,Employee_Master!$A$2:$A$44,0)),"Not Found")</f>
        <v>Customer Support</v>
      </c>
      <c r="F359" s="5" t="str">
        <f>IFERROR(INDEX(Employee_Master!$D$2:$D$44,MATCH($C359,Employee_Master!$A$2:$A$44,0)),"Not Found")</f>
        <v>Lisa Moore</v>
      </c>
      <c r="G359" s="5" t="str">
        <f>IFERROR(INDEX(Employee_Master!$E$2:$E$44,MATCH($C359,Employee_Master!$A$2:$A$44,0)),"Not Found")</f>
        <v>East</v>
      </c>
      <c r="H359" s="5" t="str">
        <f>Sales_Data!D356</f>
        <v>P013 - Mixer Grinder</v>
      </c>
      <c r="I359" s="5" t="str">
        <f>IFERROR(INDEX(Product_Master!$B$2:$B$30,MATCH($H359,Product_Master!$A$2:$A$30,0)),"Invalid Product Code")</f>
        <v>Home &amp; Kitchen</v>
      </c>
      <c r="J359" s="5">
        <f>IFERROR(INDEX(Product_Master!$C$2:$C$30,MATCH($H359,Product_Master!$A$2:$A$30,0)),0)</f>
        <v>798.53</v>
      </c>
      <c r="K359" s="5">
        <f>Sales_Data!E356</f>
        <v>12</v>
      </c>
      <c r="L359" s="5">
        <f>Sales_Data!F356</f>
        <v>9954.4599999999991</v>
      </c>
      <c r="M359" s="5">
        <f>Sales_Data!G356</f>
        <v>9460.92</v>
      </c>
      <c r="N359" s="5" t="str">
        <f>IFERROR(INDEX(Branch_Master!$B$2:$B$9,MATCH($B359,Branch_Master!$A$2:$A$9,0)),"Not Found")</f>
        <v>Kolkata</v>
      </c>
      <c r="O359" s="5" t="str">
        <f>IFERROR(INDEX(Branch_Master!$C$2:$C$9,MATCH($B359,Branch_Master!$A$2:$A$9,0)),"Not Found")</f>
        <v>West Bengal</v>
      </c>
      <c r="P359" s="5">
        <f>IFERROR(INDEX(Targets!$B$2:$B$9,MATCH($B359,Targets!$A$2:$A$9,0)),0)</f>
        <v>1910000</v>
      </c>
      <c r="Q359" s="5" t="str">
        <f t="shared" si="10"/>
        <v>Yes</v>
      </c>
      <c r="R359" s="5" t="str">
        <f t="shared" si="11"/>
        <v>May</v>
      </c>
    </row>
    <row r="360" spans="1:18" ht="15" customHeight="1" x14ac:dyDescent="0.3">
      <c r="A360" s="5" t="str">
        <f>Sales_Data!A357</f>
        <v>2025-05-13</v>
      </c>
      <c r="B360" s="5" t="str">
        <f>Sales_Data!B357</f>
        <v>Hyderabad Hitech</v>
      </c>
      <c r="C360" s="5" t="str">
        <f>Sales_Data!C357</f>
        <v>E030</v>
      </c>
      <c r="D360" s="5" t="str">
        <f>IFERROR(INDEX(Employee_Master!$B$2:$B$44,MATCH($C360,Employee_Master!$A$2:$A$44,0)),"Not Found")</f>
        <v>Travis Khan</v>
      </c>
      <c r="E360" s="5" t="str">
        <f>IFERROR(INDEX(Employee_Master!$C$2:$C$44,MATCH($C360,Employee_Master!$A$2:$A$44,0)),"Not Found")</f>
        <v>Operations</v>
      </c>
      <c r="F360" s="5" t="str">
        <f>IFERROR(INDEX(Employee_Master!$D$2:$D$44,MATCH($C360,Employee_Master!$A$2:$A$44,0)),"Not Found")</f>
        <v>Anna Turner</v>
      </c>
      <c r="G360" s="5" t="str">
        <f>IFERROR(INDEX(Employee_Master!$E$2:$E$44,MATCH($C360,Employee_Master!$A$2:$A$44,0)),"Not Found")</f>
        <v>South</v>
      </c>
      <c r="H360" s="5" t="str">
        <f>Sales_Data!D357</f>
        <v>P012 - Non-Stick Pan</v>
      </c>
      <c r="I360" s="5" t="str">
        <f>IFERROR(INDEX(Product_Master!$B$2:$B$30,MATCH($H360,Product_Master!$A$2:$A$30,0)),"Invalid Product Code")</f>
        <v>Home &amp; Kitchen</v>
      </c>
      <c r="J360" s="5">
        <f>IFERROR(INDEX(Product_Master!$C$2:$C$30,MATCH($H360,Product_Master!$A$2:$A$30,0)),0)</f>
        <v>353.18</v>
      </c>
      <c r="K360" s="5">
        <f>Sales_Data!E357</f>
        <v>3</v>
      </c>
      <c r="L360" s="5">
        <f>Sales_Data!F357</f>
        <v>1155.78</v>
      </c>
      <c r="M360" s="5">
        <f>Sales_Data!G357</f>
        <v>1085.68</v>
      </c>
      <c r="N360" s="5" t="str">
        <f>IFERROR(INDEX(Branch_Master!$B$2:$B$9,MATCH($B360,Branch_Master!$A$2:$A$9,0)),"Not Found")</f>
        <v>Hyderabad</v>
      </c>
      <c r="O360" s="5" t="str">
        <f>IFERROR(INDEX(Branch_Master!$C$2:$C$9,MATCH($B360,Branch_Master!$A$2:$A$9,0)),"Not Found")</f>
        <v>Telangana</v>
      </c>
      <c r="P360" s="5">
        <f>IFERROR(INDEX(Targets!$B$2:$B$9,MATCH($B360,Targets!$A$2:$A$9,0)),0)</f>
        <v>1210000</v>
      </c>
      <c r="Q360" s="5" t="str">
        <f t="shared" si="10"/>
        <v>Yes</v>
      </c>
      <c r="R360" s="5" t="str">
        <f t="shared" si="11"/>
        <v>May</v>
      </c>
    </row>
    <row r="361" spans="1:18" ht="15" customHeight="1" x14ac:dyDescent="0.3">
      <c r="A361" s="5" t="str">
        <f>Sales_Data!A358</f>
        <v>2025-05-13</v>
      </c>
      <c r="B361" s="5" t="str">
        <f>Sales_Data!B358</f>
        <v>Chennai South</v>
      </c>
      <c r="C361" s="5" t="str">
        <f>Sales_Data!C358</f>
        <v>E015</v>
      </c>
      <c r="D361" s="5" t="str">
        <f>IFERROR(INDEX(Employee_Master!$B$2:$B$44,MATCH($C361,Employee_Master!$A$2:$A$44,0)),"Not Found")</f>
        <v>Cassandra Hansen</v>
      </c>
      <c r="E361" s="5" t="str">
        <f>IFERROR(INDEX(Employee_Master!$C$2:$C$44,MATCH($C361,Employee_Master!$A$2:$A$44,0)),"Not Found")</f>
        <v>Customer Support</v>
      </c>
      <c r="F361" s="5" t="str">
        <f>IFERROR(INDEX(Employee_Master!$D$2:$D$44,MATCH($C361,Employee_Master!$A$2:$A$44,0)),"Not Found")</f>
        <v>Robert Steele</v>
      </c>
      <c r="G361" s="5" t="str">
        <f>IFERROR(INDEX(Employee_Master!$E$2:$E$44,MATCH($C361,Employee_Master!$A$2:$A$44,0)),"Not Found")</f>
        <v>South</v>
      </c>
      <c r="H361" s="5" t="str">
        <f>Sales_Data!D358</f>
        <v>P024 - Hair Serum</v>
      </c>
      <c r="I361" s="5" t="str">
        <f>IFERROR(INDEX(Product_Master!$B$2:$B$30,MATCH($H361,Product_Master!$A$2:$A$30,0)),"Invalid Product Code")</f>
        <v>Beauty</v>
      </c>
      <c r="J361" s="5">
        <f>IFERROR(INDEX(Product_Master!$C$2:$C$30,MATCH($H361,Product_Master!$A$2:$A$30,0)),0)</f>
        <v>1457.31</v>
      </c>
      <c r="K361" s="5">
        <f>Sales_Data!E358</f>
        <v>12</v>
      </c>
      <c r="L361" s="5">
        <f>Sales_Data!F358</f>
        <v>18460</v>
      </c>
      <c r="M361" s="5">
        <f>Sales_Data!G358</f>
        <v>19138.43</v>
      </c>
      <c r="N361" s="5" t="str">
        <f>IFERROR(INDEX(Branch_Master!$B$2:$B$9,MATCH($B361,Branch_Master!$A$2:$A$9,0)),"Not Found")</f>
        <v>Chennai</v>
      </c>
      <c r="O361" s="5" t="str">
        <f>IFERROR(INDEX(Branch_Master!$C$2:$C$9,MATCH($B361,Branch_Master!$A$2:$A$9,0)),"Not Found")</f>
        <v>Tamil Nadu</v>
      </c>
      <c r="P361" s="5">
        <f>IFERROR(INDEX(Targets!$B$2:$B$9,MATCH($B361,Targets!$A$2:$A$9,0)),0)</f>
        <v>1910000</v>
      </c>
      <c r="Q361" s="5" t="str">
        <f t="shared" si="10"/>
        <v>No</v>
      </c>
      <c r="R361" s="5" t="str">
        <f t="shared" si="11"/>
        <v>May</v>
      </c>
    </row>
    <row r="362" spans="1:18" ht="15" customHeight="1" x14ac:dyDescent="0.3">
      <c r="A362" s="5" t="str">
        <f>Sales_Data!A359</f>
        <v>2025-05-13</v>
      </c>
      <c r="B362" s="5" t="str">
        <f>Sales_Data!B359</f>
        <v>Mumbai Central</v>
      </c>
      <c r="C362" s="5" t="str">
        <f>Sales_Data!C359</f>
        <v>E010</v>
      </c>
      <c r="D362" s="5" t="str">
        <f>IFERROR(INDEX(Employee_Master!$B$2:$B$44,MATCH($C362,Employee_Master!$A$2:$A$44,0)),"Not Found")</f>
        <v>William Sanders</v>
      </c>
      <c r="E362" s="5" t="str">
        <f>IFERROR(INDEX(Employee_Master!$C$2:$C$44,MATCH($C362,Employee_Master!$A$2:$A$44,0)),"Not Found")</f>
        <v>Sales</v>
      </c>
      <c r="F362" s="5" t="str">
        <f>IFERROR(INDEX(Employee_Master!$D$2:$D$44,MATCH($C362,Employee_Master!$A$2:$A$44,0)),"Not Found")</f>
        <v>Justin Glass</v>
      </c>
      <c r="G362" s="5" t="str">
        <f>IFERROR(INDEX(Employee_Master!$E$2:$E$44,MATCH($C362,Employee_Master!$A$2:$A$44,0)),"Not Found")</f>
        <v>West</v>
      </c>
      <c r="H362" s="5" t="str">
        <f>Sales_Data!D359</f>
        <v>P003 - Bluetooth Speaker</v>
      </c>
      <c r="I362" s="5" t="str">
        <f>IFERROR(INDEX(Product_Master!$B$2:$B$30,MATCH($H362,Product_Master!$A$2:$A$30,0)),"Invalid Product Code")</f>
        <v>Electronics</v>
      </c>
      <c r="J362" s="5">
        <f>IFERROR(INDEX(Product_Master!$C$2:$C$30,MATCH($H362,Product_Master!$A$2:$A$30,0)),0)</f>
        <v>351.01</v>
      </c>
      <c r="K362" s="5">
        <f>Sales_Data!E359</f>
        <v>1</v>
      </c>
      <c r="L362" s="5">
        <f>Sales_Data!F359</f>
        <v>378.57</v>
      </c>
      <c r="M362" s="5">
        <f>Sales_Data!G359</f>
        <v>330.93</v>
      </c>
      <c r="N362" s="5" t="str">
        <f>IFERROR(INDEX(Branch_Master!$B$2:$B$9,MATCH($B362,Branch_Master!$A$2:$A$9,0)),"Not Found")</f>
        <v>Mumbai</v>
      </c>
      <c r="O362" s="5" t="str">
        <f>IFERROR(INDEX(Branch_Master!$C$2:$C$9,MATCH($B362,Branch_Master!$A$2:$A$9,0)),"Not Found")</f>
        <v>Maharashtra</v>
      </c>
      <c r="P362" s="5">
        <f>IFERROR(INDEX(Targets!$B$2:$B$9,MATCH($B362,Targets!$A$2:$A$9,0)),0)</f>
        <v>900000</v>
      </c>
      <c r="Q362" s="5" t="str">
        <f t="shared" si="10"/>
        <v>Yes</v>
      </c>
      <c r="R362" s="5" t="str">
        <f t="shared" si="11"/>
        <v>May</v>
      </c>
    </row>
    <row r="363" spans="1:18" ht="15" customHeight="1" x14ac:dyDescent="0.3">
      <c r="A363" s="5" t="str">
        <f>Sales_Data!A360</f>
        <v>2025-05-14</v>
      </c>
      <c r="B363" s="5" t="str">
        <f>Sales_Data!B360</f>
        <v>Delhi NCR</v>
      </c>
      <c r="C363" s="5" t="str">
        <f>Sales_Data!C360</f>
        <v>E031</v>
      </c>
      <c r="D363" s="5" t="str">
        <f>IFERROR(INDEX(Employee_Master!$B$2:$B$44,MATCH($C363,Employee_Master!$A$2:$A$44,0)),"Not Found")</f>
        <v>Jennifer Garcia</v>
      </c>
      <c r="E363" s="5" t="str">
        <f>IFERROR(INDEX(Employee_Master!$C$2:$C$44,MATCH($C363,Employee_Master!$A$2:$A$44,0)),"Not Found")</f>
        <v>Sales</v>
      </c>
      <c r="F363" s="5" t="str">
        <f>IFERROR(INDEX(Employee_Master!$D$2:$D$44,MATCH($C363,Employee_Master!$A$2:$A$44,0)),"Not Found")</f>
        <v>William Oconnell</v>
      </c>
      <c r="G363" s="5" t="str">
        <f>IFERROR(INDEX(Employee_Master!$E$2:$E$44,MATCH($C363,Employee_Master!$A$2:$A$44,0)),"Not Found")</f>
        <v>North</v>
      </c>
      <c r="H363" s="5" t="str">
        <f>Sales_Data!D360</f>
        <v>P009 - Formal Shirt</v>
      </c>
      <c r="I363" s="5" t="str">
        <f>IFERROR(INDEX(Product_Master!$B$2:$B$30,MATCH($H363,Product_Master!$A$2:$A$30,0)),"Invalid Product Code")</f>
        <v>Apparel</v>
      </c>
      <c r="J363" s="5">
        <f>IFERROR(INDEX(Product_Master!$C$2:$C$30,MATCH($H363,Product_Master!$A$2:$A$30,0)),0)</f>
        <v>661.65</v>
      </c>
      <c r="K363" s="5">
        <f>Sales_Data!E360</f>
        <v>10</v>
      </c>
      <c r="L363" s="5">
        <f>Sales_Data!F360</f>
        <v>6937.89</v>
      </c>
      <c r="M363" s="5">
        <f>Sales_Data!G360</f>
        <v>5954.25</v>
      </c>
      <c r="N363" s="5" t="str">
        <f>IFERROR(INDEX(Branch_Master!$B$2:$B$9,MATCH($B363,Branch_Master!$A$2:$A$9,0)),"Not Found")</f>
        <v>New Delhi</v>
      </c>
      <c r="O363" s="5" t="str">
        <f>IFERROR(INDEX(Branch_Master!$C$2:$C$9,MATCH($B363,Branch_Master!$A$2:$A$9,0)),"Not Found")</f>
        <v>Delhi</v>
      </c>
      <c r="P363" s="5">
        <f>IFERROR(INDEX(Targets!$B$2:$B$9,MATCH($B363,Targets!$A$2:$A$9,0)),0)</f>
        <v>2070000</v>
      </c>
      <c r="Q363" s="5" t="str">
        <f t="shared" si="10"/>
        <v>Yes</v>
      </c>
      <c r="R363" s="5" t="str">
        <f t="shared" si="11"/>
        <v>May</v>
      </c>
    </row>
    <row r="364" spans="1:18" ht="15" customHeight="1" x14ac:dyDescent="0.3">
      <c r="A364" s="5" t="str">
        <f>Sales_Data!A361</f>
        <v>2025-05-14</v>
      </c>
      <c r="B364" s="5" t="str">
        <f>Sales_Data!B361</f>
        <v>Bangalore North</v>
      </c>
      <c r="C364" s="5" t="str">
        <f>Sales_Data!C361</f>
        <v>E003</v>
      </c>
      <c r="D364" s="5" t="str">
        <f>IFERROR(INDEX(Employee_Master!$B$2:$B$44,MATCH($C364,Employee_Master!$A$2:$A$44,0)),"Not Found")</f>
        <v>Margaret Porter</v>
      </c>
      <c r="E364" s="5" t="str">
        <f>IFERROR(INDEX(Employee_Master!$C$2:$C$44,MATCH($C364,Employee_Master!$A$2:$A$44,0)),"Not Found")</f>
        <v>Customer Support</v>
      </c>
      <c r="F364" s="5" t="str">
        <f>IFERROR(INDEX(Employee_Master!$D$2:$D$44,MATCH($C364,Employee_Master!$A$2:$A$44,0)),"Not Found")</f>
        <v>Jose Soto</v>
      </c>
      <c r="G364" s="5" t="str">
        <f>IFERROR(INDEX(Employee_Master!$E$2:$E$44,MATCH($C364,Employee_Master!$A$2:$A$44,0)),"Not Found")</f>
        <v>South</v>
      </c>
      <c r="H364" s="5" t="str">
        <f>Sales_Data!D361</f>
        <v>P002 - Smart Watch</v>
      </c>
      <c r="I364" s="5" t="str">
        <f>IFERROR(INDEX(Product_Master!$B$2:$B$30,MATCH($H364,Product_Master!$A$2:$A$30,0)),"Invalid Product Code")</f>
        <v>Electronics</v>
      </c>
      <c r="J364" s="5">
        <f>IFERROR(INDEX(Product_Master!$C$2:$C$30,MATCH($H364,Product_Master!$A$2:$A$30,0)),0)</f>
        <v>403.33</v>
      </c>
      <c r="K364" s="5">
        <f>Sales_Data!E361</f>
        <v>4</v>
      </c>
      <c r="L364" s="5">
        <f>Sales_Data!F361</f>
        <v>1502.17</v>
      </c>
      <c r="M364" s="5">
        <f>Sales_Data!G361</f>
        <v>1377.05</v>
      </c>
      <c r="N364" s="5" t="str">
        <f>IFERROR(INDEX(Branch_Master!$B$2:$B$9,MATCH($B364,Branch_Master!$A$2:$A$9,0)),"Not Found")</f>
        <v>Bangalore</v>
      </c>
      <c r="O364" s="5" t="str">
        <f>IFERROR(INDEX(Branch_Master!$C$2:$C$9,MATCH($B364,Branch_Master!$A$2:$A$9,0)),"Not Found")</f>
        <v>Karnataka</v>
      </c>
      <c r="P364" s="5">
        <f>IFERROR(INDEX(Targets!$B$2:$B$9,MATCH($B364,Targets!$A$2:$A$9,0)),0)</f>
        <v>900000</v>
      </c>
      <c r="Q364" s="5" t="str">
        <f t="shared" si="10"/>
        <v>Yes</v>
      </c>
      <c r="R364" s="5" t="str">
        <f t="shared" si="11"/>
        <v>May</v>
      </c>
    </row>
    <row r="365" spans="1:18" ht="15" customHeight="1" x14ac:dyDescent="0.3">
      <c r="A365" s="5" t="str">
        <f>Sales_Data!A362</f>
        <v>2025-05-14</v>
      </c>
      <c r="B365" s="5" t="str">
        <f>Sales_Data!B362</f>
        <v>Mumbai Central</v>
      </c>
      <c r="C365" s="5" t="str">
        <f>Sales_Data!C362</f>
        <v>E012</v>
      </c>
      <c r="D365" s="5" t="str">
        <f>IFERROR(INDEX(Employee_Master!$B$2:$B$44,MATCH($C365,Employee_Master!$A$2:$A$44,0)),"Not Found")</f>
        <v>Brandon Cook</v>
      </c>
      <c r="E365" s="5" t="str">
        <f>IFERROR(INDEX(Employee_Master!$C$2:$C$44,MATCH($C365,Employee_Master!$A$2:$A$44,0)),"Not Found")</f>
        <v>Customer Support</v>
      </c>
      <c r="F365" s="5" t="str">
        <f>IFERROR(INDEX(Employee_Master!$D$2:$D$44,MATCH($C365,Employee_Master!$A$2:$A$44,0)),"Not Found")</f>
        <v>Justin Glass</v>
      </c>
      <c r="G365" s="5" t="str">
        <f>IFERROR(INDEX(Employee_Master!$E$2:$E$44,MATCH($C365,Employee_Master!$A$2:$A$44,0)),"Not Found")</f>
        <v>West</v>
      </c>
      <c r="H365" s="5" t="str">
        <f>Sales_Data!D362</f>
        <v>P020 - Green Tea Pack</v>
      </c>
      <c r="I365" s="5" t="str">
        <f>IFERROR(INDEX(Product_Master!$B$2:$B$30,MATCH($H365,Product_Master!$A$2:$A$30,0)),"Invalid Product Code")</f>
        <v>Grocery</v>
      </c>
      <c r="J365" s="5">
        <f>IFERROR(INDEX(Product_Master!$C$2:$C$30,MATCH($H365,Product_Master!$A$2:$A$30,0)),0)</f>
        <v>305.39</v>
      </c>
      <c r="K365" s="5">
        <f>Sales_Data!E362</f>
        <v>12</v>
      </c>
      <c r="L365" s="5">
        <f>Sales_Data!F362</f>
        <v>3336.7</v>
      </c>
      <c r="M365" s="5">
        <f>Sales_Data!G362</f>
        <v>3607.93</v>
      </c>
      <c r="N365" s="5" t="str">
        <f>IFERROR(INDEX(Branch_Master!$B$2:$B$9,MATCH($B365,Branch_Master!$A$2:$A$9,0)),"Not Found")</f>
        <v>Mumbai</v>
      </c>
      <c r="O365" s="5" t="str">
        <f>IFERROR(INDEX(Branch_Master!$C$2:$C$9,MATCH($B365,Branch_Master!$A$2:$A$9,0)),"Not Found")</f>
        <v>Maharashtra</v>
      </c>
      <c r="P365" s="5">
        <f>IFERROR(INDEX(Targets!$B$2:$B$9,MATCH($B365,Targets!$A$2:$A$9,0)),0)</f>
        <v>900000</v>
      </c>
      <c r="Q365" s="5" t="str">
        <f t="shared" si="10"/>
        <v>No</v>
      </c>
      <c r="R365" s="5" t="str">
        <f t="shared" si="11"/>
        <v>May</v>
      </c>
    </row>
    <row r="366" spans="1:18" ht="15" customHeight="1" x14ac:dyDescent="0.3">
      <c r="A366" s="5" t="str">
        <f>Sales_Data!A363</f>
        <v>2025-05-15</v>
      </c>
      <c r="B366" s="5" t="str">
        <f>Sales_Data!B363</f>
        <v>Bangalore North</v>
      </c>
      <c r="C366" s="5" t="str">
        <f>Sales_Data!C363</f>
        <v>E004</v>
      </c>
      <c r="D366" s="5" t="str">
        <f>IFERROR(INDEX(Employee_Master!$B$2:$B$44,MATCH($C366,Employee_Master!$A$2:$A$44,0)),"Not Found")</f>
        <v>Judith Ramirez</v>
      </c>
      <c r="E366" s="5" t="str">
        <f>IFERROR(INDEX(Employee_Master!$C$2:$C$44,MATCH($C366,Employee_Master!$A$2:$A$44,0)),"Not Found")</f>
        <v>Sales</v>
      </c>
      <c r="F366" s="5" t="str">
        <f>IFERROR(INDEX(Employee_Master!$D$2:$D$44,MATCH($C366,Employee_Master!$A$2:$A$44,0)),"Not Found")</f>
        <v>Jose Soto</v>
      </c>
      <c r="G366" s="5" t="str">
        <f>IFERROR(INDEX(Employee_Master!$E$2:$E$44,MATCH($C366,Employee_Master!$A$2:$A$44,0)),"Not Found")</f>
        <v>South</v>
      </c>
      <c r="H366" s="5" t="str">
        <f>Sales_Data!D363</f>
        <v>P022 - Face Wash</v>
      </c>
      <c r="I366" s="5" t="str">
        <f>IFERROR(INDEX(Product_Master!$B$2:$B$30,MATCH($H366,Product_Master!$A$2:$A$30,0)),"Invalid Product Code")</f>
        <v>Beauty</v>
      </c>
      <c r="J366" s="5">
        <f>IFERROR(INDEX(Product_Master!$C$2:$C$30,MATCH($H366,Product_Master!$A$2:$A$30,0)),0)</f>
        <v>396.75</v>
      </c>
      <c r="K366" s="5">
        <f>Sales_Data!E363</f>
        <v>1</v>
      </c>
      <c r="L366" s="5">
        <f>Sales_Data!F363</f>
        <v>367.62</v>
      </c>
      <c r="M366" s="5">
        <f>Sales_Data!G363</f>
        <v>359.59</v>
      </c>
      <c r="N366" s="5" t="str">
        <f>IFERROR(INDEX(Branch_Master!$B$2:$B$9,MATCH($B366,Branch_Master!$A$2:$A$9,0)),"Not Found")</f>
        <v>Bangalore</v>
      </c>
      <c r="O366" s="5" t="str">
        <f>IFERROR(INDEX(Branch_Master!$C$2:$C$9,MATCH($B366,Branch_Master!$A$2:$A$9,0)),"Not Found")</f>
        <v>Karnataka</v>
      </c>
      <c r="P366" s="5">
        <f>IFERROR(INDEX(Targets!$B$2:$B$9,MATCH($B366,Targets!$A$2:$A$9,0)),0)</f>
        <v>900000</v>
      </c>
      <c r="Q366" s="5" t="str">
        <f t="shared" si="10"/>
        <v>Yes</v>
      </c>
      <c r="R366" s="5" t="str">
        <f t="shared" si="11"/>
        <v>May</v>
      </c>
    </row>
    <row r="367" spans="1:18" ht="15" customHeight="1" x14ac:dyDescent="0.3">
      <c r="A367" s="5" t="str">
        <f>Sales_Data!A364</f>
        <v>2025-05-15</v>
      </c>
      <c r="B367" s="5" t="str">
        <f>Sales_Data!B364</f>
        <v>Ahmedabad West</v>
      </c>
      <c r="C367" s="5" t="str">
        <f>Sales_Data!C364</f>
        <v>E039</v>
      </c>
      <c r="D367" s="5" t="str">
        <f>IFERROR(INDEX(Employee_Master!$B$2:$B$44,MATCH($C367,Employee_Master!$A$2:$A$44,0)),"Not Found")</f>
        <v>Christopher Wood</v>
      </c>
      <c r="E367" s="5" t="str">
        <f>IFERROR(INDEX(Employee_Master!$C$2:$C$44,MATCH($C367,Employee_Master!$A$2:$A$44,0)),"Not Found")</f>
        <v>Marketing</v>
      </c>
      <c r="F367" s="5" t="str">
        <f>IFERROR(INDEX(Employee_Master!$D$2:$D$44,MATCH($C367,Employee_Master!$A$2:$A$44,0)),"Not Found")</f>
        <v>Joseph Brown</v>
      </c>
      <c r="G367" s="5" t="str">
        <f>IFERROR(INDEX(Employee_Master!$E$2:$E$44,MATCH($C367,Employee_Master!$A$2:$A$44,0)),"Not Found")</f>
        <v>West</v>
      </c>
      <c r="H367" s="5" t="str">
        <f>Sales_Data!D364</f>
        <v>P004 - Power Bank</v>
      </c>
      <c r="I367" s="5" t="str">
        <f>IFERROR(INDEX(Product_Master!$B$2:$B$30,MATCH($H367,Product_Master!$A$2:$A$30,0)),"Invalid Product Code")</f>
        <v>Electronics</v>
      </c>
      <c r="J367" s="5">
        <f>IFERROR(INDEX(Product_Master!$C$2:$C$30,MATCH($H367,Product_Master!$A$2:$A$30,0)),0)</f>
        <v>76.91</v>
      </c>
      <c r="K367" s="5">
        <f>Sales_Data!E364</f>
        <v>4</v>
      </c>
      <c r="L367" s="5">
        <f>Sales_Data!F364</f>
        <v>312.33</v>
      </c>
      <c r="M367" s="5">
        <f>Sales_Data!G364</f>
        <v>337.53</v>
      </c>
      <c r="N367" s="5" t="str">
        <f>IFERROR(INDEX(Branch_Master!$B$2:$B$9,MATCH($B367,Branch_Master!$A$2:$A$9,0)),"Not Found")</f>
        <v>Ahmedabad</v>
      </c>
      <c r="O367" s="5" t="str">
        <f>IFERROR(INDEX(Branch_Master!$C$2:$C$9,MATCH($B367,Branch_Master!$A$2:$A$9,0)),"Not Found")</f>
        <v>Gujarat</v>
      </c>
      <c r="P367" s="5">
        <f>IFERROR(INDEX(Targets!$B$2:$B$9,MATCH($B367,Targets!$A$2:$A$9,0)),0)</f>
        <v>1590000</v>
      </c>
      <c r="Q367" s="5" t="str">
        <f t="shared" si="10"/>
        <v>No</v>
      </c>
      <c r="R367" s="5" t="str">
        <f t="shared" si="11"/>
        <v>May</v>
      </c>
    </row>
    <row r="368" spans="1:18" ht="15" customHeight="1" x14ac:dyDescent="0.3">
      <c r="A368" s="5" t="str">
        <f>Sales_Data!A365</f>
        <v>2025-05-15</v>
      </c>
      <c r="B368" s="5" t="str">
        <f>Sales_Data!B365</f>
        <v>Hyderabad Hitech</v>
      </c>
      <c r="C368" s="5" t="str">
        <f>Sales_Data!C365</f>
        <v>E026</v>
      </c>
      <c r="D368" s="5" t="str">
        <f>IFERROR(INDEX(Employee_Master!$B$2:$B$44,MATCH($C368,Employee_Master!$A$2:$A$44,0)),"Not Found")</f>
        <v>Karen Andrews</v>
      </c>
      <c r="E368" s="5" t="str">
        <f>IFERROR(INDEX(Employee_Master!$C$2:$C$44,MATCH($C368,Employee_Master!$A$2:$A$44,0)),"Not Found")</f>
        <v>Marketing</v>
      </c>
      <c r="F368" s="5" t="str">
        <f>IFERROR(INDEX(Employee_Master!$D$2:$D$44,MATCH($C368,Employee_Master!$A$2:$A$44,0)),"Not Found")</f>
        <v>Anna Turner</v>
      </c>
      <c r="G368" s="5" t="str">
        <f>IFERROR(INDEX(Employee_Master!$E$2:$E$44,MATCH($C368,Employee_Master!$A$2:$A$44,0)),"Not Found")</f>
        <v>South</v>
      </c>
      <c r="H368" s="5" t="str">
        <f>Sales_Data!D365</f>
        <v>P018 - Cooking Oil 1L</v>
      </c>
      <c r="I368" s="5" t="str">
        <f>IFERROR(INDEX(Product_Master!$B$2:$B$30,MATCH($H368,Product_Master!$A$2:$A$30,0)),"Invalid Product Code")</f>
        <v>Grocery</v>
      </c>
      <c r="J368" s="5">
        <f>IFERROR(INDEX(Product_Master!$C$2:$C$30,MATCH($H368,Product_Master!$A$2:$A$30,0)),0)</f>
        <v>1483.63</v>
      </c>
      <c r="K368" s="5">
        <f>Sales_Data!E365</f>
        <v>10</v>
      </c>
      <c r="L368" s="5">
        <f>Sales_Data!F365</f>
        <v>14359.83</v>
      </c>
      <c r="M368" s="5">
        <f>Sales_Data!G365</f>
        <v>12615.73</v>
      </c>
      <c r="N368" s="5" t="str">
        <f>IFERROR(INDEX(Branch_Master!$B$2:$B$9,MATCH($B368,Branch_Master!$A$2:$A$9,0)),"Not Found")</f>
        <v>Hyderabad</v>
      </c>
      <c r="O368" s="5" t="str">
        <f>IFERROR(INDEX(Branch_Master!$C$2:$C$9,MATCH($B368,Branch_Master!$A$2:$A$9,0)),"Not Found")</f>
        <v>Telangana</v>
      </c>
      <c r="P368" s="5">
        <f>IFERROR(INDEX(Targets!$B$2:$B$9,MATCH($B368,Targets!$A$2:$A$9,0)),0)</f>
        <v>1210000</v>
      </c>
      <c r="Q368" s="5" t="str">
        <f t="shared" si="10"/>
        <v>Yes</v>
      </c>
      <c r="R368" s="5" t="str">
        <f t="shared" si="11"/>
        <v>May</v>
      </c>
    </row>
    <row r="369" spans="1:18" ht="15" customHeight="1" x14ac:dyDescent="0.3">
      <c r="A369" s="5" t="str">
        <f>Sales_Data!A366</f>
        <v>2025-05-15</v>
      </c>
      <c r="B369" s="5" t="str">
        <f>Sales_Data!B366</f>
        <v>Bangalore North</v>
      </c>
      <c r="C369" s="5" t="str">
        <f>Sales_Data!C366</f>
        <v>E006</v>
      </c>
      <c r="D369" s="5" t="str">
        <f>IFERROR(INDEX(Employee_Master!$B$2:$B$44,MATCH($C369,Employee_Master!$A$2:$A$44,0)),"Not Found")</f>
        <v>Dylan Jones</v>
      </c>
      <c r="E369" s="5" t="str">
        <f>IFERROR(INDEX(Employee_Master!$C$2:$C$44,MATCH($C369,Employee_Master!$A$2:$A$44,0)),"Not Found")</f>
        <v>Sales</v>
      </c>
      <c r="F369" s="5" t="str">
        <f>IFERROR(INDEX(Employee_Master!$D$2:$D$44,MATCH($C369,Employee_Master!$A$2:$A$44,0)),"Not Found")</f>
        <v>Jose Soto</v>
      </c>
      <c r="G369" s="5" t="str">
        <f>IFERROR(INDEX(Employee_Master!$E$2:$E$44,MATCH($C369,Employee_Master!$A$2:$A$44,0)),"Not Found")</f>
        <v>South</v>
      </c>
      <c r="H369" s="5" t="str">
        <f>Sales_Data!D366</f>
        <v>P027 - Cricket Bat</v>
      </c>
      <c r="I369" s="5" t="str">
        <f>IFERROR(INDEX(Product_Master!$B$2:$B$30,MATCH($H369,Product_Master!$A$2:$A$30,0)),"Invalid Product Code")</f>
        <v>Sports</v>
      </c>
      <c r="J369" s="5">
        <f>IFERROR(INDEX(Product_Master!$C$2:$C$30,MATCH($H369,Product_Master!$A$2:$A$30,0)),0)</f>
        <v>822.7</v>
      </c>
      <c r="K369" s="5">
        <f>Sales_Data!E366</f>
        <v>10</v>
      </c>
      <c r="L369" s="5">
        <f>Sales_Data!F366</f>
        <v>8857.66</v>
      </c>
      <c r="M369" s="5">
        <f>Sales_Data!G366</f>
        <v>7313.62</v>
      </c>
      <c r="N369" s="5" t="str">
        <f>IFERROR(INDEX(Branch_Master!$B$2:$B$9,MATCH($B369,Branch_Master!$A$2:$A$9,0)),"Not Found")</f>
        <v>Bangalore</v>
      </c>
      <c r="O369" s="5" t="str">
        <f>IFERROR(INDEX(Branch_Master!$C$2:$C$9,MATCH($B369,Branch_Master!$A$2:$A$9,0)),"Not Found")</f>
        <v>Karnataka</v>
      </c>
      <c r="P369" s="5">
        <f>IFERROR(INDEX(Targets!$B$2:$B$9,MATCH($B369,Targets!$A$2:$A$9,0)),0)</f>
        <v>900000</v>
      </c>
      <c r="Q369" s="5" t="str">
        <f t="shared" si="10"/>
        <v>Yes</v>
      </c>
      <c r="R369" s="5" t="str">
        <f t="shared" si="11"/>
        <v>May</v>
      </c>
    </row>
    <row r="370" spans="1:18" ht="15" customHeight="1" x14ac:dyDescent="0.3">
      <c r="A370" s="5" t="str">
        <f>Sales_Data!A367</f>
        <v>2025-05-15</v>
      </c>
      <c r="B370" s="5" t="str">
        <f>Sales_Data!B367</f>
        <v>Hyderabad Hitech</v>
      </c>
      <c r="C370" s="5" t="str">
        <f>Sales_Data!C367</f>
        <v>E020</v>
      </c>
      <c r="D370" s="5" t="str">
        <f>IFERROR(INDEX(Employee_Master!$B$2:$B$44,MATCH($C370,Employee_Master!$A$2:$A$44,0)),"Not Found")</f>
        <v>Christine Long</v>
      </c>
      <c r="E370" s="5" t="str">
        <f>IFERROR(INDEX(Employee_Master!$C$2:$C$44,MATCH($C370,Employee_Master!$A$2:$A$44,0)),"Not Found")</f>
        <v>Operations</v>
      </c>
      <c r="F370" s="5" t="str">
        <f>IFERROR(INDEX(Employee_Master!$D$2:$D$44,MATCH($C370,Employee_Master!$A$2:$A$44,0)),"Not Found")</f>
        <v>Anna Turner</v>
      </c>
      <c r="G370" s="5" t="str">
        <f>IFERROR(INDEX(Employee_Master!$E$2:$E$44,MATCH($C370,Employee_Master!$A$2:$A$44,0)),"Not Found")</f>
        <v>South</v>
      </c>
      <c r="H370" s="5" t="str">
        <f>Sales_Data!D367</f>
        <v>P022 - Face Wash</v>
      </c>
      <c r="I370" s="5" t="str">
        <f>IFERROR(INDEX(Product_Master!$B$2:$B$30,MATCH($H370,Product_Master!$A$2:$A$30,0)),"Invalid Product Code")</f>
        <v>Beauty</v>
      </c>
      <c r="J370" s="5">
        <f>IFERROR(INDEX(Product_Master!$C$2:$C$30,MATCH($H370,Product_Master!$A$2:$A$30,0)),0)</f>
        <v>396.75</v>
      </c>
      <c r="K370" s="5">
        <f>Sales_Data!E367</f>
        <v>7</v>
      </c>
      <c r="L370" s="5">
        <f>Sales_Data!F367</f>
        <v>2982.04</v>
      </c>
      <c r="M370" s="5">
        <f>Sales_Data!G367</f>
        <v>3141.3</v>
      </c>
      <c r="N370" s="5" t="str">
        <f>IFERROR(INDEX(Branch_Master!$B$2:$B$9,MATCH($B370,Branch_Master!$A$2:$A$9,0)),"Not Found")</f>
        <v>Hyderabad</v>
      </c>
      <c r="O370" s="5" t="str">
        <f>IFERROR(INDEX(Branch_Master!$C$2:$C$9,MATCH($B370,Branch_Master!$A$2:$A$9,0)),"Not Found")</f>
        <v>Telangana</v>
      </c>
      <c r="P370" s="5">
        <f>IFERROR(INDEX(Targets!$B$2:$B$9,MATCH($B370,Targets!$A$2:$A$9,0)),0)</f>
        <v>1210000</v>
      </c>
      <c r="Q370" s="5" t="str">
        <f t="shared" si="10"/>
        <v>No</v>
      </c>
      <c r="R370" s="5" t="str">
        <f t="shared" si="11"/>
        <v>May</v>
      </c>
    </row>
    <row r="371" spans="1:18" ht="15" customHeight="1" x14ac:dyDescent="0.3">
      <c r="A371" s="5" t="str">
        <f>Sales_Data!A368</f>
        <v>2025-05-15</v>
      </c>
      <c r="B371" s="5" t="str">
        <f>Sales_Data!B368</f>
        <v>Pune East</v>
      </c>
      <c r="C371" s="5" t="str">
        <f>Sales_Data!C368</f>
        <v>E023</v>
      </c>
      <c r="D371" s="5" t="str">
        <f>IFERROR(INDEX(Employee_Master!$B$2:$B$44,MATCH($C371,Employee_Master!$A$2:$A$44,0)),"Not Found")</f>
        <v>Edward Jones</v>
      </c>
      <c r="E371" s="5" t="str">
        <f>IFERROR(INDEX(Employee_Master!$C$2:$C$44,MATCH($C371,Employee_Master!$A$2:$A$44,0)),"Not Found")</f>
        <v>Operations</v>
      </c>
      <c r="F371" s="5" t="str">
        <f>IFERROR(INDEX(Employee_Master!$D$2:$D$44,MATCH($C371,Employee_Master!$A$2:$A$44,0)),"Not Found")</f>
        <v>Jordan Matthews</v>
      </c>
      <c r="G371" s="5" t="str">
        <f>IFERROR(INDEX(Employee_Master!$E$2:$E$44,MATCH($C371,Employee_Master!$A$2:$A$44,0)),"Not Found")</f>
        <v>West</v>
      </c>
      <c r="H371" s="5" t="str">
        <f>Sales_Data!D368</f>
        <v>P009 - Formal Shirt</v>
      </c>
      <c r="I371" s="5" t="str">
        <f>IFERROR(INDEX(Product_Master!$B$2:$B$30,MATCH($H371,Product_Master!$A$2:$A$30,0)),"Invalid Product Code")</f>
        <v>Apparel</v>
      </c>
      <c r="J371" s="5">
        <f>IFERROR(INDEX(Product_Master!$C$2:$C$30,MATCH($H371,Product_Master!$A$2:$A$30,0)),0)</f>
        <v>661.65</v>
      </c>
      <c r="K371" s="5">
        <f>Sales_Data!E368</f>
        <v>12</v>
      </c>
      <c r="L371" s="5">
        <f>Sales_Data!F368</f>
        <v>8067.7</v>
      </c>
      <c r="M371" s="5">
        <f>Sales_Data!G368</f>
        <v>7053.7</v>
      </c>
      <c r="N371" s="5" t="str">
        <f>IFERROR(INDEX(Branch_Master!$B$2:$B$9,MATCH($B371,Branch_Master!$A$2:$A$9,0)),"Not Found")</f>
        <v>Pune</v>
      </c>
      <c r="O371" s="5" t="str">
        <f>IFERROR(INDEX(Branch_Master!$C$2:$C$9,MATCH($B371,Branch_Master!$A$2:$A$9,0)),"Not Found")</f>
        <v>Maharashtra</v>
      </c>
      <c r="P371" s="5">
        <f>IFERROR(INDEX(Targets!$B$2:$B$9,MATCH($B371,Targets!$A$2:$A$9,0)),0)</f>
        <v>1250000</v>
      </c>
      <c r="Q371" s="5" t="str">
        <f t="shared" si="10"/>
        <v>Yes</v>
      </c>
      <c r="R371" s="5" t="str">
        <f t="shared" si="11"/>
        <v>May</v>
      </c>
    </row>
    <row r="372" spans="1:18" ht="15" customHeight="1" x14ac:dyDescent="0.3">
      <c r="A372" s="5" t="str">
        <f>Sales_Data!A369</f>
        <v>2025-05-15</v>
      </c>
      <c r="B372" s="5" t="str">
        <f>Sales_Data!B369</f>
        <v>Delhi NCR</v>
      </c>
      <c r="C372" s="5" t="str">
        <f>Sales_Data!C369</f>
        <v>E031</v>
      </c>
      <c r="D372" s="5" t="str">
        <f>IFERROR(INDEX(Employee_Master!$B$2:$B$44,MATCH($C372,Employee_Master!$A$2:$A$44,0)),"Not Found")</f>
        <v>Jennifer Garcia</v>
      </c>
      <c r="E372" s="5" t="str">
        <f>IFERROR(INDEX(Employee_Master!$C$2:$C$44,MATCH($C372,Employee_Master!$A$2:$A$44,0)),"Not Found")</f>
        <v>Sales</v>
      </c>
      <c r="F372" s="5" t="str">
        <f>IFERROR(INDEX(Employee_Master!$D$2:$D$44,MATCH($C372,Employee_Master!$A$2:$A$44,0)),"Not Found")</f>
        <v>William Oconnell</v>
      </c>
      <c r="G372" s="5" t="str">
        <f>IFERROR(INDEX(Employee_Master!$E$2:$E$44,MATCH($C372,Employee_Master!$A$2:$A$44,0)),"Not Found")</f>
        <v>North</v>
      </c>
      <c r="H372" s="5" t="str">
        <f>Sales_Data!D369</f>
        <v>P027 - Cricket Bat</v>
      </c>
      <c r="I372" s="5" t="str">
        <f>IFERROR(INDEX(Product_Master!$B$2:$B$30,MATCH($H372,Product_Master!$A$2:$A$30,0)),"Invalid Product Code")</f>
        <v>Sports</v>
      </c>
      <c r="J372" s="5">
        <f>IFERROR(INDEX(Product_Master!$C$2:$C$30,MATCH($H372,Product_Master!$A$2:$A$30,0)),0)</f>
        <v>822.7</v>
      </c>
      <c r="K372" s="5">
        <f>Sales_Data!E369</f>
        <v>2</v>
      </c>
      <c r="L372" s="5">
        <f>Sales_Data!F369</f>
        <v>1520.47</v>
      </c>
      <c r="M372" s="5">
        <f>Sales_Data!G369</f>
        <v>1614.01</v>
      </c>
      <c r="N372" s="5" t="str">
        <f>IFERROR(INDEX(Branch_Master!$B$2:$B$9,MATCH($B372,Branch_Master!$A$2:$A$9,0)),"Not Found")</f>
        <v>New Delhi</v>
      </c>
      <c r="O372" s="5" t="str">
        <f>IFERROR(INDEX(Branch_Master!$C$2:$C$9,MATCH($B372,Branch_Master!$A$2:$A$9,0)),"Not Found")</f>
        <v>Delhi</v>
      </c>
      <c r="P372" s="5">
        <f>IFERROR(INDEX(Targets!$B$2:$B$9,MATCH($B372,Targets!$A$2:$A$9,0)),0)</f>
        <v>2070000</v>
      </c>
      <c r="Q372" s="5" t="str">
        <f t="shared" si="10"/>
        <v>No</v>
      </c>
      <c r="R372" s="5" t="str">
        <f t="shared" si="11"/>
        <v>May</v>
      </c>
    </row>
    <row r="373" spans="1:18" ht="15" customHeight="1" x14ac:dyDescent="0.3">
      <c r="A373" s="5" t="str">
        <f>Sales_Data!A370</f>
        <v>2025-05-15</v>
      </c>
      <c r="B373" s="5" t="str">
        <f>Sales_Data!B370</f>
        <v>Pune East</v>
      </c>
      <c r="C373" s="5" t="str">
        <f>Sales_Data!C370</f>
        <v>E023</v>
      </c>
      <c r="D373" s="5" t="str">
        <f>IFERROR(INDEX(Employee_Master!$B$2:$B$44,MATCH($C373,Employee_Master!$A$2:$A$44,0)),"Not Found")</f>
        <v>Edward Jones</v>
      </c>
      <c r="E373" s="5" t="str">
        <f>IFERROR(INDEX(Employee_Master!$C$2:$C$44,MATCH($C373,Employee_Master!$A$2:$A$44,0)),"Not Found")</f>
        <v>Operations</v>
      </c>
      <c r="F373" s="5" t="str">
        <f>IFERROR(INDEX(Employee_Master!$D$2:$D$44,MATCH($C373,Employee_Master!$A$2:$A$44,0)),"Not Found")</f>
        <v>Jordan Matthews</v>
      </c>
      <c r="G373" s="5" t="str">
        <f>IFERROR(INDEX(Employee_Master!$E$2:$E$44,MATCH($C373,Employee_Master!$A$2:$A$44,0)),"Not Found")</f>
        <v>West</v>
      </c>
      <c r="H373" s="5" t="str">
        <f>Sales_Data!D370</f>
        <v>P020 - Green Tea Pack</v>
      </c>
      <c r="I373" s="5" t="str">
        <f>IFERROR(INDEX(Product_Master!$B$2:$B$30,MATCH($H373,Product_Master!$A$2:$A$30,0)),"Invalid Product Code")</f>
        <v>Grocery</v>
      </c>
      <c r="J373" s="5">
        <f>IFERROR(INDEX(Product_Master!$C$2:$C$30,MATCH($H373,Product_Master!$A$2:$A$30,0)),0)</f>
        <v>305.39</v>
      </c>
      <c r="K373" s="5">
        <f>Sales_Data!E370</f>
        <v>6</v>
      </c>
      <c r="L373" s="5">
        <f>Sales_Data!F370</f>
        <v>2000.61</v>
      </c>
      <c r="M373" s="5">
        <f>Sales_Data!G370</f>
        <v>2073.11</v>
      </c>
      <c r="N373" s="5" t="str">
        <f>IFERROR(INDEX(Branch_Master!$B$2:$B$9,MATCH($B373,Branch_Master!$A$2:$A$9,0)),"Not Found")</f>
        <v>Pune</v>
      </c>
      <c r="O373" s="5" t="str">
        <f>IFERROR(INDEX(Branch_Master!$C$2:$C$9,MATCH($B373,Branch_Master!$A$2:$A$9,0)),"Not Found")</f>
        <v>Maharashtra</v>
      </c>
      <c r="P373" s="5">
        <f>IFERROR(INDEX(Targets!$B$2:$B$9,MATCH($B373,Targets!$A$2:$A$9,0)),0)</f>
        <v>1250000</v>
      </c>
      <c r="Q373" s="5" t="str">
        <f t="shared" si="10"/>
        <v>No</v>
      </c>
      <c r="R373" s="5" t="str">
        <f t="shared" si="11"/>
        <v>May</v>
      </c>
    </row>
    <row r="374" spans="1:18" ht="15" customHeight="1" x14ac:dyDescent="0.3">
      <c r="A374" s="5" t="str">
        <f>Sales_Data!A371</f>
        <v>2025-05-15</v>
      </c>
      <c r="B374" s="5" t="str">
        <f>Sales_Data!B371</f>
        <v>Kolkata Central</v>
      </c>
      <c r="C374" s="5" t="str">
        <f>Sales_Data!C371</f>
        <v>E024</v>
      </c>
      <c r="D374" s="5" t="str">
        <f>IFERROR(INDEX(Employee_Master!$B$2:$B$44,MATCH($C374,Employee_Master!$A$2:$A$44,0)),"Not Found")</f>
        <v>Kevin Sanchez</v>
      </c>
      <c r="E374" s="5" t="str">
        <f>IFERROR(INDEX(Employee_Master!$C$2:$C$44,MATCH($C374,Employee_Master!$A$2:$A$44,0)),"Not Found")</f>
        <v>Sales</v>
      </c>
      <c r="F374" s="5" t="str">
        <f>IFERROR(INDEX(Employee_Master!$D$2:$D$44,MATCH($C374,Employee_Master!$A$2:$A$44,0)),"Not Found")</f>
        <v>Lisa Moore</v>
      </c>
      <c r="G374" s="5" t="str">
        <f>IFERROR(INDEX(Employee_Master!$E$2:$E$44,MATCH($C374,Employee_Master!$A$2:$A$44,0)),"Not Found")</f>
        <v>East</v>
      </c>
      <c r="H374" s="5" t="str">
        <f>Sales_Data!D371</f>
        <v>P024 - Hair Serum</v>
      </c>
      <c r="I374" s="5" t="str">
        <f>IFERROR(INDEX(Product_Master!$B$2:$B$30,MATCH($H374,Product_Master!$A$2:$A$30,0)),"Invalid Product Code")</f>
        <v>Beauty</v>
      </c>
      <c r="J374" s="5">
        <f>IFERROR(INDEX(Product_Master!$C$2:$C$30,MATCH($H374,Product_Master!$A$2:$A$30,0)),0)</f>
        <v>1457.31</v>
      </c>
      <c r="K374" s="5">
        <f>Sales_Data!E371</f>
        <v>5</v>
      </c>
      <c r="L374" s="5">
        <f>Sales_Data!F371</f>
        <v>7434.24</v>
      </c>
      <c r="M374" s="5">
        <f>Sales_Data!G371</f>
        <v>7237.44</v>
      </c>
      <c r="N374" s="5" t="str">
        <f>IFERROR(INDEX(Branch_Master!$B$2:$B$9,MATCH($B374,Branch_Master!$A$2:$A$9,0)),"Not Found")</f>
        <v>Kolkata</v>
      </c>
      <c r="O374" s="5" t="str">
        <f>IFERROR(INDEX(Branch_Master!$C$2:$C$9,MATCH($B374,Branch_Master!$A$2:$A$9,0)),"Not Found")</f>
        <v>West Bengal</v>
      </c>
      <c r="P374" s="5">
        <f>IFERROR(INDEX(Targets!$B$2:$B$9,MATCH($B374,Targets!$A$2:$A$9,0)),0)</f>
        <v>1910000</v>
      </c>
      <c r="Q374" s="5" t="str">
        <f t="shared" si="10"/>
        <v>Yes</v>
      </c>
      <c r="R374" s="5" t="str">
        <f t="shared" si="11"/>
        <v>May</v>
      </c>
    </row>
    <row r="375" spans="1:18" ht="15" customHeight="1" x14ac:dyDescent="0.3">
      <c r="A375" s="5" t="str">
        <f>Sales_Data!A372</f>
        <v>2025-05-16</v>
      </c>
      <c r="B375" s="5" t="str">
        <f>Sales_Data!B372</f>
        <v>Pune East</v>
      </c>
      <c r="C375" s="5" t="str">
        <f>Sales_Data!C372</f>
        <v>E022</v>
      </c>
      <c r="D375" s="5" t="str">
        <f>IFERROR(INDEX(Employee_Master!$B$2:$B$44,MATCH($C375,Employee_Master!$A$2:$A$44,0)),"Not Found")</f>
        <v>Cindy Green PhD</v>
      </c>
      <c r="E375" s="5" t="str">
        <f>IFERROR(INDEX(Employee_Master!$C$2:$C$44,MATCH($C375,Employee_Master!$A$2:$A$44,0)),"Not Found")</f>
        <v>Customer Support</v>
      </c>
      <c r="F375" s="5" t="str">
        <f>IFERROR(INDEX(Employee_Master!$D$2:$D$44,MATCH($C375,Employee_Master!$A$2:$A$44,0)),"Not Found")</f>
        <v>Jordan Matthews</v>
      </c>
      <c r="G375" s="5" t="str">
        <f>IFERROR(INDEX(Employee_Master!$E$2:$E$44,MATCH($C375,Employee_Master!$A$2:$A$44,0)),"Not Found")</f>
        <v>West</v>
      </c>
      <c r="H375" s="5" t="str">
        <f>Sales_Data!D372</f>
        <v>P012 - Non-Stick Pan</v>
      </c>
      <c r="I375" s="5" t="str">
        <f>IFERROR(INDEX(Product_Master!$B$2:$B$30,MATCH($H375,Product_Master!$A$2:$A$30,0)),"Invalid Product Code")</f>
        <v>Home &amp; Kitchen</v>
      </c>
      <c r="J375" s="5">
        <f>IFERROR(INDEX(Product_Master!$C$2:$C$30,MATCH($H375,Product_Master!$A$2:$A$30,0)),0)</f>
        <v>353.18</v>
      </c>
      <c r="K375" s="5">
        <f>Sales_Data!E372</f>
        <v>1</v>
      </c>
      <c r="L375" s="5">
        <f>Sales_Data!F372</f>
        <v>330.05</v>
      </c>
      <c r="M375" s="5">
        <f>Sales_Data!G372</f>
        <v>394.43</v>
      </c>
      <c r="N375" s="5" t="str">
        <f>IFERROR(INDEX(Branch_Master!$B$2:$B$9,MATCH($B375,Branch_Master!$A$2:$A$9,0)),"Not Found")</f>
        <v>Pune</v>
      </c>
      <c r="O375" s="5" t="str">
        <f>IFERROR(INDEX(Branch_Master!$C$2:$C$9,MATCH($B375,Branch_Master!$A$2:$A$9,0)),"Not Found")</f>
        <v>Maharashtra</v>
      </c>
      <c r="P375" s="5">
        <f>IFERROR(INDEX(Targets!$B$2:$B$9,MATCH($B375,Targets!$A$2:$A$9,0)),0)</f>
        <v>1250000</v>
      </c>
      <c r="Q375" s="5" t="str">
        <f t="shared" si="10"/>
        <v>No</v>
      </c>
      <c r="R375" s="5" t="str">
        <f t="shared" si="11"/>
        <v>May</v>
      </c>
    </row>
    <row r="376" spans="1:18" ht="15" customHeight="1" x14ac:dyDescent="0.3">
      <c r="A376" s="5" t="str">
        <f>Sales_Data!A373</f>
        <v>2025-05-16</v>
      </c>
      <c r="B376" s="5" t="str">
        <f>Sales_Data!B373</f>
        <v>Mumbai Central</v>
      </c>
      <c r="C376" s="5" t="str">
        <f>Sales_Data!C373</f>
        <v>E033</v>
      </c>
      <c r="D376" s="5" t="str">
        <f>IFERROR(INDEX(Employee_Master!$B$2:$B$44,MATCH($C376,Employee_Master!$A$2:$A$44,0)),"Not Found")</f>
        <v>Dawn Colon</v>
      </c>
      <c r="E376" s="5" t="str">
        <f>IFERROR(INDEX(Employee_Master!$C$2:$C$44,MATCH($C376,Employee_Master!$A$2:$A$44,0)),"Not Found")</f>
        <v>Customer Support</v>
      </c>
      <c r="F376" s="5" t="str">
        <f>IFERROR(INDEX(Employee_Master!$D$2:$D$44,MATCH($C376,Employee_Master!$A$2:$A$44,0)),"Not Found")</f>
        <v>Justin Glass</v>
      </c>
      <c r="G376" s="5" t="str">
        <f>IFERROR(INDEX(Employee_Master!$E$2:$E$44,MATCH($C376,Employee_Master!$A$2:$A$44,0)),"Not Found")</f>
        <v>West</v>
      </c>
      <c r="H376" s="5" t="str">
        <f>Sales_Data!D373</f>
        <v>P018 - Cooking Oil 1L</v>
      </c>
      <c r="I376" s="5" t="str">
        <f>IFERROR(INDEX(Product_Master!$B$2:$B$30,MATCH($H376,Product_Master!$A$2:$A$30,0)),"Invalid Product Code")</f>
        <v>Grocery</v>
      </c>
      <c r="J376" s="5">
        <f>IFERROR(INDEX(Product_Master!$C$2:$C$30,MATCH($H376,Product_Master!$A$2:$A$30,0)),0)</f>
        <v>1483.63</v>
      </c>
      <c r="K376" s="5">
        <f>Sales_Data!E373</f>
        <v>7</v>
      </c>
      <c r="L376" s="5">
        <f>Sales_Data!F373</f>
        <v>10461.41</v>
      </c>
      <c r="M376" s="5">
        <f>Sales_Data!G373</f>
        <v>11054.65</v>
      </c>
      <c r="N376" s="5" t="str">
        <f>IFERROR(INDEX(Branch_Master!$B$2:$B$9,MATCH($B376,Branch_Master!$A$2:$A$9,0)),"Not Found")</f>
        <v>Mumbai</v>
      </c>
      <c r="O376" s="5" t="str">
        <f>IFERROR(INDEX(Branch_Master!$C$2:$C$9,MATCH($B376,Branch_Master!$A$2:$A$9,0)),"Not Found")</f>
        <v>Maharashtra</v>
      </c>
      <c r="P376" s="5">
        <f>IFERROR(INDEX(Targets!$B$2:$B$9,MATCH($B376,Targets!$A$2:$A$9,0)),0)</f>
        <v>900000</v>
      </c>
      <c r="Q376" s="5" t="str">
        <f t="shared" si="10"/>
        <v>No</v>
      </c>
      <c r="R376" s="5" t="str">
        <f t="shared" si="11"/>
        <v>May</v>
      </c>
    </row>
    <row r="377" spans="1:18" ht="15" customHeight="1" x14ac:dyDescent="0.3">
      <c r="A377" s="5" t="str">
        <f>Sales_Data!A374</f>
        <v>2025-05-18</v>
      </c>
      <c r="B377" s="5" t="str">
        <f>Sales_Data!B374</f>
        <v>Bangalore North</v>
      </c>
      <c r="C377" s="5" t="str">
        <f>Sales_Data!C374</f>
        <v>E006</v>
      </c>
      <c r="D377" s="5" t="str">
        <f>IFERROR(INDEX(Employee_Master!$B$2:$B$44,MATCH($C377,Employee_Master!$A$2:$A$44,0)),"Not Found")</f>
        <v>Dylan Jones</v>
      </c>
      <c r="E377" s="5" t="str">
        <f>IFERROR(INDEX(Employee_Master!$C$2:$C$44,MATCH($C377,Employee_Master!$A$2:$A$44,0)),"Not Found")</f>
        <v>Sales</v>
      </c>
      <c r="F377" s="5" t="str">
        <f>IFERROR(INDEX(Employee_Master!$D$2:$D$44,MATCH($C377,Employee_Master!$A$2:$A$44,0)),"Not Found")</f>
        <v>Jose Soto</v>
      </c>
      <c r="G377" s="5" t="str">
        <f>IFERROR(INDEX(Employee_Master!$E$2:$E$44,MATCH($C377,Employee_Master!$A$2:$A$44,0)),"Not Found")</f>
        <v>South</v>
      </c>
      <c r="H377" s="5" t="str">
        <f>Sales_Data!D374</f>
        <v>P013 - Mixer Grinder</v>
      </c>
      <c r="I377" s="5" t="str">
        <f>IFERROR(INDEX(Product_Master!$B$2:$B$30,MATCH($H377,Product_Master!$A$2:$A$30,0)),"Invalid Product Code")</f>
        <v>Home &amp; Kitchen</v>
      </c>
      <c r="J377" s="5">
        <f>IFERROR(INDEX(Product_Master!$C$2:$C$30,MATCH($H377,Product_Master!$A$2:$A$30,0)),0)</f>
        <v>798.53</v>
      </c>
      <c r="K377" s="5">
        <f>Sales_Data!E374</f>
        <v>11</v>
      </c>
      <c r="L377" s="5">
        <f>Sales_Data!F374</f>
        <v>9034.44</v>
      </c>
      <c r="M377" s="5">
        <f>Sales_Data!G374</f>
        <v>8128.3</v>
      </c>
      <c r="N377" s="5" t="str">
        <f>IFERROR(INDEX(Branch_Master!$B$2:$B$9,MATCH($B377,Branch_Master!$A$2:$A$9,0)),"Not Found")</f>
        <v>Bangalore</v>
      </c>
      <c r="O377" s="5" t="str">
        <f>IFERROR(INDEX(Branch_Master!$C$2:$C$9,MATCH($B377,Branch_Master!$A$2:$A$9,0)),"Not Found")</f>
        <v>Karnataka</v>
      </c>
      <c r="P377" s="5">
        <f>IFERROR(INDEX(Targets!$B$2:$B$9,MATCH($B377,Targets!$A$2:$A$9,0)),0)</f>
        <v>900000</v>
      </c>
      <c r="Q377" s="5" t="str">
        <f t="shared" si="10"/>
        <v>Yes</v>
      </c>
      <c r="R377" s="5" t="str">
        <f t="shared" si="11"/>
        <v>May</v>
      </c>
    </row>
    <row r="378" spans="1:18" ht="15" customHeight="1" x14ac:dyDescent="0.3">
      <c r="A378" s="5" t="str">
        <f>Sales_Data!A375</f>
        <v>2025-05-18</v>
      </c>
      <c r="B378" s="5" t="str">
        <f>Sales_Data!B375</f>
        <v>Bangalore North</v>
      </c>
      <c r="C378" s="5" t="str">
        <f>Sales_Data!C375</f>
        <v>E004</v>
      </c>
      <c r="D378" s="5" t="str">
        <f>IFERROR(INDEX(Employee_Master!$B$2:$B$44,MATCH($C378,Employee_Master!$A$2:$A$44,0)),"Not Found")</f>
        <v>Judith Ramirez</v>
      </c>
      <c r="E378" s="5" t="str">
        <f>IFERROR(INDEX(Employee_Master!$C$2:$C$44,MATCH($C378,Employee_Master!$A$2:$A$44,0)),"Not Found")</f>
        <v>Sales</v>
      </c>
      <c r="F378" s="5" t="str">
        <f>IFERROR(INDEX(Employee_Master!$D$2:$D$44,MATCH($C378,Employee_Master!$A$2:$A$44,0)),"Not Found")</f>
        <v>Jose Soto</v>
      </c>
      <c r="G378" s="5" t="str">
        <f>IFERROR(INDEX(Employee_Master!$E$2:$E$44,MATCH($C378,Employee_Master!$A$2:$A$44,0)),"Not Found")</f>
        <v>South</v>
      </c>
      <c r="H378" s="5" t="str">
        <f>Sales_Data!D375</f>
        <v>P007 - Cotton T-Shirt</v>
      </c>
      <c r="I378" s="5" t="str">
        <f>IFERROR(INDEX(Product_Master!$B$2:$B$30,MATCH($H378,Product_Master!$A$2:$A$30,0)),"Invalid Product Code")</f>
        <v>Apparel</v>
      </c>
      <c r="J378" s="5">
        <f>IFERROR(INDEX(Product_Master!$C$2:$C$30,MATCH($H378,Product_Master!$A$2:$A$30,0)),0)</f>
        <v>338.44</v>
      </c>
      <c r="K378" s="5">
        <f>Sales_Data!E375</f>
        <v>7</v>
      </c>
      <c r="L378" s="5">
        <f>Sales_Data!F375</f>
        <v>2426.5</v>
      </c>
      <c r="M378" s="5">
        <f>Sales_Data!G375</f>
        <v>2221.2199999999998</v>
      </c>
      <c r="N378" s="5" t="str">
        <f>IFERROR(INDEX(Branch_Master!$B$2:$B$9,MATCH($B378,Branch_Master!$A$2:$A$9,0)),"Not Found")</f>
        <v>Bangalore</v>
      </c>
      <c r="O378" s="5" t="str">
        <f>IFERROR(INDEX(Branch_Master!$C$2:$C$9,MATCH($B378,Branch_Master!$A$2:$A$9,0)),"Not Found")</f>
        <v>Karnataka</v>
      </c>
      <c r="P378" s="5">
        <f>IFERROR(INDEX(Targets!$B$2:$B$9,MATCH($B378,Targets!$A$2:$A$9,0)),0)</f>
        <v>900000</v>
      </c>
      <c r="Q378" s="5" t="str">
        <f t="shared" si="10"/>
        <v>Yes</v>
      </c>
      <c r="R378" s="5" t="str">
        <f t="shared" si="11"/>
        <v>May</v>
      </c>
    </row>
    <row r="379" spans="1:18" ht="15" customHeight="1" x14ac:dyDescent="0.3">
      <c r="A379" s="5" t="str">
        <f>Sales_Data!A376</f>
        <v>2025-05-18</v>
      </c>
      <c r="B379" s="5" t="str">
        <f>Sales_Data!B376</f>
        <v>Mumbai Central</v>
      </c>
      <c r="C379" s="5" t="str">
        <f>Sales_Data!C376</f>
        <v>E033</v>
      </c>
      <c r="D379" s="5" t="str">
        <f>IFERROR(INDEX(Employee_Master!$B$2:$B$44,MATCH($C379,Employee_Master!$A$2:$A$44,0)),"Not Found")</f>
        <v>Dawn Colon</v>
      </c>
      <c r="E379" s="5" t="str">
        <f>IFERROR(INDEX(Employee_Master!$C$2:$C$44,MATCH($C379,Employee_Master!$A$2:$A$44,0)),"Not Found")</f>
        <v>Customer Support</v>
      </c>
      <c r="F379" s="5" t="str">
        <f>IFERROR(INDEX(Employee_Master!$D$2:$D$44,MATCH($C379,Employee_Master!$A$2:$A$44,0)),"Not Found")</f>
        <v>Justin Glass</v>
      </c>
      <c r="G379" s="5" t="str">
        <f>IFERROR(INDEX(Employee_Master!$E$2:$E$44,MATCH($C379,Employee_Master!$A$2:$A$44,0)),"Not Found")</f>
        <v>West</v>
      </c>
      <c r="H379" s="5" t="str">
        <f>Sales_Data!D376</f>
        <v>P001 - Wireless Earbuds</v>
      </c>
      <c r="I379" s="5" t="str">
        <f>IFERROR(INDEX(Product_Master!$B$2:$B$30,MATCH($H379,Product_Master!$A$2:$A$30,0)),"Invalid Product Code")</f>
        <v>Electronics</v>
      </c>
      <c r="J379" s="5">
        <f>IFERROR(INDEX(Product_Master!$C$2:$C$30,MATCH($H379,Product_Master!$A$2:$A$30,0)),0)</f>
        <v>1676.76</v>
      </c>
      <c r="K379" s="5">
        <f>Sales_Data!E376</f>
        <v>8</v>
      </c>
      <c r="L379" s="5">
        <f>Sales_Data!F376</f>
        <v>13891.8</v>
      </c>
      <c r="M379" s="5">
        <f>Sales_Data!G376</f>
        <v>11870.88</v>
      </c>
      <c r="N379" s="5" t="str">
        <f>IFERROR(INDEX(Branch_Master!$B$2:$B$9,MATCH($B379,Branch_Master!$A$2:$A$9,0)),"Not Found")</f>
        <v>Mumbai</v>
      </c>
      <c r="O379" s="5" t="str">
        <f>IFERROR(INDEX(Branch_Master!$C$2:$C$9,MATCH($B379,Branch_Master!$A$2:$A$9,0)),"Not Found")</f>
        <v>Maharashtra</v>
      </c>
      <c r="P379" s="5">
        <f>IFERROR(INDEX(Targets!$B$2:$B$9,MATCH($B379,Targets!$A$2:$A$9,0)),0)</f>
        <v>900000</v>
      </c>
      <c r="Q379" s="5" t="str">
        <f t="shared" si="10"/>
        <v>Yes</v>
      </c>
      <c r="R379" s="5" t="str">
        <f t="shared" si="11"/>
        <v>May</v>
      </c>
    </row>
    <row r="380" spans="1:18" ht="15" customHeight="1" x14ac:dyDescent="0.3">
      <c r="A380" s="5" t="str">
        <f>Sales_Data!A377</f>
        <v>2025-05-19</v>
      </c>
      <c r="B380" s="5" t="str">
        <f>Sales_Data!B377</f>
        <v>Pune East</v>
      </c>
      <c r="C380" s="5" t="str">
        <f>Sales_Data!C377</f>
        <v>E023</v>
      </c>
      <c r="D380" s="5" t="str">
        <f>IFERROR(INDEX(Employee_Master!$B$2:$B$44,MATCH($C380,Employee_Master!$A$2:$A$44,0)),"Not Found")</f>
        <v>Edward Jones</v>
      </c>
      <c r="E380" s="5" t="str">
        <f>IFERROR(INDEX(Employee_Master!$C$2:$C$44,MATCH($C380,Employee_Master!$A$2:$A$44,0)),"Not Found")</f>
        <v>Operations</v>
      </c>
      <c r="F380" s="5" t="str">
        <f>IFERROR(INDEX(Employee_Master!$D$2:$D$44,MATCH($C380,Employee_Master!$A$2:$A$44,0)),"Not Found")</f>
        <v>Jordan Matthews</v>
      </c>
      <c r="G380" s="5" t="str">
        <f>IFERROR(INDEX(Employee_Master!$E$2:$E$44,MATCH($C380,Employee_Master!$A$2:$A$44,0)),"Not Found")</f>
        <v>West</v>
      </c>
      <c r="H380" s="5" t="str">
        <f>Sales_Data!D377</f>
        <v>P023 - Sunscreen SPF50</v>
      </c>
      <c r="I380" s="5" t="str">
        <f>IFERROR(INDEX(Product_Master!$B$2:$B$30,MATCH($H380,Product_Master!$A$2:$A$30,0)),"Invalid Product Code")</f>
        <v>Beauty</v>
      </c>
      <c r="J380" s="5">
        <f>IFERROR(INDEX(Product_Master!$C$2:$C$30,MATCH($H380,Product_Master!$A$2:$A$30,0)),0)</f>
        <v>818.95</v>
      </c>
      <c r="K380" s="5">
        <f>Sales_Data!E377</f>
        <v>8</v>
      </c>
      <c r="L380" s="5">
        <f>Sales_Data!F377</f>
        <v>6005.01</v>
      </c>
      <c r="M380" s="5">
        <f>Sales_Data!G377</f>
        <v>7040.21</v>
      </c>
      <c r="N380" s="5" t="str">
        <f>IFERROR(INDEX(Branch_Master!$B$2:$B$9,MATCH($B380,Branch_Master!$A$2:$A$9,0)),"Not Found")</f>
        <v>Pune</v>
      </c>
      <c r="O380" s="5" t="str">
        <f>IFERROR(INDEX(Branch_Master!$C$2:$C$9,MATCH($B380,Branch_Master!$A$2:$A$9,0)),"Not Found")</f>
        <v>Maharashtra</v>
      </c>
      <c r="P380" s="5">
        <f>IFERROR(INDEX(Targets!$B$2:$B$9,MATCH($B380,Targets!$A$2:$A$9,0)),0)</f>
        <v>1250000</v>
      </c>
      <c r="Q380" s="5" t="str">
        <f t="shared" si="10"/>
        <v>No</v>
      </c>
      <c r="R380" s="5" t="str">
        <f t="shared" si="11"/>
        <v>May</v>
      </c>
    </row>
    <row r="381" spans="1:18" ht="15" customHeight="1" x14ac:dyDescent="0.3">
      <c r="A381" s="5" t="str">
        <f>Sales_Data!A378</f>
        <v>2025-05-20</v>
      </c>
      <c r="B381" s="5" t="str">
        <f>Sales_Data!B378</f>
        <v>Hyderabad Hitech</v>
      </c>
      <c r="C381" s="5" t="str">
        <f>Sales_Data!C378</f>
        <v>E030</v>
      </c>
      <c r="D381" s="5" t="str">
        <f>IFERROR(INDEX(Employee_Master!$B$2:$B$44,MATCH($C381,Employee_Master!$A$2:$A$44,0)),"Not Found")</f>
        <v>Travis Khan</v>
      </c>
      <c r="E381" s="5" t="str">
        <f>IFERROR(INDEX(Employee_Master!$C$2:$C$44,MATCH($C381,Employee_Master!$A$2:$A$44,0)),"Not Found")</f>
        <v>Operations</v>
      </c>
      <c r="F381" s="5" t="str">
        <f>IFERROR(INDEX(Employee_Master!$D$2:$D$44,MATCH($C381,Employee_Master!$A$2:$A$44,0)),"Not Found")</f>
        <v>Anna Turner</v>
      </c>
      <c r="G381" s="5" t="str">
        <f>IFERROR(INDEX(Employee_Master!$E$2:$E$44,MATCH($C381,Employee_Master!$A$2:$A$44,0)),"Not Found")</f>
        <v>South</v>
      </c>
      <c r="H381" s="5" t="str">
        <f>Sales_Data!D378</f>
        <v>P020 - Green Tea Pack</v>
      </c>
      <c r="I381" s="5" t="str">
        <f>IFERROR(INDEX(Product_Master!$B$2:$B$30,MATCH($H381,Product_Master!$A$2:$A$30,0)),"Invalid Product Code")</f>
        <v>Grocery</v>
      </c>
      <c r="J381" s="5">
        <f>IFERROR(INDEX(Product_Master!$C$2:$C$30,MATCH($H381,Product_Master!$A$2:$A$30,0)),0)</f>
        <v>305.39</v>
      </c>
      <c r="K381" s="5">
        <f>Sales_Data!E378</f>
        <v>4</v>
      </c>
      <c r="L381" s="5">
        <f>Sales_Data!F378</f>
        <v>1339.85</v>
      </c>
      <c r="M381" s="5">
        <f>Sales_Data!G378</f>
        <v>1075.21</v>
      </c>
      <c r="N381" s="5" t="str">
        <f>IFERROR(INDEX(Branch_Master!$B$2:$B$9,MATCH($B381,Branch_Master!$A$2:$A$9,0)),"Not Found")</f>
        <v>Hyderabad</v>
      </c>
      <c r="O381" s="5" t="str">
        <f>IFERROR(INDEX(Branch_Master!$C$2:$C$9,MATCH($B381,Branch_Master!$A$2:$A$9,0)),"Not Found")</f>
        <v>Telangana</v>
      </c>
      <c r="P381" s="5">
        <f>IFERROR(INDEX(Targets!$B$2:$B$9,MATCH($B381,Targets!$A$2:$A$9,0)),0)</f>
        <v>1210000</v>
      </c>
      <c r="Q381" s="5" t="str">
        <f t="shared" si="10"/>
        <v>Yes</v>
      </c>
      <c r="R381" s="5" t="str">
        <f t="shared" si="11"/>
        <v>May</v>
      </c>
    </row>
    <row r="382" spans="1:18" ht="15" customHeight="1" x14ac:dyDescent="0.3">
      <c r="A382" s="5" t="str">
        <f>Sales_Data!A379</f>
        <v>2025-05-20</v>
      </c>
      <c r="B382" s="5" t="str">
        <f>Sales_Data!B379</f>
        <v>Bangalore North</v>
      </c>
      <c r="C382" s="5" t="str">
        <f>Sales_Data!C379</f>
        <v>E040</v>
      </c>
      <c r="D382" s="5" t="str">
        <f>IFERROR(INDEX(Employee_Master!$B$2:$B$44,MATCH($C382,Employee_Master!$A$2:$A$44,0)),"Not Found")</f>
        <v>Bonnie Cox</v>
      </c>
      <c r="E382" s="5" t="str">
        <f>IFERROR(INDEX(Employee_Master!$C$2:$C$44,MATCH($C382,Employee_Master!$A$2:$A$44,0)),"Not Found")</f>
        <v>Customer Support</v>
      </c>
      <c r="F382" s="5" t="str">
        <f>IFERROR(INDEX(Employee_Master!$D$2:$D$44,MATCH($C382,Employee_Master!$A$2:$A$44,0)),"Not Found")</f>
        <v>Jose Soto</v>
      </c>
      <c r="G382" s="5" t="str">
        <f>IFERROR(INDEX(Employee_Master!$E$2:$E$44,MATCH($C382,Employee_Master!$A$2:$A$44,0)),"Not Found")</f>
        <v>South</v>
      </c>
      <c r="H382" s="5" t="str">
        <f>Sales_Data!D379</f>
        <v>P028 - Football</v>
      </c>
      <c r="I382" s="5" t="str">
        <f>IFERROR(INDEX(Product_Master!$B$2:$B$30,MATCH($H382,Product_Master!$A$2:$A$30,0)),"Invalid Product Code")</f>
        <v>Sports</v>
      </c>
      <c r="J382" s="5">
        <f>IFERROR(INDEX(Product_Master!$C$2:$C$30,MATCH($H382,Product_Master!$A$2:$A$30,0)),0)</f>
        <v>314.25</v>
      </c>
      <c r="K382" s="5">
        <f>Sales_Data!E379</f>
        <v>3</v>
      </c>
      <c r="L382" s="5">
        <f>Sales_Data!F379</f>
        <v>1010.37</v>
      </c>
      <c r="M382" s="5">
        <f>Sales_Data!G379</f>
        <v>1065.77</v>
      </c>
      <c r="N382" s="5" t="str">
        <f>IFERROR(INDEX(Branch_Master!$B$2:$B$9,MATCH($B382,Branch_Master!$A$2:$A$9,0)),"Not Found")</f>
        <v>Bangalore</v>
      </c>
      <c r="O382" s="5" t="str">
        <f>IFERROR(INDEX(Branch_Master!$C$2:$C$9,MATCH($B382,Branch_Master!$A$2:$A$9,0)),"Not Found")</f>
        <v>Karnataka</v>
      </c>
      <c r="P382" s="5">
        <f>IFERROR(INDEX(Targets!$B$2:$B$9,MATCH($B382,Targets!$A$2:$A$9,0)),0)</f>
        <v>900000</v>
      </c>
      <c r="Q382" s="5" t="str">
        <f t="shared" si="10"/>
        <v>No</v>
      </c>
      <c r="R382" s="5" t="str">
        <f t="shared" si="11"/>
        <v>May</v>
      </c>
    </row>
    <row r="383" spans="1:18" ht="15" customHeight="1" x14ac:dyDescent="0.3">
      <c r="A383" s="5" t="str">
        <f>Sales_Data!A380</f>
        <v>2025-05-20</v>
      </c>
      <c r="B383" s="5" t="str">
        <f>Sales_Data!B380</f>
        <v>Mumbai Central</v>
      </c>
      <c r="C383" s="5" t="str">
        <f>Sales_Data!C380</f>
        <v>E016</v>
      </c>
      <c r="D383" s="5" t="str">
        <f>IFERROR(INDEX(Employee_Master!$B$2:$B$44,MATCH($C383,Employee_Master!$A$2:$A$44,0)),"Not Found")</f>
        <v>Connor Dennis</v>
      </c>
      <c r="E383" s="5" t="str">
        <f>IFERROR(INDEX(Employee_Master!$C$2:$C$44,MATCH($C383,Employee_Master!$A$2:$A$44,0)),"Not Found")</f>
        <v>Sales</v>
      </c>
      <c r="F383" s="5" t="str">
        <f>IFERROR(INDEX(Employee_Master!$D$2:$D$44,MATCH($C383,Employee_Master!$A$2:$A$44,0)),"Not Found")</f>
        <v>Justin Glass</v>
      </c>
      <c r="G383" s="5" t="str">
        <f>IFERROR(INDEX(Employee_Master!$E$2:$E$44,MATCH($C383,Employee_Master!$A$2:$A$44,0)),"Not Found")</f>
        <v>West</v>
      </c>
      <c r="H383" s="5" t="str">
        <f>Sales_Data!D380</f>
        <v>P026 - Yoga Mat</v>
      </c>
      <c r="I383" s="5" t="str">
        <f>IFERROR(INDEX(Product_Master!$B$2:$B$30,MATCH($H383,Product_Master!$A$2:$A$30,0)),"Invalid Product Code")</f>
        <v>Sports</v>
      </c>
      <c r="J383" s="5">
        <f>IFERROR(INDEX(Product_Master!$C$2:$C$30,MATCH($H383,Product_Master!$A$2:$A$30,0)),0)</f>
        <v>518.76</v>
      </c>
      <c r="K383" s="5">
        <f>Sales_Data!E380</f>
        <v>5</v>
      </c>
      <c r="L383" s="5">
        <f>Sales_Data!F380</f>
        <v>2823.83</v>
      </c>
      <c r="M383" s="5">
        <f>Sales_Data!G380</f>
        <v>2323.14</v>
      </c>
      <c r="N383" s="5" t="str">
        <f>IFERROR(INDEX(Branch_Master!$B$2:$B$9,MATCH($B383,Branch_Master!$A$2:$A$9,0)),"Not Found")</f>
        <v>Mumbai</v>
      </c>
      <c r="O383" s="5" t="str">
        <f>IFERROR(INDEX(Branch_Master!$C$2:$C$9,MATCH($B383,Branch_Master!$A$2:$A$9,0)),"Not Found")</f>
        <v>Maharashtra</v>
      </c>
      <c r="P383" s="5">
        <f>IFERROR(INDEX(Targets!$B$2:$B$9,MATCH($B383,Targets!$A$2:$A$9,0)),0)</f>
        <v>900000</v>
      </c>
      <c r="Q383" s="5" t="str">
        <f t="shared" si="10"/>
        <v>Yes</v>
      </c>
      <c r="R383" s="5" t="str">
        <f t="shared" si="11"/>
        <v>May</v>
      </c>
    </row>
    <row r="384" spans="1:18" ht="15" customHeight="1" x14ac:dyDescent="0.3">
      <c r="A384" s="5" t="str">
        <f>Sales_Data!A381</f>
        <v>2025-05-20</v>
      </c>
      <c r="B384" s="5" t="str">
        <f>Sales_Data!B381</f>
        <v>Chennai South</v>
      </c>
      <c r="C384" s="5" t="str">
        <f>Sales_Data!C381</f>
        <v>E019</v>
      </c>
      <c r="D384" s="5" t="str">
        <f>IFERROR(INDEX(Employee_Master!$B$2:$B$44,MATCH($C384,Employee_Master!$A$2:$A$44,0)),"Not Found")</f>
        <v>Regina Torres</v>
      </c>
      <c r="E384" s="5" t="str">
        <f>IFERROR(INDEX(Employee_Master!$C$2:$C$44,MATCH($C384,Employee_Master!$A$2:$A$44,0)),"Not Found")</f>
        <v>Operations</v>
      </c>
      <c r="F384" s="5" t="str">
        <f>IFERROR(INDEX(Employee_Master!$D$2:$D$44,MATCH($C384,Employee_Master!$A$2:$A$44,0)),"Not Found")</f>
        <v>Robert Steele</v>
      </c>
      <c r="G384" s="5" t="str">
        <f>IFERROR(INDEX(Employee_Master!$E$2:$E$44,MATCH($C384,Employee_Master!$A$2:$A$44,0)),"Not Found")</f>
        <v>South</v>
      </c>
      <c r="H384" s="5" t="str">
        <f>Sales_Data!D381</f>
        <v>P024 - Hair Serum</v>
      </c>
      <c r="I384" s="5" t="str">
        <f>IFERROR(INDEX(Product_Master!$B$2:$B$30,MATCH($H384,Product_Master!$A$2:$A$30,0)),"Invalid Product Code")</f>
        <v>Beauty</v>
      </c>
      <c r="J384" s="5">
        <f>IFERROR(INDEX(Product_Master!$C$2:$C$30,MATCH($H384,Product_Master!$A$2:$A$30,0)),0)</f>
        <v>1457.31</v>
      </c>
      <c r="K384" s="5">
        <f>Sales_Data!E381</f>
        <v>1</v>
      </c>
      <c r="L384" s="5">
        <f>Sales_Data!F381</f>
        <v>1400.21</v>
      </c>
      <c r="M384" s="5">
        <f>Sales_Data!G381</f>
        <v>1641.43</v>
      </c>
      <c r="N384" s="5" t="str">
        <f>IFERROR(INDEX(Branch_Master!$B$2:$B$9,MATCH($B384,Branch_Master!$A$2:$A$9,0)),"Not Found")</f>
        <v>Chennai</v>
      </c>
      <c r="O384" s="5" t="str">
        <f>IFERROR(INDEX(Branch_Master!$C$2:$C$9,MATCH($B384,Branch_Master!$A$2:$A$9,0)),"Not Found")</f>
        <v>Tamil Nadu</v>
      </c>
      <c r="P384" s="5">
        <f>IFERROR(INDEX(Targets!$B$2:$B$9,MATCH($B384,Targets!$A$2:$A$9,0)),0)</f>
        <v>1910000</v>
      </c>
      <c r="Q384" s="5" t="str">
        <f t="shared" si="10"/>
        <v>No</v>
      </c>
      <c r="R384" s="5" t="str">
        <f t="shared" si="11"/>
        <v>May</v>
      </c>
    </row>
    <row r="385" spans="1:18" ht="15" customHeight="1" x14ac:dyDescent="0.3">
      <c r="A385" s="5" t="str">
        <f>Sales_Data!A382</f>
        <v>2025-05-21</v>
      </c>
      <c r="B385" s="5" t="str">
        <f>Sales_Data!B382</f>
        <v>Mumbai Central</v>
      </c>
      <c r="C385" s="5" t="str">
        <f>Sales_Data!C382</f>
        <v>E027</v>
      </c>
      <c r="D385" s="5" t="str">
        <f>IFERROR(INDEX(Employee_Master!$B$2:$B$44,MATCH($C385,Employee_Master!$A$2:$A$44,0)),"Not Found")</f>
        <v>Catherine Moore</v>
      </c>
      <c r="E385" s="5" t="str">
        <f>IFERROR(INDEX(Employee_Master!$C$2:$C$44,MATCH($C385,Employee_Master!$A$2:$A$44,0)),"Not Found")</f>
        <v>Customer Support</v>
      </c>
      <c r="F385" s="5" t="str">
        <f>IFERROR(INDEX(Employee_Master!$D$2:$D$44,MATCH($C385,Employee_Master!$A$2:$A$44,0)),"Not Found")</f>
        <v>Justin Glass</v>
      </c>
      <c r="G385" s="5" t="str">
        <f>IFERROR(INDEX(Employee_Master!$E$2:$E$44,MATCH($C385,Employee_Master!$A$2:$A$44,0)),"Not Found")</f>
        <v>West</v>
      </c>
      <c r="H385" s="5" t="str">
        <f>Sales_Data!D382</f>
        <v>P010 - Running Shoes</v>
      </c>
      <c r="I385" s="5" t="str">
        <f>IFERROR(INDEX(Product_Master!$B$2:$B$30,MATCH($H385,Product_Master!$A$2:$A$30,0)),"Invalid Product Code")</f>
        <v>Apparel</v>
      </c>
      <c r="J385" s="5">
        <f>IFERROR(INDEX(Product_Master!$C$2:$C$30,MATCH($H385,Product_Master!$A$2:$A$30,0)),0)</f>
        <v>233.71</v>
      </c>
      <c r="K385" s="5">
        <f>Sales_Data!E382</f>
        <v>12</v>
      </c>
      <c r="L385" s="5">
        <f>Sales_Data!F382</f>
        <v>2588.4699999999998</v>
      </c>
      <c r="M385" s="5">
        <f>Sales_Data!G382</f>
        <v>2929.02</v>
      </c>
      <c r="N385" s="5" t="str">
        <f>IFERROR(INDEX(Branch_Master!$B$2:$B$9,MATCH($B385,Branch_Master!$A$2:$A$9,0)),"Not Found")</f>
        <v>Mumbai</v>
      </c>
      <c r="O385" s="5" t="str">
        <f>IFERROR(INDEX(Branch_Master!$C$2:$C$9,MATCH($B385,Branch_Master!$A$2:$A$9,0)),"Not Found")</f>
        <v>Maharashtra</v>
      </c>
      <c r="P385" s="5">
        <f>IFERROR(INDEX(Targets!$B$2:$B$9,MATCH($B385,Targets!$A$2:$A$9,0)),0)</f>
        <v>900000</v>
      </c>
      <c r="Q385" s="5" t="str">
        <f t="shared" si="10"/>
        <v>No</v>
      </c>
      <c r="R385" s="5" t="str">
        <f t="shared" si="11"/>
        <v>May</v>
      </c>
    </row>
    <row r="386" spans="1:18" ht="15" customHeight="1" x14ac:dyDescent="0.3">
      <c r="A386" s="5" t="str">
        <f>Sales_Data!A383</f>
        <v>2025-05-21</v>
      </c>
      <c r="B386" s="5" t="str">
        <f>Sales_Data!B383</f>
        <v>Mumbai Central</v>
      </c>
      <c r="C386" s="5" t="str">
        <f>Sales_Data!C383</f>
        <v>E033</v>
      </c>
      <c r="D386" s="5" t="str">
        <f>IFERROR(INDEX(Employee_Master!$B$2:$B$44,MATCH($C386,Employee_Master!$A$2:$A$44,0)),"Not Found")</f>
        <v>Dawn Colon</v>
      </c>
      <c r="E386" s="5" t="str">
        <f>IFERROR(INDEX(Employee_Master!$C$2:$C$44,MATCH($C386,Employee_Master!$A$2:$A$44,0)),"Not Found")</f>
        <v>Customer Support</v>
      </c>
      <c r="F386" s="5" t="str">
        <f>IFERROR(INDEX(Employee_Master!$D$2:$D$44,MATCH($C386,Employee_Master!$A$2:$A$44,0)),"Not Found")</f>
        <v>Justin Glass</v>
      </c>
      <c r="G386" s="5" t="str">
        <f>IFERROR(INDEX(Employee_Master!$E$2:$E$44,MATCH($C386,Employee_Master!$A$2:$A$44,0)),"Not Found")</f>
        <v>West</v>
      </c>
      <c r="H386" s="5" t="str">
        <f>Sales_Data!D383</f>
        <v>P006 - Laptop Stand</v>
      </c>
      <c r="I386" s="5" t="str">
        <f>IFERROR(INDEX(Product_Master!$B$2:$B$30,MATCH($H386,Product_Master!$A$2:$A$30,0)),"Invalid Product Code")</f>
        <v>Electronics</v>
      </c>
      <c r="J386" s="5">
        <f>IFERROR(INDEX(Product_Master!$C$2:$C$30,MATCH($H386,Product_Master!$A$2:$A$30,0)),0)</f>
        <v>393.96</v>
      </c>
      <c r="K386" s="5">
        <f>Sales_Data!E383</f>
        <v>12</v>
      </c>
      <c r="L386" s="5">
        <f>Sales_Data!F383</f>
        <v>4502.8100000000004</v>
      </c>
      <c r="M386" s="5">
        <f>Sales_Data!G383</f>
        <v>4575.71</v>
      </c>
      <c r="N386" s="5" t="str">
        <f>IFERROR(INDEX(Branch_Master!$B$2:$B$9,MATCH($B386,Branch_Master!$A$2:$A$9,0)),"Not Found")</f>
        <v>Mumbai</v>
      </c>
      <c r="O386" s="5" t="str">
        <f>IFERROR(INDEX(Branch_Master!$C$2:$C$9,MATCH($B386,Branch_Master!$A$2:$A$9,0)),"Not Found")</f>
        <v>Maharashtra</v>
      </c>
      <c r="P386" s="5">
        <f>IFERROR(INDEX(Targets!$B$2:$B$9,MATCH($B386,Targets!$A$2:$A$9,0)),0)</f>
        <v>900000</v>
      </c>
      <c r="Q386" s="5" t="str">
        <f t="shared" si="10"/>
        <v>No</v>
      </c>
      <c r="R386" s="5" t="str">
        <f t="shared" si="11"/>
        <v>May</v>
      </c>
    </row>
    <row r="387" spans="1:18" ht="15" customHeight="1" x14ac:dyDescent="0.3">
      <c r="A387" s="5" t="str">
        <f>Sales_Data!A384</f>
        <v>2025-05-21</v>
      </c>
      <c r="B387" s="5" t="str">
        <f>Sales_Data!B384</f>
        <v>Pune East</v>
      </c>
      <c r="C387" s="5" t="str">
        <f>Sales_Data!C384</f>
        <v>E023</v>
      </c>
      <c r="D387" s="5" t="str">
        <f>IFERROR(INDEX(Employee_Master!$B$2:$B$44,MATCH($C387,Employee_Master!$A$2:$A$44,0)),"Not Found")</f>
        <v>Edward Jones</v>
      </c>
      <c r="E387" s="5" t="str">
        <f>IFERROR(INDEX(Employee_Master!$C$2:$C$44,MATCH($C387,Employee_Master!$A$2:$A$44,0)),"Not Found")</f>
        <v>Operations</v>
      </c>
      <c r="F387" s="5" t="str">
        <f>IFERROR(INDEX(Employee_Master!$D$2:$D$44,MATCH($C387,Employee_Master!$A$2:$A$44,0)),"Not Found")</f>
        <v>Jordan Matthews</v>
      </c>
      <c r="G387" s="5" t="str">
        <f>IFERROR(INDEX(Employee_Master!$E$2:$E$44,MATCH($C387,Employee_Master!$A$2:$A$44,0)),"Not Found")</f>
        <v>West</v>
      </c>
      <c r="H387" s="5" t="str">
        <f>Sales_Data!D384</f>
        <v>P023 - Sunscreen SPF50</v>
      </c>
      <c r="I387" s="5" t="str">
        <f>IFERROR(INDEX(Product_Master!$B$2:$B$30,MATCH($H387,Product_Master!$A$2:$A$30,0)),"Invalid Product Code")</f>
        <v>Beauty</v>
      </c>
      <c r="J387" s="5">
        <f>IFERROR(INDEX(Product_Master!$C$2:$C$30,MATCH($H387,Product_Master!$A$2:$A$30,0)),0)</f>
        <v>818.95</v>
      </c>
      <c r="K387" s="5">
        <f>Sales_Data!E384</f>
        <v>8</v>
      </c>
      <c r="L387" s="5">
        <f>Sales_Data!F384</f>
        <v>6854.88</v>
      </c>
      <c r="M387" s="5">
        <f>Sales_Data!G384</f>
        <v>5687.94</v>
      </c>
      <c r="N387" s="5" t="str">
        <f>IFERROR(INDEX(Branch_Master!$B$2:$B$9,MATCH($B387,Branch_Master!$A$2:$A$9,0)),"Not Found")</f>
        <v>Pune</v>
      </c>
      <c r="O387" s="5" t="str">
        <f>IFERROR(INDEX(Branch_Master!$C$2:$C$9,MATCH($B387,Branch_Master!$A$2:$A$9,0)),"Not Found")</f>
        <v>Maharashtra</v>
      </c>
      <c r="P387" s="5">
        <f>IFERROR(INDEX(Targets!$B$2:$B$9,MATCH($B387,Targets!$A$2:$A$9,0)),0)</f>
        <v>1250000</v>
      </c>
      <c r="Q387" s="5" t="str">
        <f t="shared" si="10"/>
        <v>Yes</v>
      </c>
      <c r="R387" s="5" t="str">
        <f t="shared" si="11"/>
        <v>May</v>
      </c>
    </row>
    <row r="388" spans="1:18" ht="15" customHeight="1" x14ac:dyDescent="0.3">
      <c r="A388" s="5" t="str">
        <f>Sales_Data!A385</f>
        <v>2025-05-21</v>
      </c>
      <c r="B388" s="5" t="str">
        <f>Sales_Data!B385</f>
        <v>Delhi NCR</v>
      </c>
      <c r="C388" s="5" t="str">
        <f>Sales_Data!C385</f>
        <v>E031</v>
      </c>
      <c r="D388" s="5" t="str">
        <f>IFERROR(INDEX(Employee_Master!$B$2:$B$44,MATCH($C388,Employee_Master!$A$2:$A$44,0)),"Not Found")</f>
        <v>Jennifer Garcia</v>
      </c>
      <c r="E388" s="5" t="str">
        <f>IFERROR(INDEX(Employee_Master!$C$2:$C$44,MATCH($C388,Employee_Master!$A$2:$A$44,0)),"Not Found")</f>
        <v>Sales</v>
      </c>
      <c r="F388" s="5" t="str">
        <f>IFERROR(INDEX(Employee_Master!$D$2:$D$44,MATCH($C388,Employee_Master!$A$2:$A$44,0)),"Not Found")</f>
        <v>William Oconnell</v>
      </c>
      <c r="G388" s="5" t="str">
        <f>IFERROR(INDEX(Employee_Master!$E$2:$E$44,MATCH($C388,Employee_Master!$A$2:$A$44,0)),"Not Found")</f>
        <v>North</v>
      </c>
      <c r="H388" s="5" t="str">
        <f>Sales_Data!D385</f>
        <v>P018 - Cooking Oil 1L</v>
      </c>
      <c r="I388" s="5" t="str">
        <f>IFERROR(INDEX(Product_Master!$B$2:$B$30,MATCH($H388,Product_Master!$A$2:$A$30,0)),"Invalid Product Code")</f>
        <v>Grocery</v>
      </c>
      <c r="J388" s="5">
        <f>IFERROR(INDEX(Product_Master!$C$2:$C$30,MATCH($H388,Product_Master!$A$2:$A$30,0)),0)</f>
        <v>1483.63</v>
      </c>
      <c r="K388" s="5">
        <f>Sales_Data!E385</f>
        <v>2</v>
      </c>
      <c r="L388" s="5">
        <f>Sales_Data!F385</f>
        <v>2860.8</v>
      </c>
      <c r="M388" s="5">
        <f>Sales_Data!G385</f>
        <v>2571.37</v>
      </c>
      <c r="N388" s="5" t="str">
        <f>IFERROR(INDEX(Branch_Master!$B$2:$B$9,MATCH($B388,Branch_Master!$A$2:$A$9,0)),"Not Found")</f>
        <v>New Delhi</v>
      </c>
      <c r="O388" s="5" t="str">
        <f>IFERROR(INDEX(Branch_Master!$C$2:$C$9,MATCH($B388,Branch_Master!$A$2:$A$9,0)),"Not Found")</f>
        <v>Delhi</v>
      </c>
      <c r="P388" s="5">
        <f>IFERROR(INDEX(Targets!$B$2:$B$9,MATCH($B388,Targets!$A$2:$A$9,0)),0)</f>
        <v>2070000</v>
      </c>
      <c r="Q388" s="5" t="str">
        <f t="shared" si="10"/>
        <v>Yes</v>
      </c>
      <c r="R388" s="5" t="str">
        <f t="shared" si="11"/>
        <v>May</v>
      </c>
    </row>
    <row r="389" spans="1:18" ht="15" customHeight="1" x14ac:dyDescent="0.3">
      <c r="A389" s="5" t="str">
        <f>Sales_Data!A386</f>
        <v>2025-05-22</v>
      </c>
      <c r="B389" s="5" t="str">
        <f>Sales_Data!B386</f>
        <v>Chennai South</v>
      </c>
      <c r="C389" s="5" t="str">
        <f>Sales_Data!C386</f>
        <v>E032</v>
      </c>
      <c r="D389" s="5" t="str">
        <f>IFERROR(INDEX(Employee_Master!$B$2:$B$44,MATCH($C389,Employee_Master!$A$2:$A$44,0)),"Not Found")</f>
        <v>Victor Allen</v>
      </c>
      <c r="E389" s="5" t="str">
        <f>IFERROR(INDEX(Employee_Master!$C$2:$C$44,MATCH($C389,Employee_Master!$A$2:$A$44,0)),"Not Found")</f>
        <v>Operations</v>
      </c>
      <c r="F389" s="5" t="str">
        <f>IFERROR(INDEX(Employee_Master!$D$2:$D$44,MATCH($C389,Employee_Master!$A$2:$A$44,0)),"Not Found")</f>
        <v>Robert Steele</v>
      </c>
      <c r="G389" s="5" t="str">
        <f>IFERROR(INDEX(Employee_Master!$E$2:$E$44,MATCH($C389,Employee_Master!$A$2:$A$44,0)),"Not Found")</f>
        <v>South</v>
      </c>
      <c r="H389" s="5" t="str">
        <f>Sales_Data!D386</f>
        <v>P029 - Dumbbell Set 10kg</v>
      </c>
      <c r="I389" s="5" t="str">
        <f>IFERROR(INDEX(Product_Master!$B$2:$B$30,MATCH($H389,Product_Master!$A$2:$A$30,0)),"Invalid Product Code")</f>
        <v>Sports</v>
      </c>
      <c r="J389" s="5">
        <f>IFERROR(INDEX(Product_Master!$C$2:$C$30,MATCH($H389,Product_Master!$A$2:$A$30,0)),0)</f>
        <v>435</v>
      </c>
      <c r="K389" s="5">
        <f>Sales_Data!E386</f>
        <v>5</v>
      </c>
      <c r="L389" s="5">
        <f>Sales_Data!F386</f>
        <v>2109.54</v>
      </c>
      <c r="M389" s="5">
        <f>Sales_Data!G386</f>
        <v>2351.9699999999998</v>
      </c>
      <c r="N389" s="5" t="str">
        <f>IFERROR(INDEX(Branch_Master!$B$2:$B$9,MATCH($B389,Branch_Master!$A$2:$A$9,0)),"Not Found")</f>
        <v>Chennai</v>
      </c>
      <c r="O389" s="5" t="str">
        <f>IFERROR(INDEX(Branch_Master!$C$2:$C$9,MATCH($B389,Branch_Master!$A$2:$A$9,0)),"Not Found")</f>
        <v>Tamil Nadu</v>
      </c>
      <c r="P389" s="5">
        <f>IFERROR(INDEX(Targets!$B$2:$B$9,MATCH($B389,Targets!$A$2:$A$9,0)),0)</f>
        <v>1910000</v>
      </c>
      <c r="Q389" s="5" t="str">
        <f t="shared" ref="Q389:Q452" si="12">IF(L389&gt;=M389,"Yes","No")</f>
        <v>No</v>
      </c>
      <c r="R389" s="5" t="str">
        <f t="shared" ref="R389:R452" si="13">TEXT(A389,"MMM")</f>
        <v>May</v>
      </c>
    </row>
    <row r="390" spans="1:18" ht="15" customHeight="1" x14ac:dyDescent="0.3">
      <c r="A390" s="5" t="str">
        <f>Sales_Data!A387</f>
        <v>2025-05-22</v>
      </c>
      <c r="B390" s="5" t="str">
        <f>Sales_Data!B387</f>
        <v>Bangalore North</v>
      </c>
      <c r="C390" s="5" t="str">
        <f>Sales_Data!C387</f>
        <v>E003</v>
      </c>
      <c r="D390" s="5" t="str">
        <f>IFERROR(INDEX(Employee_Master!$B$2:$B$44,MATCH($C390,Employee_Master!$A$2:$A$44,0)),"Not Found")</f>
        <v>Margaret Porter</v>
      </c>
      <c r="E390" s="5" t="str">
        <f>IFERROR(INDEX(Employee_Master!$C$2:$C$44,MATCH($C390,Employee_Master!$A$2:$A$44,0)),"Not Found")</f>
        <v>Customer Support</v>
      </c>
      <c r="F390" s="5" t="str">
        <f>IFERROR(INDEX(Employee_Master!$D$2:$D$44,MATCH($C390,Employee_Master!$A$2:$A$44,0)),"Not Found")</f>
        <v>Jose Soto</v>
      </c>
      <c r="G390" s="5" t="str">
        <f>IFERROR(INDEX(Employee_Master!$E$2:$E$44,MATCH($C390,Employee_Master!$A$2:$A$44,0)),"Not Found")</f>
        <v>South</v>
      </c>
      <c r="H390" s="5" t="str">
        <f>Sales_Data!D387</f>
        <v>P015 - Water Bottle</v>
      </c>
      <c r="I390" s="5" t="str">
        <f>IFERROR(INDEX(Product_Master!$B$2:$B$30,MATCH($H390,Product_Master!$A$2:$A$30,0)),"Invalid Product Code")</f>
        <v>Home &amp; Kitchen</v>
      </c>
      <c r="J390" s="5">
        <f>IFERROR(INDEX(Product_Master!$C$2:$C$30,MATCH($H390,Product_Master!$A$2:$A$30,0)),0)</f>
        <v>197.57</v>
      </c>
      <c r="K390" s="5">
        <f>Sales_Data!E387</f>
        <v>8</v>
      </c>
      <c r="L390" s="5">
        <f>Sales_Data!F387</f>
        <v>1509.49</v>
      </c>
      <c r="M390" s="5">
        <f>Sales_Data!G387</f>
        <v>1444.99</v>
      </c>
      <c r="N390" s="5" t="str">
        <f>IFERROR(INDEX(Branch_Master!$B$2:$B$9,MATCH($B390,Branch_Master!$A$2:$A$9,0)),"Not Found")</f>
        <v>Bangalore</v>
      </c>
      <c r="O390" s="5" t="str">
        <f>IFERROR(INDEX(Branch_Master!$C$2:$C$9,MATCH($B390,Branch_Master!$A$2:$A$9,0)),"Not Found")</f>
        <v>Karnataka</v>
      </c>
      <c r="P390" s="5">
        <f>IFERROR(INDEX(Targets!$B$2:$B$9,MATCH($B390,Targets!$A$2:$A$9,0)),0)</f>
        <v>900000</v>
      </c>
      <c r="Q390" s="5" t="str">
        <f t="shared" si="12"/>
        <v>Yes</v>
      </c>
      <c r="R390" s="5" t="str">
        <f t="shared" si="13"/>
        <v>May</v>
      </c>
    </row>
    <row r="391" spans="1:18" ht="15" customHeight="1" x14ac:dyDescent="0.3">
      <c r="A391" s="5" t="str">
        <f>Sales_Data!A388</f>
        <v>2025-05-23</v>
      </c>
      <c r="B391" s="5" t="str">
        <f>Sales_Data!B388</f>
        <v>Bangalore North</v>
      </c>
      <c r="C391" s="5" t="str">
        <f>Sales_Data!C388</f>
        <v>E038</v>
      </c>
      <c r="D391" s="5" t="str">
        <f>IFERROR(INDEX(Employee_Master!$B$2:$B$44,MATCH($C391,Employee_Master!$A$2:$A$44,0)),"Not Found")</f>
        <v>Derrick Griffin</v>
      </c>
      <c r="E391" s="5" t="str">
        <f>IFERROR(INDEX(Employee_Master!$C$2:$C$44,MATCH($C391,Employee_Master!$A$2:$A$44,0)),"Not Found")</f>
        <v>Marketing</v>
      </c>
      <c r="F391" s="5" t="str">
        <f>IFERROR(INDEX(Employee_Master!$D$2:$D$44,MATCH($C391,Employee_Master!$A$2:$A$44,0)),"Not Found")</f>
        <v>Jose Soto</v>
      </c>
      <c r="G391" s="5" t="str">
        <f>IFERROR(INDEX(Employee_Master!$E$2:$E$44,MATCH($C391,Employee_Master!$A$2:$A$44,0)),"Not Found")</f>
        <v>South</v>
      </c>
      <c r="H391" s="5" t="str">
        <f>Sales_Data!D388</f>
        <v>P017 - Basmati Rice 5kg</v>
      </c>
      <c r="I391" s="5" t="str">
        <f>IFERROR(INDEX(Product_Master!$B$2:$B$30,MATCH($H391,Product_Master!$A$2:$A$30,0)),"Invalid Product Code")</f>
        <v>Grocery</v>
      </c>
      <c r="J391" s="5">
        <f>IFERROR(INDEX(Product_Master!$C$2:$C$30,MATCH($H391,Product_Master!$A$2:$A$30,0)),0)</f>
        <v>825.33</v>
      </c>
      <c r="K391" s="5">
        <f>Sales_Data!E388</f>
        <v>10</v>
      </c>
      <c r="L391" s="5">
        <f>Sales_Data!F388</f>
        <v>8398.5400000000009</v>
      </c>
      <c r="M391" s="5">
        <f>Sales_Data!G388</f>
        <v>8063.81</v>
      </c>
      <c r="N391" s="5" t="str">
        <f>IFERROR(INDEX(Branch_Master!$B$2:$B$9,MATCH($B391,Branch_Master!$A$2:$A$9,0)),"Not Found")</f>
        <v>Bangalore</v>
      </c>
      <c r="O391" s="5" t="str">
        <f>IFERROR(INDEX(Branch_Master!$C$2:$C$9,MATCH($B391,Branch_Master!$A$2:$A$9,0)),"Not Found")</f>
        <v>Karnataka</v>
      </c>
      <c r="P391" s="5">
        <f>IFERROR(INDEX(Targets!$B$2:$B$9,MATCH($B391,Targets!$A$2:$A$9,0)),0)</f>
        <v>900000</v>
      </c>
      <c r="Q391" s="5" t="str">
        <f t="shared" si="12"/>
        <v>Yes</v>
      </c>
      <c r="R391" s="5" t="str">
        <f t="shared" si="13"/>
        <v>May</v>
      </c>
    </row>
    <row r="392" spans="1:18" ht="15" customHeight="1" x14ac:dyDescent="0.3">
      <c r="A392" s="5" t="str">
        <f>Sales_Data!A389</f>
        <v>2025-05-24</v>
      </c>
      <c r="B392" s="5" t="str">
        <f>Sales_Data!B389</f>
        <v>Chennai South</v>
      </c>
      <c r="C392" s="5" t="str">
        <f>Sales_Data!C389</f>
        <v>E015</v>
      </c>
      <c r="D392" s="5" t="str">
        <f>IFERROR(INDEX(Employee_Master!$B$2:$B$44,MATCH($C392,Employee_Master!$A$2:$A$44,0)),"Not Found")</f>
        <v>Cassandra Hansen</v>
      </c>
      <c r="E392" s="5" t="str">
        <f>IFERROR(INDEX(Employee_Master!$C$2:$C$44,MATCH($C392,Employee_Master!$A$2:$A$44,0)),"Not Found")</f>
        <v>Customer Support</v>
      </c>
      <c r="F392" s="5" t="str">
        <f>IFERROR(INDEX(Employee_Master!$D$2:$D$44,MATCH($C392,Employee_Master!$A$2:$A$44,0)),"Not Found")</f>
        <v>Robert Steele</v>
      </c>
      <c r="G392" s="5" t="str">
        <f>IFERROR(INDEX(Employee_Master!$E$2:$E$44,MATCH($C392,Employee_Master!$A$2:$A$44,0)),"Not Found")</f>
        <v>South</v>
      </c>
      <c r="H392" s="5" t="str">
        <f>Sales_Data!D389</f>
        <v>P006 - Laptop Stand</v>
      </c>
      <c r="I392" s="5" t="str">
        <f>IFERROR(INDEX(Product_Master!$B$2:$B$30,MATCH($H392,Product_Master!$A$2:$A$30,0)),"Invalid Product Code")</f>
        <v>Electronics</v>
      </c>
      <c r="J392" s="5">
        <f>IFERROR(INDEX(Product_Master!$C$2:$C$30,MATCH($H392,Product_Master!$A$2:$A$30,0)),0)</f>
        <v>393.96</v>
      </c>
      <c r="K392" s="5">
        <f>Sales_Data!E389</f>
        <v>5</v>
      </c>
      <c r="L392" s="5">
        <f>Sales_Data!F389</f>
        <v>1874.86</v>
      </c>
      <c r="M392" s="5">
        <f>Sales_Data!G389</f>
        <v>2011.5</v>
      </c>
      <c r="N392" s="5" t="str">
        <f>IFERROR(INDEX(Branch_Master!$B$2:$B$9,MATCH($B392,Branch_Master!$A$2:$A$9,0)),"Not Found")</f>
        <v>Chennai</v>
      </c>
      <c r="O392" s="5" t="str">
        <f>IFERROR(INDEX(Branch_Master!$C$2:$C$9,MATCH($B392,Branch_Master!$A$2:$A$9,0)),"Not Found")</f>
        <v>Tamil Nadu</v>
      </c>
      <c r="P392" s="5">
        <f>IFERROR(INDEX(Targets!$B$2:$B$9,MATCH($B392,Targets!$A$2:$A$9,0)),0)</f>
        <v>1910000</v>
      </c>
      <c r="Q392" s="5" t="str">
        <f t="shared" si="12"/>
        <v>No</v>
      </c>
      <c r="R392" s="5" t="str">
        <f t="shared" si="13"/>
        <v>May</v>
      </c>
    </row>
    <row r="393" spans="1:18" ht="15" customHeight="1" x14ac:dyDescent="0.3">
      <c r="A393" s="5" t="str">
        <f>Sales_Data!A390</f>
        <v>2025-05-24</v>
      </c>
      <c r="B393" s="5" t="str">
        <f>Sales_Data!B390</f>
        <v>Mumbai Central</v>
      </c>
      <c r="C393" s="5" t="str">
        <f>Sales_Data!C390</f>
        <v>E016</v>
      </c>
      <c r="D393" s="5" t="str">
        <f>IFERROR(INDEX(Employee_Master!$B$2:$B$44,MATCH($C393,Employee_Master!$A$2:$A$44,0)),"Not Found")</f>
        <v>Connor Dennis</v>
      </c>
      <c r="E393" s="5" t="str">
        <f>IFERROR(INDEX(Employee_Master!$C$2:$C$44,MATCH($C393,Employee_Master!$A$2:$A$44,0)),"Not Found")</f>
        <v>Sales</v>
      </c>
      <c r="F393" s="5" t="str">
        <f>IFERROR(INDEX(Employee_Master!$D$2:$D$44,MATCH($C393,Employee_Master!$A$2:$A$44,0)),"Not Found")</f>
        <v>Justin Glass</v>
      </c>
      <c r="G393" s="5" t="str">
        <f>IFERROR(INDEX(Employee_Master!$E$2:$E$44,MATCH($C393,Employee_Master!$A$2:$A$44,0)),"Not Found")</f>
        <v>West</v>
      </c>
      <c r="H393" s="5" t="str">
        <f>Sales_Data!D390</f>
        <v>P021 - Assorted Spices Kit</v>
      </c>
      <c r="I393" s="5" t="str">
        <f>IFERROR(INDEX(Product_Master!$B$2:$B$30,MATCH($H393,Product_Master!$A$2:$A$30,0)),"Invalid Product Code")</f>
        <v>Grocery</v>
      </c>
      <c r="J393" s="5">
        <f>IFERROR(INDEX(Product_Master!$C$2:$C$30,MATCH($H393,Product_Master!$A$2:$A$30,0)),0)</f>
        <v>1060.97</v>
      </c>
      <c r="K393" s="5">
        <f>Sales_Data!E390</f>
        <v>8</v>
      </c>
      <c r="L393" s="5">
        <f>Sales_Data!F390</f>
        <v>8553.42</v>
      </c>
      <c r="M393" s="5">
        <f>Sales_Data!G390</f>
        <v>9215.81</v>
      </c>
      <c r="N393" s="5" t="str">
        <f>IFERROR(INDEX(Branch_Master!$B$2:$B$9,MATCH($B393,Branch_Master!$A$2:$A$9,0)),"Not Found")</f>
        <v>Mumbai</v>
      </c>
      <c r="O393" s="5" t="str">
        <f>IFERROR(INDEX(Branch_Master!$C$2:$C$9,MATCH($B393,Branch_Master!$A$2:$A$9,0)),"Not Found")</f>
        <v>Maharashtra</v>
      </c>
      <c r="P393" s="5">
        <f>IFERROR(INDEX(Targets!$B$2:$B$9,MATCH($B393,Targets!$A$2:$A$9,0)),0)</f>
        <v>900000</v>
      </c>
      <c r="Q393" s="5" t="str">
        <f t="shared" si="12"/>
        <v>No</v>
      </c>
      <c r="R393" s="5" t="str">
        <f t="shared" si="13"/>
        <v>May</v>
      </c>
    </row>
    <row r="394" spans="1:18" ht="15" customHeight="1" x14ac:dyDescent="0.3">
      <c r="A394" s="5" t="str">
        <f>Sales_Data!A391</f>
        <v>2025-05-24</v>
      </c>
      <c r="B394" s="5" t="str">
        <f>Sales_Data!B391</f>
        <v>Kolkata Central</v>
      </c>
      <c r="C394" s="5" t="str">
        <f>Sales_Data!C391</f>
        <v>E029</v>
      </c>
      <c r="D394" s="5" t="str">
        <f>IFERROR(INDEX(Employee_Master!$B$2:$B$44,MATCH($C394,Employee_Master!$A$2:$A$44,0)),"Not Found")</f>
        <v>Patrick Shepard</v>
      </c>
      <c r="E394" s="5" t="str">
        <f>IFERROR(INDEX(Employee_Master!$C$2:$C$44,MATCH($C394,Employee_Master!$A$2:$A$44,0)),"Not Found")</f>
        <v>Sales</v>
      </c>
      <c r="F394" s="5" t="str">
        <f>IFERROR(INDEX(Employee_Master!$D$2:$D$44,MATCH($C394,Employee_Master!$A$2:$A$44,0)),"Not Found")</f>
        <v>Lisa Moore</v>
      </c>
      <c r="G394" s="5" t="str">
        <f>IFERROR(INDEX(Employee_Master!$E$2:$E$44,MATCH($C394,Employee_Master!$A$2:$A$44,0)),"Not Found")</f>
        <v>East</v>
      </c>
      <c r="H394" s="5" t="str">
        <f>Sales_Data!D391</f>
        <v>P013 - Mixer Grinder</v>
      </c>
      <c r="I394" s="5" t="str">
        <f>IFERROR(INDEX(Product_Master!$B$2:$B$30,MATCH($H394,Product_Master!$A$2:$A$30,0)),"Invalid Product Code")</f>
        <v>Home &amp; Kitchen</v>
      </c>
      <c r="J394" s="5">
        <f>IFERROR(INDEX(Product_Master!$C$2:$C$30,MATCH($H394,Product_Master!$A$2:$A$30,0)),0)</f>
        <v>798.53</v>
      </c>
      <c r="K394" s="5">
        <f>Sales_Data!E391</f>
        <v>11</v>
      </c>
      <c r="L394" s="5">
        <f>Sales_Data!F391</f>
        <v>8748.2900000000009</v>
      </c>
      <c r="M394" s="5">
        <f>Sales_Data!G391</f>
        <v>8407.93</v>
      </c>
      <c r="N394" s="5" t="str">
        <f>IFERROR(INDEX(Branch_Master!$B$2:$B$9,MATCH($B394,Branch_Master!$A$2:$A$9,0)),"Not Found")</f>
        <v>Kolkata</v>
      </c>
      <c r="O394" s="5" t="str">
        <f>IFERROR(INDEX(Branch_Master!$C$2:$C$9,MATCH($B394,Branch_Master!$A$2:$A$9,0)),"Not Found")</f>
        <v>West Bengal</v>
      </c>
      <c r="P394" s="5">
        <f>IFERROR(INDEX(Targets!$B$2:$B$9,MATCH($B394,Targets!$A$2:$A$9,0)),0)</f>
        <v>1910000</v>
      </c>
      <c r="Q394" s="5" t="str">
        <f t="shared" si="12"/>
        <v>Yes</v>
      </c>
      <c r="R394" s="5" t="str">
        <f t="shared" si="13"/>
        <v>May</v>
      </c>
    </row>
    <row r="395" spans="1:18" ht="15" customHeight="1" x14ac:dyDescent="0.3">
      <c r="A395" s="5" t="str">
        <f>Sales_Data!A392</f>
        <v>2025-05-25</v>
      </c>
      <c r="B395" s="5" t="str">
        <f>Sales_Data!B392</f>
        <v>Mumbai Central</v>
      </c>
      <c r="C395" s="5" t="str">
        <f>Sales_Data!C392</f>
        <v>E021</v>
      </c>
      <c r="D395" s="5" t="str">
        <f>IFERROR(INDEX(Employee_Master!$B$2:$B$44,MATCH($C395,Employee_Master!$A$2:$A$44,0)),"Not Found")</f>
        <v>Maria Garcia</v>
      </c>
      <c r="E395" s="5" t="str">
        <f>IFERROR(INDEX(Employee_Master!$C$2:$C$44,MATCH($C395,Employee_Master!$A$2:$A$44,0)),"Not Found")</f>
        <v>Sales</v>
      </c>
      <c r="F395" s="5" t="str">
        <f>IFERROR(INDEX(Employee_Master!$D$2:$D$44,MATCH($C395,Employee_Master!$A$2:$A$44,0)),"Not Found")</f>
        <v>Justin Glass</v>
      </c>
      <c r="G395" s="5" t="str">
        <f>IFERROR(INDEX(Employee_Master!$E$2:$E$44,MATCH($C395,Employee_Master!$A$2:$A$44,0)),"Not Found")</f>
        <v>West</v>
      </c>
      <c r="H395" s="5" t="str">
        <f>Sales_Data!D392</f>
        <v>P023 - Sunscreen SPF50</v>
      </c>
      <c r="I395" s="5" t="str">
        <f>IFERROR(INDEX(Product_Master!$B$2:$B$30,MATCH($H395,Product_Master!$A$2:$A$30,0)),"Invalid Product Code")</f>
        <v>Beauty</v>
      </c>
      <c r="J395" s="5">
        <f>IFERROR(INDEX(Product_Master!$C$2:$C$30,MATCH($H395,Product_Master!$A$2:$A$30,0)),0)</f>
        <v>818.95</v>
      </c>
      <c r="K395" s="5">
        <f>Sales_Data!E392</f>
        <v>3</v>
      </c>
      <c r="L395" s="5">
        <f>Sales_Data!F392</f>
        <v>2419.89</v>
      </c>
      <c r="M395" s="5">
        <f>Sales_Data!G392</f>
        <v>2143.7199999999998</v>
      </c>
      <c r="N395" s="5" t="str">
        <f>IFERROR(INDEX(Branch_Master!$B$2:$B$9,MATCH($B395,Branch_Master!$A$2:$A$9,0)),"Not Found")</f>
        <v>Mumbai</v>
      </c>
      <c r="O395" s="5" t="str">
        <f>IFERROR(INDEX(Branch_Master!$C$2:$C$9,MATCH($B395,Branch_Master!$A$2:$A$9,0)),"Not Found")</f>
        <v>Maharashtra</v>
      </c>
      <c r="P395" s="5">
        <f>IFERROR(INDEX(Targets!$B$2:$B$9,MATCH($B395,Targets!$A$2:$A$9,0)),0)</f>
        <v>900000</v>
      </c>
      <c r="Q395" s="5" t="str">
        <f t="shared" si="12"/>
        <v>Yes</v>
      </c>
      <c r="R395" s="5" t="str">
        <f t="shared" si="13"/>
        <v>May</v>
      </c>
    </row>
    <row r="396" spans="1:18" ht="15" customHeight="1" x14ac:dyDescent="0.3">
      <c r="A396" s="5" t="str">
        <f>Sales_Data!A393</f>
        <v>2025-05-25</v>
      </c>
      <c r="B396" s="5" t="str">
        <f>Sales_Data!B393</f>
        <v>Ahmedabad West</v>
      </c>
      <c r="C396" s="5" t="str">
        <f>Sales_Data!C393</f>
        <v>E037</v>
      </c>
      <c r="D396" s="5" t="str">
        <f>IFERROR(INDEX(Employee_Master!$B$2:$B$44,MATCH($C396,Employee_Master!$A$2:$A$44,0)),"Not Found")</f>
        <v>Thomas Harris</v>
      </c>
      <c r="E396" s="5" t="str">
        <f>IFERROR(INDEX(Employee_Master!$C$2:$C$44,MATCH($C396,Employee_Master!$A$2:$A$44,0)),"Not Found")</f>
        <v>Customer Support</v>
      </c>
      <c r="F396" s="5" t="str">
        <f>IFERROR(INDEX(Employee_Master!$D$2:$D$44,MATCH($C396,Employee_Master!$A$2:$A$44,0)),"Not Found")</f>
        <v>Joseph Brown</v>
      </c>
      <c r="G396" s="5" t="str">
        <f>IFERROR(INDEX(Employee_Master!$E$2:$E$44,MATCH($C396,Employee_Master!$A$2:$A$44,0)),"Not Found")</f>
        <v>West</v>
      </c>
      <c r="H396" s="5" t="str">
        <f>Sales_Data!D393</f>
        <v>P009 - Formal Shirt</v>
      </c>
      <c r="I396" s="5" t="str">
        <f>IFERROR(INDEX(Product_Master!$B$2:$B$30,MATCH($H396,Product_Master!$A$2:$A$30,0)),"Invalid Product Code")</f>
        <v>Apparel</v>
      </c>
      <c r="J396" s="5">
        <f>IFERROR(INDEX(Product_Master!$C$2:$C$30,MATCH($H396,Product_Master!$A$2:$A$30,0)),0)</f>
        <v>661.65</v>
      </c>
      <c r="K396" s="5">
        <f>Sales_Data!E393</f>
        <v>5</v>
      </c>
      <c r="L396" s="5">
        <f>Sales_Data!F393</f>
        <v>3415.25</v>
      </c>
      <c r="M396" s="5">
        <f>Sales_Data!G393</f>
        <v>2824.61</v>
      </c>
      <c r="N396" s="5" t="str">
        <f>IFERROR(INDEX(Branch_Master!$B$2:$B$9,MATCH($B396,Branch_Master!$A$2:$A$9,0)),"Not Found")</f>
        <v>Ahmedabad</v>
      </c>
      <c r="O396" s="5" t="str">
        <f>IFERROR(INDEX(Branch_Master!$C$2:$C$9,MATCH($B396,Branch_Master!$A$2:$A$9,0)),"Not Found")</f>
        <v>Gujarat</v>
      </c>
      <c r="P396" s="5">
        <f>IFERROR(INDEX(Targets!$B$2:$B$9,MATCH($B396,Targets!$A$2:$A$9,0)),0)</f>
        <v>1590000</v>
      </c>
      <c r="Q396" s="5" t="str">
        <f t="shared" si="12"/>
        <v>Yes</v>
      </c>
      <c r="R396" s="5" t="str">
        <f t="shared" si="13"/>
        <v>May</v>
      </c>
    </row>
    <row r="397" spans="1:18" ht="15" customHeight="1" x14ac:dyDescent="0.3">
      <c r="A397" s="5" t="str">
        <f>Sales_Data!A394</f>
        <v>2025-05-26</v>
      </c>
      <c r="B397" s="5" t="str">
        <f>Sales_Data!B394</f>
        <v>Hyderabad Hitech</v>
      </c>
      <c r="C397" s="5" t="str">
        <f>Sales_Data!C394</f>
        <v>E014</v>
      </c>
      <c r="D397" s="5" t="str">
        <f>IFERROR(INDEX(Employee_Master!$B$2:$B$44,MATCH($C397,Employee_Master!$A$2:$A$44,0)),"Not Found")</f>
        <v>Brian Brown</v>
      </c>
      <c r="E397" s="5" t="str">
        <f>IFERROR(INDEX(Employee_Master!$C$2:$C$44,MATCH($C397,Employee_Master!$A$2:$A$44,0)),"Not Found")</f>
        <v>Marketing</v>
      </c>
      <c r="F397" s="5" t="str">
        <f>IFERROR(INDEX(Employee_Master!$D$2:$D$44,MATCH($C397,Employee_Master!$A$2:$A$44,0)),"Not Found")</f>
        <v>Anna Turner</v>
      </c>
      <c r="G397" s="5" t="str">
        <f>IFERROR(INDEX(Employee_Master!$E$2:$E$44,MATCH($C397,Employee_Master!$A$2:$A$44,0)),"Not Found")</f>
        <v>South</v>
      </c>
      <c r="H397" s="5" t="str">
        <f>Sales_Data!D394</f>
        <v>P018 - Cooking Oil 1L</v>
      </c>
      <c r="I397" s="5" t="str">
        <f>IFERROR(INDEX(Product_Master!$B$2:$B$30,MATCH($H397,Product_Master!$A$2:$A$30,0)),"Invalid Product Code")</f>
        <v>Grocery</v>
      </c>
      <c r="J397" s="5">
        <f>IFERROR(INDEX(Product_Master!$C$2:$C$30,MATCH($H397,Product_Master!$A$2:$A$30,0)),0)</f>
        <v>1483.63</v>
      </c>
      <c r="K397" s="5">
        <f>Sales_Data!E394</f>
        <v>9</v>
      </c>
      <c r="L397" s="5">
        <f>Sales_Data!F394</f>
        <v>12865.14</v>
      </c>
      <c r="M397" s="5">
        <f>Sales_Data!G394</f>
        <v>12024.5</v>
      </c>
      <c r="N397" s="5" t="str">
        <f>IFERROR(INDEX(Branch_Master!$B$2:$B$9,MATCH($B397,Branch_Master!$A$2:$A$9,0)),"Not Found")</f>
        <v>Hyderabad</v>
      </c>
      <c r="O397" s="5" t="str">
        <f>IFERROR(INDEX(Branch_Master!$C$2:$C$9,MATCH($B397,Branch_Master!$A$2:$A$9,0)),"Not Found")</f>
        <v>Telangana</v>
      </c>
      <c r="P397" s="5">
        <f>IFERROR(INDEX(Targets!$B$2:$B$9,MATCH($B397,Targets!$A$2:$A$9,0)),0)</f>
        <v>1210000</v>
      </c>
      <c r="Q397" s="5" t="str">
        <f t="shared" si="12"/>
        <v>Yes</v>
      </c>
      <c r="R397" s="5" t="str">
        <f t="shared" si="13"/>
        <v>May</v>
      </c>
    </row>
    <row r="398" spans="1:18" ht="15" customHeight="1" x14ac:dyDescent="0.3">
      <c r="A398" s="5" t="str">
        <f>Sales_Data!A395</f>
        <v>2025-05-26</v>
      </c>
      <c r="B398" s="5" t="str">
        <f>Sales_Data!B395</f>
        <v>Mumbai Central</v>
      </c>
      <c r="C398" s="5" t="str">
        <f>Sales_Data!C395</f>
        <v>E021</v>
      </c>
      <c r="D398" s="5" t="str">
        <f>IFERROR(INDEX(Employee_Master!$B$2:$B$44,MATCH($C398,Employee_Master!$A$2:$A$44,0)),"Not Found")</f>
        <v>Maria Garcia</v>
      </c>
      <c r="E398" s="5" t="str">
        <f>IFERROR(INDEX(Employee_Master!$C$2:$C$44,MATCH($C398,Employee_Master!$A$2:$A$44,0)),"Not Found")</f>
        <v>Sales</v>
      </c>
      <c r="F398" s="5" t="str">
        <f>IFERROR(INDEX(Employee_Master!$D$2:$D$44,MATCH($C398,Employee_Master!$A$2:$A$44,0)),"Not Found")</f>
        <v>Justin Glass</v>
      </c>
      <c r="G398" s="5" t="str">
        <f>IFERROR(INDEX(Employee_Master!$E$2:$E$44,MATCH($C398,Employee_Master!$A$2:$A$44,0)),"Not Found")</f>
        <v>West</v>
      </c>
      <c r="H398" s="5" t="str">
        <f>Sales_Data!D395</f>
        <v>P004 - Power Bank</v>
      </c>
      <c r="I398" s="5" t="str">
        <f>IFERROR(INDEX(Product_Master!$B$2:$B$30,MATCH($H398,Product_Master!$A$2:$A$30,0)),"Invalid Product Code")</f>
        <v>Electronics</v>
      </c>
      <c r="J398" s="5">
        <f>IFERROR(INDEX(Product_Master!$C$2:$C$30,MATCH($H398,Product_Master!$A$2:$A$30,0)),0)</f>
        <v>76.91</v>
      </c>
      <c r="K398" s="5">
        <f>Sales_Data!E395</f>
        <v>11</v>
      </c>
      <c r="L398" s="5">
        <f>Sales_Data!F395</f>
        <v>865.89</v>
      </c>
      <c r="M398" s="5">
        <f>Sales_Data!G395</f>
        <v>878.74</v>
      </c>
      <c r="N398" s="5" t="str">
        <f>IFERROR(INDEX(Branch_Master!$B$2:$B$9,MATCH($B398,Branch_Master!$A$2:$A$9,0)),"Not Found")</f>
        <v>Mumbai</v>
      </c>
      <c r="O398" s="5" t="str">
        <f>IFERROR(INDEX(Branch_Master!$C$2:$C$9,MATCH($B398,Branch_Master!$A$2:$A$9,0)),"Not Found")</f>
        <v>Maharashtra</v>
      </c>
      <c r="P398" s="5">
        <f>IFERROR(INDEX(Targets!$B$2:$B$9,MATCH($B398,Targets!$A$2:$A$9,0)),0)</f>
        <v>900000</v>
      </c>
      <c r="Q398" s="5" t="str">
        <f t="shared" si="12"/>
        <v>No</v>
      </c>
      <c r="R398" s="5" t="str">
        <f t="shared" si="13"/>
        <v>May</v>
      </c>
    </row>
    <row r="399" spans="1:18" ht="15" customHeight="1" x14ac:dyDescent="0.3">
      <c r="A399" s="5" t="str">
        <f>Sales_Data!A396</f>
        <v>2025-05-26</v>
      </c>
      <c r="B399" s="5" t="str">
        <f>Sales_Data!B396</f>
        <v>Delhi NCR</v>
      </c>
      <c r="C399" s="5" t="str">
        <f>Sales_Data!C396</f>
        <v>E031</v>
      </c>
      <c r="D399" s="5" t="str">
        <f>IFERROR(INDEX(Employee_Master!$B$2:$B$44,MATCH($C399,Employee_Master!$A$2:$A$44,0)),"Not Found")</f>
        <v>Jennifer Garcia</v>
      </c>
      <c r="E399" s="5" t="str">
        <f>IFERROR(INDEX(Employee_Master!$C$2:$C$44,MATCH($C399,Employee_Master!$A$2:$A$44,0)),"Not Found")</f>
        <v>Sales</v>
      </c>
      <c r="F399" s="5" t="str">
        <f>IFERROR(INDEX(Employee_Master!$D$2:$D$44,MATCH($C399,Employee_Master!$A$2:$A$44,0)),"Not Found")</f>
        <v>William Oconnell</v>
      </c>
      <c r="G399" s="5" t="str">
        <f>IFERROR(INDEX(Employee_Master!$E$2:$E$44,MATCH($C399,Employee_Master!$A$2:$A$44,0)),"Not Found")</f>
        <v>North</v>
      </c>
      <c r="H399" s="5" t="str">
        <f>Sales_Data!D396</f>
        <v>P008 - Denim Jeans</v>
      </c>
      <c r="I399" s="5" t="str">
        <f>IFERROR(INDEX(Product_Master!$B$2:$B$30,MATCH($H399,Product_Master!$A$2:$A$30,0)),"Invalid Product Code")</f>
        <v>Apparel</v>
      </c>
      <c r="J399" s="5">
        <f>IFERROR(INDEX(Product_Master!$C$2:$C$30,MATCH($H399,Product_Master!$A$2:$A$30,0)),0)</f>
        <v>614.48</v>
      </c>
      <c r="K399" s="5">
        <f>Sales_Data!E396</f>
        <v>10</v>
      </c>
      <c r="L399" s="5">
        <f>Sales_Data!F396</f>
        <v>6143.35</v>
      </c>
      <c r="M399" s="5">
        <f>Sales_Data!G396</f>
        <v>6144.2</v>
      </c>
      <c r="N399" s="5" t="str">
        <f>IFERROR(INDEX(Branch_Master!$B$2:$B$9,MATCH($B399,Branch_Master!$A$2:$A$9,0)),"Not Found")</f>
        <v>New Delhi</v>
      </c>
      <c r="O399" s="5" t="str">
        <f>IFERROR(INDEX(Branch_Master!$C$2:$C$9,MATCH($B399,Branch_Master!$A$2:$A$9,0)),"Not Found")</f>
        <v>Delhi</v>
      </c>
      <c r="P399" s="5">
        <f>IFERROR(INDEX(Targets!$B$2:$B$9,MATCH($B399,Targets!$A$2:$A$9,0)),0)</f>
        <v>2070000</v>
      </c>
      <c r="Q399" s="5" t="str">
        <f t="shared" si="12"/>
        <v>No</v>
      </c>
      <c r="R399" s="5" t="str">
        <f t="shared" si="13"/>
        <v>May</v>
      </c>
    </row>
    <row r="400" spans="1:18" ht="15" customHeight="1" x14ac:dyDescent="0.3">
      <c r="A400" s="5" t="str">
        <f>Sales_Data!A397</f>
        <v>2025-05-26</v>
      </c>
      <c r="B400" s="5" t="str">
        <f>Sales_Data!B397</f>
        <v>Pune East</v>
      </c>
      <c r="C400" s="5" t="str">
        <f>Sales_Data!C397</f>
        <v>E034</v>
      </c>
      <c r="D400" s="5" t="str">
        <f>IFERROR(INDEX(Employee_Master!$B$2:$B$44,MATCH($C400,Employee_Master!$A$2:$A$44,0)),"Not Found")</f>
        <v>Elaine Thompson</v>
      </c>
      <c r="E400" s="5" t="str">
        <f>IFERROR(INDEX(Employee_Master!$C$2:$C$44,MATCH($C400,Employee_Master!$A$2:$A$44,0)),"Not Found")</f>
        <v>Marketing</v>
      </c>
      <c r="F400" s="5" t="str">
        <f>IFERROR(INDEX(Employee_Master!$D$2:$D$44,MATCH($C400,Employee_Master!$A$2:$A$44,0)),"Not Found")</f>
        <v>Jordan Matthews</v>
      </c>
      <c r="G400" s="5" t="str">
        <f>IFERROR(INDEX(Employee_Master!$E$2:$E$44,MATCH($C400,Employee_Master!$A$2:$A$44,0)),"Not Found")</f>
        <v>West</v>
      </c>
      <c r="H400" s="5" t="str">
        <f>Sales_Data!D397</f>
        <v>P022 - Face Wash</v>
      </c>
      <c r="I400" s="5" t="str">
        <f>IFERROR(INDEX(Product_Master!$B$2:$B$30,MATCH($H400,Product_Master!$A$2:$A$30,0)),"Invalid Product Code")</f>
        <v>Beauty</v>
      </c>
      <c r="J400" s="5">
        <f>IFERROR(INDEX(Product_Master!$C$2:$C$30,MATCH($H400,Product_Master!$A$2:$A$30,0)),0)</f>
        <v>396.75</v>
      </c>
      <c r="K400" s="5">
        <f>Sales_Data!E397</f>
        <v>10</v>
      </c>
      <c r="L400" s="5">
        <f>Sales_Data!F397</f>
        <v>3615.53</v>
      </c>
      <c r="M400" s="5">
        <f>Sales_Data!G397</f>
        <v>3590.83</v>
      </c>
      <c r="N400" s="5" t="str">
        <f>IFERROR(INDEX(Branch_Master!$B$2:$B$9,MATCH($B400,Branch_Master!$A$2:$A$9,0)),"Not Found")</f>
        <v>Pune</v>
      </c>
      <c r="O400" s="5" t="str">
        <f>IFERROR(INDEX(Branch_Master!$C$2:$C$9,MATCH($B400,Branch_Master!$A$2:$A$9,0)),"Not Found")</f>
        <v>Maharashtra</v>
      </c>
      <c r="P400" s="5">
        <f>IFERROR(INDEX(Targets!$B$2:$B$9,MATCH($B400,Targets!$A$2:$A$9,0)),0)</f>
        <v>1250000</v>
      </c>
      <c r="Q400" s="5" t="str">
        <f t="shared" si="12"/>
        <v>Yes</v>
      </c>
      <c r="R400" s="5" t="str">
        <f t="shared" si="13"/>
        <v>May</v>
      </c>
    </row>
    <row r="401" spans="1:18" ht="15" customHeight="1" x14ac:dyDescent="0.3">
      <c r="A401" s="5" t="str">
        <f>Sales_Data!A398</f>
        <v>2025-05-26</v>
      </c>
      <c r="B401" s="5" t="str">
        <f>Sales_Data!B398</f>
        <v>Bangalore North</v>
      </c>
      <c r="C401" s="5" t="str">
        <f>Sales_Data!C398</f>
        <v>E006</v>
      </c>
      <c r="D401" s="5" t="str">
        <f>IFERROR(INDEX(Employee_Master!$B$2:$B$44,MATCH($C401,Employee_Master!$A$2:$A$44,0)),"Not Found")</f>
        <v>Dylan Jones</v>
      </c>
      <c r="E401" s="5" t="str">
        <f>IFERROR(INDEX(Employee_Master!$C$2:$C$44,MATCH($C401,Employee_Master!$A$2:$A$44,0)),"Not Found")</f>
        <v>Sales</v>
      </c>
      <c r="F401" s="5" t="str">
        <f>IFERROR(INDEX(Employee_Master!$D$2:$D$44,MATCH($C401,Employee_Master!$A$2:$A$44,0)),"Not Found")</f>
        <v>Jose Soto</v>
      </c>
      <c r="G401" s="5" t="str">
        <f>IFERROR(INDEX(Employee_Master!$E$2:$E$44,MATCH($C401,Employee_Master!$A$2:$A$44,0)),"Not Found")</f>
        <v>South</v>
      </c>
      <c r="H401" s="5" t="str">
        <f>Sales_Data!D398</f>
        <v>P024 - Hair Serum</v>
      </c>
      <c r="I401" s="5" t="str">
        <f>IFERROR(INDEX(Product_Master!$B$2:$B$30,MATCH($H401,Product_Master!$A$2:$A$30,0)),"Invalid Product Code")</f>
        <v>Beauty</v>
      </c>
      <c r="J401" s="5">
        <f>IFERROR(INDEX(Product_Master!$C$2:$C$30,MATCH($H401,Product_Master!$A$2:$A$30,0)),0)</f>
        <v>1457.31</v>
      </c>
      <c r="K401" s="5">
        <f>Sales_Data!E398</f>
        <v>7</v>
      </c>
      <c r="L401" s="5">
        <f>Sales_Data!F398</f>
        <v>9293.7900000000009</v>
      </c>
      <c r="M401" s="5">
        <f>Sales_Data!G398</f>
        <v>9070.14</v>
      </c>
      <c r="N401" s="5" t="str">
        <f>IFERROR(INDEX(Branch_Master!$B$2:$B$9,MATCH($B401,Branch_Master!$A$2:$A$9,0)),"Not Found")</f>
        <v>Bangalore</v>
      </c>
      <c r="O401" s="5" t="str">
        <f>IFERROR(INDEX(Branch_Master!$C$2:$C$9,MATCH($B401,Branch_Master!$A$2:$A$9,0)),"Not Found")</f>
        <v>Karnataka</v>
      </c>
      <c r="P401" s="5">
        <f>IFERROR(INDEX(Targets!$B$2:$B$9,MATCH($B401,Targets!$A$2:$A$9,0)),0)</f>
        <v>900000</v>
      </c>
      <c r="Q401" s="5" t="str">
        <f t="shared" si="12"/>
        <v>Yes</v>
      </c>
      <c r="R401" s="5" t="str">
        <f t="shared" si="13"/>
        <v>May</v>
      </c>
    </row>
    <row r="402" spans="1:18" ht="15" customHeight="1" x14ac:dyDescent="0.3">
      <c r="A402" s="5" t="str">
        <f>Sales_Data!A399</f>
        <v>2025-05-27</v>
      </c>
      <c r="B402" s="5" t="str">
        <f>Sales_Data!B399</f>
        <v>Chennai South</v>
      </c>
      <c r="C402" s="5" t="str">
        <f>Sales_Data!C399</f>
        <v>E015</v>
      </c>
      <c r="D402" s="5" t="str">
        <f>IFERROR(INDEX(Employee_Master!$B$2:$B$44,MATCH($C402,Employee_Master!$A$2:$A$44,0)),"Not Found")</f>
        <v>Cassandra Hansen</v>
      </c>
      <c r="E402" s="5" t="str">
        <f>IFERROR(INDEX(Employee_Master!$C$2:$C$44,MATCH($C402,Employee_Master!$A$2:$A$44,0)),"Not Found")</f>
        <v>Customer Support</v>
      </c>
      <c r="F402" s="5" t="str">
        <f>IFERROR(INDEX(Employee_Master!$D$2:$D$44,MATCH($C402,Employee_Master!$A$2:$A$44,0)),"Not Found")</f>
        <v>Robert Steele</v>
      </c>
      <c r="G402" s="5" t="str">
        <f>IFERROR(INDEX(Employee_Master!$E$2:$E$44,MATCH($C402,Employee_Master!$A$2:$A$44,0)),"Not Found")</f>
        <v>South</v>
      </c>
      <c r="H402" s="5" t="str">
        <f>Sales_Data!D399</f>
        <v>P025 - Lipstick Set</v>
      </c>
      <c r="I402" s="5" t="str">
        <f>IFERROR(INDEX(Product_Master!$B$2:$B$30,MATCH($H402,Product_Master!$A$2:$A$30,0)),"Invalid Product Code")</f>
        <v>Beauty</v>
      </c>
      <c r="J402" s="5">
        <f>IFERROR(INDEX(Product_Master!$C$2:$C$30,MATCH($H402,Product_Master!$A$2:$A$30,0)),0)</f>
        <v>765.9</v>
      </c>
      <c r="K402" s="5">
        <f>Sales_Data!E399</f>
        <v>8</v>
      </c>
      <c r="L402" s="5">
        <f>Sales_Data!F399</f>
        <v>5573.24</v>
      </c>
      <c r="M402" s="5">
        <f>Sales_Data!G399</f>
        <v>6356.42</v>
      </c>
      <c r="N402" s="5" t="str">
        <f>IFERROR(INDEX(Branch_Master!$B$2:$B$9,MATCH($B402,Branch_Master!$A$2:$A$9,0)),"Not Found")</f>
        <v>Chennai</v>
      </c>
      <c r="O402" s="5" t="str">
        <f>IFERROR(INDEX(Branch_Master!$C$2:$C$9,MATCH($B402,Branch_Master!$A$2:$A$9,0)),"Not Found")</f>
        <v>Tamil Nadu</v>
      </c>
      <c r="P402" s="5">
        <f>IFERROR(INDEX(Targets!$B$2:$B$9,MATCH($B402,Targets!$A$2:$A$9,0)),0)</f>
        <v>1910000</v>
      </c>
      <c r="Q402" s="5" t="str">
        <f t="shared" si="12"/>
        <v>No</v>
      </c>
      <c r="R402" s="5" t="str">
        <f t="shared" si="13"/>
        <v>May</v>
      </c>
    </row>
    <row r="403" spans="1:18" ht="15" customHeight="1" x14ac:dyDescent="0.3">
      <c r="A403" s="5" t="str">
        <f>Sales_Data!A400</f>
        <v>2025-05-27</v>
      </c>
      <c r="B403" s="5" t="str">
        <f>Sales_Data!B400</f>
        <v>Pune East</v>
      </c>
      <c r="C403" s="5" t="str">
        <f>Sales_Data!C400</f>
        <v>E034</v>
      </c>
      <c r="D403" s="5" t="str">
        <f>IFERROR(INDEX(Employee_Master!$B$2:$B$44,MATCH($C403,Employee_Master!$A$2:$A$44,0)),"Not Found")</f>
        <v>Elaine Thompson</v>
      </c>
      <c r="E403" s="5" t="str">
        <f>IFERROR(INDEX(Employee_Master!$C$2:$C$44,MATCH($C403,Employee_Master!$A$2:$A$44,0)),"Not Found")</f>
        <v>Marketing</v>
      </c>
      <c r="F403" s="5" t="str">
        <f>IFERROR(INDEX(Employee_Master!$D$2:$D$44,MATCH($C403,Employee_Master!$A$2:$A$44,0)),"Not Found")</f>
        <v>Jordan Matthews</v>
      </c>
      <c r="G403" s="5" t="str">
        <f>IFERROR(INDEX(Employee_Master!$E$2:$E$44,MATCH($C403,Employee_Master!$A$2:$A$44,0)),"Not Found")</f>
        <v>West</v>
      </c>
      <c r="H403" s="5" t="str">
        <f>Sales_Data!D400</f>
        <v>P021 - Assorted Spices Kit</v>
      </c>
      <c r="I403" s="5" t="str">
        <f>IFERROR(INDEX(Product_Master!$B$2:$B$30,MATCH($H403,Product_Master!$A$2:$A$30,0)),"Invalid Product Code")</f>
        <v>Grocery</v>
      </c>
      <c r="J403" s="5">
        <f>IFERROR(INDEX(Product_Master!$C$2:$C$30,MATCH($H403,Product_Master!$A$2:$A$30,0)),0)</f>
        <v>1060.97</v>
      </c>
      <c r="K403" s="5">
        <f>Sales_Data!E400</f>
        <v>8</v>
      </c>
      <c r="L403" s="5">
        <f>Sales_Data!F400</f>
        <v>8022.01</v>
      </c>
      <c r="M403" s="5">
        <f>Sales_Data!G400</f>
        <v>8430.41</v>
      </c>
      <c r="N403" s="5" t="str">
        <f>IFERROR(INDEX(Branch_Master!$B$2:$B$9,MATCH($B403,Branch_Master!$A$2:$A$9,0)),"Not Found")</f>
        <v>Pune</v>
      </c>
      <c r="O403" s="5" t="str">
        <f>IFERROR(INDEX(Branch_Master!$C$2:$C$9,MATCH($B403,Branch_Master!$A$2:$A$9,0)),"Not Found")</f>
        <v>Maharashtra</v>
      </c>
      <c r="P403" s="5">
        <f>IFERROR(INDEX(Targets!$B$2:$B$9,MATCH($B403,Targets!$A$2:$A$9,0)),0)</f>
        <v>1250000</v>
      </c>
      <c r="Q403" s="5" t="str">
        <f t="shared" si="12"/>
        <v>No</v>
      </c>
      <c r="R403" s="5" t="str">
        <f t="shared" si="13"/>
        <v>May</v>
      </c>
    </row>
    <row r="404" spans="1:18" ht="15" customHeight="1" x14ac:dyDescent="0.3">
      <c r="A404" s="5" t="str">
        <f>Sales_Data!A401</f>
        <v>2025-05-27</v>
      </c>
      <c r="B404" s="5" t="str">
        <f>Sales_Data!B401</f>
        <v>Kolkata Central</v>
      </c>
      <c r="C404" s="5" t="str">
        <f>Sales_Data!C401</f>
        <v>E029</v>
      </c>
      <c r="D404" s="5" t="str">
        <f>IFERROR(INDEX(Employee_Master!$B$2:$B$44,MATCH($C404,Employee_Master!$A$2:$A$44,0)),"Not Found")</f>
        <v>Patrick Shepard</v>
      </c>
      <c r="E404" s="5" t="str">
        <f>IFERROR(INDEX(Employee_Master!$C$2:$C$44,MATCH($C404,Employee_Master!$A$2:$A$44,0)),"Not Found")</f>
        <v>Sales</v>
      </c>
      <c r="F404" s="5" t="str">
        <f>IFERROR(INDEX(Employee_Master!$D$2:$D$44,MATCH($C404,Employee_Master!$A$2:$A$44,0)),"Not Found")</f>
        <v>Lisa Moore</v>
      </c>
      <c r="G404" s="5" t="str">
        <f>IFERROR(INDEX(Employee_Master!$E$2:$E$44,MATCH($C404,Employee_Master!$A$2:$A$44,0)),"Not Found")</f>
        <v>East</v>
      </c>
      <c r="H404" s="5" t="str">
        <f>Sales_Data!D401</f>
        <v>P007 - Cotton T-Shirt</v>
      </c>
      <c r="I404" s="5" t="str">
        <f>IFERROR(INDEX(Product_Master!$B$2:$B$30,MATCH($H404,Product_Master!$A$2:$A$30,0)),"Invalid Product Code")</f>
        <v>Apparel</v>
      </c>
      <c r="J404" s="5">
        <f>IFERROR(INDEX(Product_Master!$C$2:$C$30,MATCH($H404,Product_Master!$A$2:$A$30,0)),0)</f>
        <v>338.44</v>
      </c>
      <c r="K404" s="5">
        <f>Sales_Data!E401</f>
        <v>1</v>
      </c>
      <c r="L404" s="5">
        <f>Sales_Data!F401</f>
        <v>334.47</v>
      </c>
      <c r="M404" s="5">
        <f>Sales_Data!G401</f>
        <v>374.19</v>
      </c>
      <c r="N404" s="5" t="str">
        <f>IFERROR(INDEX(Branch_Master!$B$2:$B$9,MATCH($B404,Branch_Master!$A$2:$A$9,0)),"Not Found")</f>
        <v>Kolkata</v>
      </c>
      <c r="O404" s="5" t="str">
        <f>IFERROR(INDEX(Branch_Master!$C$2:$C$9,MATCH($B404,Branch_Master!$A$2:$A$9,0)),"Not Found")</f>
        <v>West Bengal</v>
      </c>
      <c r="P404" s="5">
        <f>IFERROR(INDEX(Targets!$B$2:$B$9,MATCH($B404,Targets!$A$2:$A$9,0)),0)</f>
        <v>1910000</v>
      </c>
      <c r="Q404" s="5" t="str">
        <f t="shared" si="12"/>
        <v>No</v>
      </c>
      <c r="R404" s="5" t="str">
        <f t="shared" si="13"/>
        <v>May</v>
      </c>
    </row>
    <row r="405" spans="1:18" ht="15" customHeight="1" x14ac:dyDescent="0.3">
      <c r="A405" s="5" t="str">
        <f>Sales_Data!A402</f>
        <v>2025-05-28</v>
      </c>
      <c r="B405" s="5" t="str">
        <f>Sales_Data!B402</f>
        <v>Mumbai Central</v>
      </c>
      <c r="C405" s="5" t="str">
        <f>Sales_Data!C402</f>
        <v>E025</v>
      </c>
      <c r="D405" s="5" t="str">
        <f>IFERROR(INDEX(Employee_Master!$B$2:$B$44,MATCH($C405,Employee_Master!$A$2:$A$44,0)),"Not Found")</f>
        <v>Jacqueline Chavez</v>
      </c>
      <c r="E405" s="5" t="str">
        <f>IFERROR(INDEX(Employee_Master!$C$2:$C$44,MATCH($C405,Employee_Master!$A$2:$A$44,0)),"Not Found")</f>
        <v>Sales</v>
      </c>
      <c r="F405" s="5" t="str">
        <f>IFERROR(INDEX(Employee_Master!$D$2:$D$44,MATCH($C405,Employee_Master!$A$2:$A$44,0)),"Not Found")</f>
        <v>Justin Glass</v>
      </c>
      <c r="G405" s="5" t="str">
        <f>IFERROR(INDEX(Employee_Master!$E$2:$E$44,MATCH($C405,Employee_Master!$A$2:$A$44,0)),"Not Found")</f>
        <v>West</v>
      </c>
      <c r="H405" s="5" t="str">
        <f>Sales_Data!D402</f>
        <v>P025 - Lipstick Set</v>
      </c>
      <c r="I405" s="5" t="str">
        <f>IFERROR(INDEX(Product_Master!$B$2:$B$30,MATCH($H405,Product_Master!$A$2:$A$30,0)),"Invalid Product Code")</f>
        <v>Beauty</v>
      </c>
      <c r="J405" s="5">
        <f>IFERROR(INDEX(Product_Master!$C$2:$C$30,MATCH($H405,Product_Master!$A$2:$A$30,0)),0)</f>
        <v>765.9</v>
      </c>
      <c r="K405" s="5">
        <f>Sales_Data!E402</f>
        <v>2</v>
      </c>
      <c r="L405" s="5">
        <f>Sales_Data!F402</f>
        <v>1415.34</v>
      </c>
      <c r="M405" s="5">
        <f>Sales_Data!G402</f>
        <v>1349.47</v>
      </c>
      <c r="N405" s="5" t="str">
        <f>IFERROR(INDEX(Branch_Master!$B$2:$B$9,MATCH($B405,Branch_Master!$A$2:$A$9,0)),"Not Found")</f>
        <v>Mumbai</v>
      </c>
      <c r="O405" s="5" t="str">
        <f>IFERROR(INDEX(Branch_Master!$C$2:$C$9,MATCH($B405,Branch_Master!$A$2:$A$9,0)),"Not Found")</f>
        <v>Maharashtra</v>
      </c>
      <c r="P405" s="5">
        <f>IFERROR(INDEX(Targets!$B$2:$B$9,MATCH($B405,Targets!$A$2:$A$9,0)),0)</f>
        <v>900000</v>
      </c>
      <c r="Q405" s="5" t="str">
        <f t="shared" si="12"/>
        <v>Yes</v>
      </c>
      <c r="R405" s="5" t="str">
        <f t="shared" si="13"/>
        <v>May</v>
      </c>
    </row>
    <row r="406" spans="1:18" ht="15" customHeight="1" x14ac:dyDescent="0.3">
      <c r="A406" s="5" t="str">
        <f>Sales_Data!A403</f>
        <v>2025-05-28</v>
      </c>
      <c r="B406" s="5" t="str">
        <f>Sales_Data!B403</f>
        <v>Bangalore North</v>
      </c>
      <c r="C406" s="5" t="str">
        <f>Sales_Data!C403</f>
        <v>E006</v>
      </c>
      <c r="D406" s="5" t="str">
        <f>IFERROR(INDEX(Employee_Master!$B$2:$B$44,MATCH($C406,Employee_Master!$A$2:$A$44,0)),"Not Found")</f>
        <v>Dylan Jones</v>
      </c>
      <c r="E406" s="5" t="str">
        <f>IFERROR(INDEX(Employee_Master!$C$2:$C$44,MATCH($C406,Employee_Master!$A$2:$A$44,0)),"Not Found")</f>
        <v>Sales</v>
      </c>
      <c r="F406" s="5" t="str">
        <f>IFERROR(INDEX(Employee_Master!$D$2:$D$44,MATCH($C406,Employee_Master!$A$2:$A$44,0)),"Not Found")</f>
        <v>Jose Soto</v>
      </c>
      <c r="G406" s="5" t="str">
        <f>IFERROR(INDEX(Employee_Master!$E$2:$E$44,MATCH($C406,Employee_Master!$A$2:$A$44,0)),"Not Found")</f>
        <v>South</v>
      </c>
      <c r="H406" s="5" t="str">
        <f>Sales_Data!D403</f>
        <v>P008 - Denim Jeans</v>
      </c>
      <c r="I406" s="5" t="str">
        <f>IFERROR(INDEX(Product_Master!$B$2:$B$30,MATCH($H406,Product_Master!$A$2:$A$30,0)),"Invalid Product Code")</f>
        <v>Apparel</v>
      </c>
      <c r="J406" s="5">
        <f>IFERROR(INDEX(Product_Master!$C$2:$C$30,MATCH($H406,Product_Master!$A$2:$A$30,0)),0)</f>
        <v>614.48</v>
      </c>
      <c r="K406" s="5">
        <f>Sales_Data!E403</f>
        <v>9</v>
      </c>
      <c r="L406" s="5">
        <f>Sales_Data!F403</f>
        <v>5622.82</v>
      </c>
      <c r="M406" s="5">
        <f>Sales_Data!G403</f>
        <v>4962.2700000000004</v>
      </c>
      <c r="N406" s="5" t="str">
        <f>IFERROR(INDEX(Branch_Master!$B$2:$B$9,MATCH($B406,Branch_Master!$A$2:$A$9,0)),"Not Found")</f>
        <v>Bangalore</v>
      </c>
      <c r="O406" s="5" t="str">
        <f>IFERROR(INDEX(Branch_Master!$C$2:$C$9,MATCH($B406,Branch_Master!$A$2:$A$9,0)),"Not Found")</f>
        <v>Karnataka</v>
      </c>
      <c r="P406" s="5">
        <f>IFERROR(INDEX(Targets!$B$2:$B$9,MATCH($B406,Targets!$A$2:$A$9,0)),0)</f>
        <v>900000</v>
      </c>
      <c r="Q406" s="5" t="str">
        <f t="shared" si="12"/>
        <v>Yes</v>
      </c>
      <c r="R406" s="5" t="str">
        <f t="shared" si="13"/>
        <v>May</v>
      </c>
    </row>
    <row r="407" spans="1:18" ht="15" customHeight="1" x14ac:dyDescent="0.3">
      <c r="A407" s="5" t="str">
        <f>Sales_Data!A404</f>
        <v>2025-05-29</v>
      </c>
      <c r="B407" s="5" t="str">
        <f>Sales_Data!B404</f>
        <v>Delhi NCR</v>
      </c>
      <c r="C407" s="5" t="str">
        <f>Sales_Data!C404</f>
        <v>E031</v>
      </c>
      <c r="D407" s="5" t="str">
        <f>IFERROR(INDEX(Employee_Master!$B$2:$B$44,MATCH($C407,Employee_Master!$A$2:$A$44,0)),"Not Found")</f>
        <v>Jennifer Garcia</v>
      </c>
      <c r="E407" s="5" t="str">
        <f>IFERROR(INDEX(Employee_Master!$C$2:$C$44,MATCH($C407,Employee_Master!$A$2:$A$44,0)),"Not Found")</f>
        <v>Sales</v>
      </c>
      <c r="F407" s="5" t="str">
        <f>IFERROR(INDEX(Employee_Master!$D$2:$D$44,MATCH($C407,Employee_Master!$A$2:$A$44,0)),"Not Found")</f>
        <v>William Oconnell</v>
      </c>
      <c r="G407" s="5" t="str">
        <f>IFERROR(INDEX(Employee_Master!$E$2:$E$44,MATCH($C407,Employee_Master!$A$2:$A$44,0)),"Not Found")</f>
        <v>North</v>
      </c>
      <c r="H407" s="5" t="str">
        <f>Sales_Data!D404</f>
        <v>P015 - Water Bottle</v>
      </c>
      <c r="I407" s="5" t="str">
        <f>IFERROR(INDEX(Product_Master!$B$2:$B$30,MATCH($H407,Product_Master!$A$2:$A$30,0)),"Invalid Product Code")</f>
        <v>Home &amp; Kitchen</v>
      </c>
      <c r="J407" s="5">
        <f>IFERROR(INDEX(Product_Master!$C$2:$C$30,MATCH($H407,Product_Master!$A$2:$A$30,0)),0)</f>
        <v>197.57</v>
      </c>
      <c r="K407" s="5">
        <f>Sales_Data!E404</f>
        <v>1</v>
      </c>
      <c r="L407" s="5">
        <f>Sales_Data!F404</f>
        <v>192.26</v>
      </c>
      <c r="M407" s="5">
        <f>Sales_Data!G404</f>
        <v>209.52</v>
      </c>
      <c r="N407" s="5" t="str">
        <f>IFERROR(INDEX(Branch_Master!$B$2:$B$9,MATCH($B407,Branch_Master!$A$2:$A$9,0)),"Not Found")</f>
        <v>New Delhi</v>
      </c>
      <c r="O407" s="5" t="str">
        <f>IFERROR(INDEX(Branch_Master!$C$2:$C$9,MATCH($B407,Branch_Master!$A$2:$A$9,0)),"Not Found")</f>
        <v>Delhi</v>
      </c>
      <c r="P407" s="5">
        <f>IFERROR(INDEX(Targets!$B$2:$B$9,MATCH($B407,Targets!$A$2:$A$9,0)),0)</f>
        <v>2070000</v>
      </c>
      <c r="Q407" s="5" t="str">
        <f t="shared" si="12"/>
        <v>No</v>
      </c>
      <c r="R407" s="5" t="str">
        <f t="shared" si="13"/>
        <v>May</v>
      </c>
    </row>
    <row r="408" spans="1:18" ht="15" customHeight="1" x14ac:dyDescent="0.3">
      <c r="A408" s="5" t="str">
        <f>Sales_Data!A405</f>
        <v>2025-05-30</v>
      </c>
      <c r="B408" s="5" t="str">
        <f>Sales_Data!B405</f>
        <v>Hyderabad Hitech</v>
      </c>
      <c r="C408" s="5" t="str">
        <f>Sales_Data!C405</f>
        <v>E035</v>
      </c>
      <c r="D408" s="5" t="str">
        <f>IFERROR(INDEX(Employee_Master!$B$2:$B$44,MATCH($C408,Employee_Master!$A$2:$A$44,0)),"Not Found")</f>
        <v>Andrea Perez</v>
      </c>
      <c r="E408" s="5" t="str">
        <f>IFERROR(INDEX(Employee_Master!$C$2:$C$44,MATCH($C408,Employee_Master!$A$2:$A$44,0)),"Not Found")</f>
        <v>Sales</v>
      </c>
      <c r="F408" s="5" t="str">
        <f>IFERROR(INDEX(Employee_Master!$D$2:$D$44,MATCH($C408,Employee_Master!$A$2:$A$44,0)),"Not Found")</f>
        <v>Anna Turner</v>
      </c>
      <c r="G408" s="5" t="str">
        <f>IFERROR(INDEX(Employee_Master!$E$2:$E$44,MATCH($C408,Employee_Master!$A$2:$A$44,0)),"Not Found")</f>
        <v>South</v>
      </c>
      <c r="H408" s="5" t="str">
        <f>Sales_Data!D405</f>
        <v>P011 - Winter Jacket</v>
      </c>
      <c r="I408" s="5" t="str">
        <f>IFERROR(INDEX(Product_Master!$B$2:$B$30,MATCH($H408,Product_Master!$A$2:$A$30,0)),"Invalid Product Code")</f>
        <v>Apparel</v>
      </c>
      <c r="J408" s="5">
        <f>IFERROR(INDEX(Product_Master!$C$2:$C$30,MATCH($H408,Product_Master!$A$2:$A$30,0)),0)</f>
        <v>264.97000000000003</v>
      </c>
      <c r="K408" s="5">
        <f>Sales_Data!E405</f>
        <v>2</v>
      </c>
      <c r="L408" s="5">
        <f>Sales_Data!F405</f>
        <v>529.16</v>
      </c>
      <c r="M408" s="5">
        <f>Sales_Data!G405</f>
        <v>591.53</v>
      </c>
      <c r="N408" s="5" t="str">
        <f>IFERROR(INDEX(Branch_Master!$B$2:$B$9,MATCH($B408,Branch_Master!$A$2:$A$9,0)),"Not Found")</f>
        <v>Hyderabad</v>
      </c>
      <c r="O408" s="5" t="str">
        <f>IFERROR(INDEX(Branch_Master!$C$2:$C$9,MATCH($B408,Branch_Master!$A$2:$A$9,0)),"Not Found")</f>
        <v>Telangana</v>
      </c>
      <c r="P408" s="5">
        <f>IFERROR(INDEX(Targets!$B$2:$B$9,MATCH($B408,Targets!$A$2:$A$9,0)),0)</f>
        <v>1210000</v>
      </c>
      <c r="Q408" s="5" t="str">
        <f t="shared" si="12"/>
        <v>No</v>
      </c>
      <c r="R408" s="5" t="str">
        <f t="shared" si="13"/>
        <v>May</v>
      </c>
    </row>
    <row r="409" spans="1:18" ht="15" customHeight="1" x14ac:dyDescent="0.3">
      <c r="A409" s="5" t="str">
        <f>Sales_Data!A406</f>
        <v>2025-05-30</v>
      </c>
      <c r="B409" s="5" t="str">
        <f>Sales_Data!B406</f>
        <v>Hyderabad Hitech</v>
      </c>
      <c r="C409" s="5" t="str">
        <f>Sales_Data!C406</f>
        <v>E020</v>
      </c>
      <c r="D409" s="5" t="str">
        <f>IFERROR(INDEX(Employee_Master!$B$2:$B$44,MATCH($C409,Employee_Master!$A$2:$A$44,0)),"Not Found")</f>
        <v>Christine Long</v>
      </c>
      <c r="E409" s="5" t="str">
        <f>IFERROR(INDEX(Employee_Master!$C$2:$C$44,MATCH($C409,Employee_Master!$A$2:$A$44,0)),"Not Found")</f>
        <v>Operations</v>
      </c>
      <c r="F409" s="5" t="str">
        <f>IFERROR(INDEX(Employee_Master!$D$2:$D$44,MATCH($C409,Employee_Master!$A$2:$A$44,0)),"Not Found")</f>
        <v>Anna Turner</v>
      </c>
      <c r="G409" s="5" t="str">
        <f>IFERROR(INDEX(Employee_Master!$E$2:$E$44,MATCH($C409,Employee_Master!$A$2:$A$44,0)),"Not Found")</f>
        <v>South</v>
      </c>
      <c r="H409" s="5" t="str">
        <f>Sales_Data!D406</f>
        <v>P010 - Running Shoes</v>
      </c>
      <c r="I409" s="5" t="str">
        <f>IFERROR(INDEX(Product_Master!$B$2:$B$30,MATCH($H409,Product_Master!$A$2:$A$30,0)),"Invalid Product Code")</f>
        <v>Apparel</v>
      </c>
      <c r="J409" s="5">
        <f>IFERROR(INDEX(Product_Master!$C$2:$C$30,MATCH($H409,Product_Master!$A$2:$A$30,0)),0)</f>
        <v>233.71</v>
      </c>
      <c r="K409" s="5">
        <f>Sales_Data!E406</f>
        <v>10</v>
      </c>
      <c r="L409" s="5">
        <f>Sales_Data!F406</f>
        <v>2361.2399999999998</v>
      </c>
      <c r="M409" s="5">
        <f>Sales_Data!G406</f>
        <v>2679.12</v>
      </c>
      <c r="N409" s="5" t="str">
        <f>IFERROR(INDEX(Branch_Master!$B$2:$B$9,MATCH($B409,Branch_Master!$A$2:$A$9,0)),"Not Found")</f>
        <v>Hyderabad</v>
      </c>
      <c r="O409" s="5" t="str">
        <f>IFERROR(INDEX(Branch_Master!$C$2:$C$9,MATCH($B409,Branch_Master!$A$2:$A$9,0)),"Not Found")</f>
        <v>Telangana</v>
      </c>
      <c r="P409" s="5">
        <f>IFERROR(INDEX(Targets!$B$2:$B$9,MATCH($B409,Targets!$A$2:$A$9,0)),0)</f>
        <v>1210000</v>
      </c>
      <c r="Q409" s="5" t="str">
        <f t="shared" si="12"/>
        <v>No</v>
      </c>
      <c r="R409" s="5" t="str">
        <f t="shared" si="13"/>
        <v>May</v>
      </c>
    </row>
    <row r="410" spans="1:18" ht="15" customHeight="1" x14ac:dyDescent="0.3">
      <c r="A410" s="5" t="str">
        <f>Sales_Data!A407</f>
        <v>2025-05-30</v>
      </c>
      <c r="B410" s="5" t="str">
        <f>Sales_Data!B407</f>
        <v>Delhi NCR</v>
      </c>
      <c r="C410" s="5" t="str">
        <f>Sales_Data!C407</f>
        <v>E031</v>
      </c>
      <c r="D410" s="5" t="str">
        <f>IFERROR(INDEX(Employee_Master!$B$2:$B$44,MATCH($C410,Employee_Master!$A$2:$A$44,0)),"Not Found")</f>
        <v>Jennifer Garcia</v>
      </c>
      <c r="E410" s="5" t="str">
        <f>IFERROR(INDEX(Employee_Master!$C$2:$C$44,MATCH($C410,Employee_Master!$A$2:$A$44,0)),"Not Found")</f>
        <v>Sales</v>
      </c>
      <c r="F410" s="5" t="str">
        <f>IFERROR(INDEX(Employee_Master!$D$2:$D$44,MATCH($C410,Employee_Master!$A$2:$A$44,0)),"Not Found")</f>
        <v>William Oconnell</v>
      </c>
      <c r="G410" s="5" t="str">
        <f>IFERROR(INDEX(Employee_Master!$E$2:$E$44,MATCH($C410,Employee_Master!$A$2:$A$44,0)),"Not Found")</f>
        <v>North</v>
      </c>
      <c r="H410" s="5" t="str">
        <f>Sales_Data!D407</f>
        <v>P020 - Green Tea Pack</v>
      </c>
      <c r="I410" s="5" t="str">
        <f>IFERROR(INDEX(Product_Master!$B$2:$B$30,MATCH($H410,Product_Master!$A$2:$A$30,0)),"Invalid Product Code")</f>
        <v>Grocery</v>
      </c>
      <c r="J410" s="5">
        <f>IFERROR(INDEX(Product_Master!$C$2:$C$30,MATCH($H410,Product_Master!$A$2:$A$30,0)),0)</f>
        <v>305.39</v>
      </c>
      <c r="K410" s="5">
        <f>Sales_Data!E407</f>
        <v>4</v>
      </c>
      <c r="L410" s="5">
        <f>Sales_Data!F407</f>
        <v>1133.68</v>
      </c>
      <c r="M410" s="5">
        <f>Sales_Data!G407</f>
        <v>1349.17</v>
      </c>
      <c r="N410" s="5" t="str">
        <f>IFERROR(INDEX(Branch_Master!$B$2:$B$9,MATCH($B410,Branch_Master!$A$2:$A$9,0)),"Not Found")</f>
        <v>New Delhi</v>
      </c>
      <c r="O410" s="5" t="str">
        <f>IFERROR(INDEX(Branch_Master!$C$2:$C$9,MATCH($B410,Branch_Master!$A$2:$A$9,0)),"Not Found")</f>
        <v>Delhi</v>
      </c>
      <c r="P410" s="5">
        <f>IFERROR(INDEX(Targets!$B$2:$B$9,MATCH($B410,Targets!$A$2:$A$9,0)),0)</f>
        <v>2070000</v>
      </c>
      <c r="Q410" s="5" t="str">
        <f t="shared" si="12"/>
        <v>No</v>
      </c>
      <c r="R410" s="5" t="str">
        <f t="shared" si="13"/>
        <v>May</v>
      </c>
    </row>
    <row r="411" spans="1:18" ht="15" customHeight="1" x14ac:dyDescent="0.3">
      <c r="A411" s="5" t="str">
        <f>Sales_Data!A408</f>
        <v>2025-05-31</v>
      </c>
      <c r="B411" s="5" t="str">
        <f>Sales_Data!B408</f>
        <v>Pune East</v>
      </c>
      <c r="C411" s="5" t="str">
        <f>Sales_Data!C408</f>
        <v>E023</v>
      </c>
      <c r="D411" s="5" t="str">
        <f>IFERROR(INDEX(Employee_Master!$B$2:$B$44,MATCH($C411,Employee_Master!$A$2:$A$44,0)),"Not Found")</f>
        <v>Edward Jones</v>
      </c>
      <c r="E411" s="5" t="str">
        <f>IFERROR(INDEX(Employee_Master!$C$2:$C$44,MATCH($C411,Employee_Master!$A$2:$A$44,0)),"Not Found")</f>
        <v>Operations</v>
      </c>
      <c r="F411" s="5" t="str">
        <f>IFERROR(INDEX(Employee_Master!$D$2:$D$44,MATCH($C411,Employee_Master!$A$2:$A$44,0)),"Not Found")</f>
        <v>Jordan Matthews</v>
      </c>
      <c r="G411" s="5" t="str">
        <f>IFERROR(INDEX(Employee_Master!$E$2:$E$44,MATCH($C411,Employee_Master!$A$2:$A$44,0)),"Not Found")</f>
        <v>West</v>
      </c>
      <c r="H411" s="5" t="str">
        <f>Sales_Data!D408</f>
        <v>P014 - Air Fryer</v>
      </c>
      <c r="I411" s="5" t="str">
        <f>IFERROR(INDEX(Product_Master!$B$2:$B$30,MATCH($H411,Product_Master!$A$2:$A$30,0)),"Invalid Product Code")</f>
        <v>Home &amp; Kitchen</v>
      </c>
      <c r="J411" s="5">
        <f>IFERROR(INDEX(Product_Master!$C$2:$C$30,MATCH($H411,Product_Master!$A$2:$A$30,0)),0)</f>
        <v>729.85</v>
      </c>
      <c r="K411" s="5">
        <f>Sales_Data!E408</f>
        <v>10</v>
      </c>
      <c r="L411" s="5">
        <f>Sales_Data!F408</f>
        <v>7476.99</v>
      </c>
      <c r="M411" s="5">
        <f>Sales_Data!G408</f>
        <v>7303.33</v>
      </c>
      <c r="N411" s="5" t="str">
        <f>IFERROR(INDEX(Branch_Master!$B$2:$B$9,MATCH($B411,Branch_Master!$A$2:$A$9,0)),"Not Found")</f>
        <v>Pune</v>
      </c>
      <c r="O411" s="5" t="str">
        <f>IFERROR(INDEX(Branch_Master!$C$2:$C$9,MATCH($B411,Branch_Master!$A$2:$A$9,0)),"Not Found")</f>
        <v>Maharashtra</v>
      </c>
      <c r="P411" s="5">
        <f>IFERROR(INDEX(Targets!$B$2:$B$9,MATCH($B411,Targets!$A$2:$A$9,0)),0)</f>
        <v>1250000</v>
      </c>
      <c r="Q411" s="5" t="str">
        <f t="shared" si="12"/>
        <v>Yes</v>
      </c>
      <c r="R411" s="5" t="str">
        <f t="shared" si="13"/>
        <v>May</v>
      </c>
    </row>
    <row r="412" spans="1:18" ht="15" customHeight="1" x14ac:dyDescent="0.3">
      <c r="A412" s="5" t="str">
        <f>Sales_Data!A409</f>
        <v>2025-05-31</v>
      </c>
      <c r="B412" s="5" t="str">
        <f>Sales_Data!B409</f>
        <v>Mumbai Central</v>
      </c>
      <c r="C412" s="5" t="str">
        <f>Sales_Data!C409</f>
        <v>E036</v>
      </c>
      <c r="D412" s="5" t="str">
        <f>IFERROR(INDEX(Employee_Master!$B$2:$B$44,MATCH($C412,Employee_Master!$A$2:$A$44,0)),"Not Found")</f>
        <v>Sarah Mendez</v>
      </c>
      <c r="E412" s="5" t="str">
        <f>IFERROR(INDEX(Employee_Master!$C$2:$C$44,MATCH($C412,Employee_Master!$A$2:$A$44,0)),"Not Found")</f>
        <v>Sales</v>
      </c>
      <c r="F412" s="5" t="str">
        <f>IFERROR(INDEX(Employee_Master!$D$2:$D$44,MATCH($C412,Employee_Master!$A$2:$A$44,0)),"Not Found")</f>
        <v>Justin Glass</v>
      </c>
      <c r="G412" s="5" t="str">
        <f>IFERROR(INDEX(Employee_Master!$E$2:$E$44,MATCH($C412,Employee_Master!$A$2:$A$44,0)),"Not Found")</f>
        <v>West</v>
      </c>
      <c r="H412" s="5" t="str">
        <f>Sales_Data!D409</f>
        <v>P013 - Mixer Grinder</v>
      </c>
      <c r="I412" s="5" t="str">
        <f>IFERROR(INDEX(Product_Master!$B$2:$B$30,MATCH($H412,Product_Master!$A$2:$A$30,0)),"Invalid Product Code")</f>
        <v>Home &amp; Kitchen</v>
      </c>
      <c r="J412" s="5">
        <f>IFERROR(INDEX(Product_Master!$C$2:$C$30,MATCH($H412,Product_Master!$A$2:$A$30,0)),0)</f>
        <v>798.53</v>
      </c>
      <c r="K412" s="5">
        <f>Sales_Data!E409</f>
        <v>9</v>
      </c>
      <c r="L412" s="5">
        <f>Sales_Data!F409</f>
        <v>7800.18</v>
      </c>
      <c r="M412" s="5">
        <f>Sales_Data!G409</f>
        <v>7124.67</v>
      </c>
      <c r="N412" s="5" t="str">
        <f>IFERROR(INDEX(Branch_Master!$B$2:$B$9,MATCH($B412,Branch_Master!$A$2:$A$9,0)),"Not Found")</f>
        <v>Mumbai</v>
      </c>
      <c r="O412" s="5" t="str">
        <f>IFERROR(INDEX(Branch_Master!$C$2:$C$9,MATCH($B412,Branch_Master!$A$2:$A$9,0)),"Not Found")</f>
        <v>Maharashtra</v>
      </c>
      <c r="P412" s="5">
        <f>IFERROR(INDEX(Targets!$B$2:$B$9,MATCH($B412,Targets!$A$2:$A$9,0)),0)</f>
        <v>900000</v>
      </c>
      <c r="Q412" s="5" t="str">
        <f t="shared" si="12"/>
        <v>Yes</v>
      </c>
      <c r="R412" s="5" t="str">
        <f t="shared" si="13"/>
        <v>May</v>
      </c>
    </row>
    <row r="413" spans="1:18" ht="15" customHeight="1" x14ac:dyDescent="0.3">
      <c r="A413" s="5" t="str">
        <f>Sales_Data!A410</f>
        <v>2025-06-01</v>
      </c>
      <c r="B413" s="5" t="str">
        <f>Sales_Data!B410</f>
        <v>Kolkata Central</v>
      </c>
      <c r="C413" s="5" t="str">
        <f>Sales_Data!C410</f>
        <v>E018</v>
      </c>
      <c r="D413" s="5" t="str">
        <f>IFERROR(INDEX(Employee_Master!$B$2:$B$44,MATCH($C413,Employee_Master!$A$2:$A$44,0)),"Not Found")</f>
        <v>Daniel Nelson</v>
      </c>
      <c r="E413" s="5" t="str">
        <f>IFERROR(INDEX(Employee_Master!$C$2:$C$44,MATCH($C413,Employee_Master!$A$2:$A$44,0)),"Not Found")</f>
        <v>Sales</v>
      </c>
      <c r="F413" s="5" t="str">
        <f>IFERROR(INDEX(Employee_Master!$D$2:$D$44,MATCH($C413,Employee_Master!$A$2:$A$44,0)),"Not Found")</f>
        <v>Lisa Moore</v>
      </c>
      <c r="G413" s="5" t="str">
        <f>IFERROR(INDEX(Employee_Master!$E$2:$E$44,MATCH($C413,Employee_Master!$A$2:$A$44,0)),"Not Found")</f>
        <v>East</v>
      </c>
      <c r="H413" s="5" t="str">
        <f>Sales_Data!D410</f>
        <v>P021 - Assorted Spices Kit</v>
      </c>
      <c r="I413" s="5" t="str">
        <f>IFERROR(INDEX(Product_Master!$B$2:$B$30,MATCH($H413,Product_Master!$A$2:$A$30,0)),"Invalid Product Code")</f>
        <v>Grocery</v>
      </c>
      <c r="J413" s="5">
        <f>IFERROR(INDEX(Product_Master!$C$2:$C$30,MATCH($H413,Product_Master!$A$2:$A$30,0)),0)</f>
        <v>1060.97</v>
      </c>
      <c r="K413" s="5">
        <f>Sales_Data!E410</f>
        <v>10</v>
      </c>
      <c r="L413" s="5">
        <f>Sales_Data!F410</f>
        <v>9628.59</v>
      </c>
      <c r="M413" s="5">
        <f>Sales_Data!G410</f>
        <v>10908.84</v>
      </c>
      <c r="N413" s="5" t="str">
        <f>IFERROR(INDEX(Branch_Master!$B$2:$B$9,MATCH($B413,Branch_Master!$A$2:$A$9,0)),"Not Found")</f>
        <v>Kolkata</v>
      </c>
      <c r="O413" s="5" t="str">
        <f>IFERROR(INDEX(Branch_Master!$C$2:$C$9,MATCH($B413,Branch_Master!$A$2:$A$9,0)),"Not Found")</f>
        <v>West Bengal</v>
      </c>
      <c r="P413" s="5">
        <f>IFERROR(INDEX(Targets!$B$2:$B$9,MATCH($B413,Targets!$A$2:$A$9,0)),0)</f>
        <v>1910000</v>
      </c>
      <c r="Q413" s="5" t="str">
        <f t="shared" si="12"/>
        <v>No</v>
      </c>
      <c r="R413" s="5" t="str">
        <f t="shared" si="13"/>
        <v>Jun</v>
      </c>
    </row>
    <row r="414" spans="1:18" ht="15" customHeight="1" x14ac:dyDescent="0.3">
      <c r="A414" s="5" t="str">
        <f>Sales_Data!A411</f>
        <v>2025-06-02</v>
      </c>
      <c r="B414" s="5" t="str">
        <f>Sales_Data!B411</f>
        <v>Bangalore North</v>
      </c>
      <c r="C414" s="5" t="str">
        <f>Sales_Data!C411</f>
        <v>E003</v>
      </c>
      <c r="D414" s="5" t="str">
        <f>IFERROR(INDEX(Employee_Master!$B$2:$B$44,MATCH($C414,Employee_Master!$A$2:$A$44,0)),"Not Found")</f>
        <v>Margaret Porter</v>
      </c>
      <c r="E414" s="5" t="str">
        <f>IFERROR(INDEX(Employee_Master!$C$2:$C$44,MATCH($C414,Employee_Master!$A$2:$A$44,0)),"Not Found")</f>
        <v>Customer Support</v>
      </c>
      <c r="F414" s="5" t="str">
        <f>IFERROR(INDEX(Employee_Master!$D$2:$D$44,MATCH($C414,Employee_Master!$A$2:$A$44,0)),"Not Found")</f>
        <v>Jose Soto</v>
      </c>
      <c r="G414" s="5" t="str">
        <f>IFERROR(INDEX(Employee_Master!$E$2:$E$44,MATCH($C414,Employee_Master!$A$2:$A$44,0)),"Not Found")</f>
        <v>South</v>
      </c>
      <c r="H414" s="5" t="str">
        <f>Sales_Data!D411</f>
        <v>P026 - Yoga Mat</v>
      </c>
      <c r="I414" s="5" t="str">
        <f>IFERROR(INDEX(Product_Master!$B$2:$B$30,MATCH($H414,Product_Master!$A$2:$A$30,0)),"Invalid Product Code")</f>
        <v>Sports</v>
      </c>
      <c r="J414" s="5">
        <f>IFERROR(INDEX(Product_Master!$C$2:$C$30,MATCH($H414,Product_Master!$A$2:$A$30,0)),0)</f>
        <v>518.76</v>
      </c>
      <c r="K414" s="5">
        <f>Sales_Data!E411</f>
        <v>11</v>
      </c>
      <c r="L414" s="5">
        <f>Sales_Data!F411</f>
        <v>5845.42</v>
      </c>
      <c r="M414" s="5">
        <f>Sales_Data!G411</f>
        <v>5940.25</v>
      </c>
      <c r="N414" s="5" t="str">
        <f>IFERROR(INDEX(Branch_Master!$B$2:$B$9,MATCH($B414,Branch_Master!$A$2:$A$9,0)),"Not Found")</f>
        <v>Bangalore</v>
      </c>
      <c r="O414" s="5" t="str">
        <f>IFERROR(INDEX(Branch_Master!$C$2:$C$9,MATCH($B414,Branch_Master!$A$2:$A$9,0)),"Not Found")</f>
        <v>Karnataka</v>
      </c>
      <c r="P414" s="5">
        <f>IFERROR(INDEX(Targets!$B$2:$B$9,MATCH($B414,Targets!$A$2:$A$9,0)),0)</f>
        <v>900000</v>
      </c>
      <c r="Q414" s="5" t="str">
        <f t="shared" si="12"/>
        <v>No</v>
      </c>
      <c r="R414" s="5" t="str">
        <f t="shared" si="13"/>
        <v>Jun</v>
      </c>
    </row>
    <row r="415" spans="1:18" ht="15" customHeight="1" x14ac:dyDescent="0.3">
      <c r="A415" s="5" t="str">
        <f>Sales_Data!A412</f>
        <v>2025-06-02</v>
      </c>
      <c r="B415" s="5" t="str">
        <f>Sales_Data!B412</f>
        <v>Chennai South</v>
      </c>
      <c r="C415" s="5" t="str">
        <f>Sales_Data!C412</f>
        <v>E032</v>
      </c>
      <c r="D415" s="5" t="str">
        <f>IFERROR(INDEX(Employee_Master!$B$2:$B$44,MATCH($C415,Employee_Master!$A$2:$A$44,0)),"Not Found")</f>
        <v>Victor Allen</v>
      </c>
      <c r="E415" s="5" t="str">
        <f>IFERROR(INDEX(Employee_Master!$C$2:$C$44,MATCH($C415,Employee_Master!$A$2:$A$44,0)),"Not Found")</f>
        <v>Operations</v>
      </c>
      <c r="F415" s="5" t="str">
        <f>IFERROR(INDEX(Employee_Master!$D$2:$D$44,MATCH($C415,Employee_Master!$A$2:$A$44,0)),"Not Found")</f>
        <v>Robert Steele</v>
      </c>
      <c r="G415" s="5" t="str">
        <f>IFERROR(INDEX(Employee_Master!$E$2:$E$44,MATCH($C415,Employee_Master!$A$2:$A$44,0)),"Not Found")</f>
        <v>South</v>
      </c>
      <c r="H415" s="5" t="str">
        <f>Sales_Data!D412</f>
        <v>P029 - Dumbbell Set 10kg</v>
      </c>
      <c r="I415" s="5" t="str">
        <f>IFERROR(INDEX(Product_Master!$B$2:$B$30,MATCH($H415,Product_Master!$A$2:$A$30,0)),"Invalid Product Code")</f>
        <v>Sports</v>
      </c>
      <c r="J415" s="5">
        <f>IFERROR(INDEX(Product_Master!$C$2:$C$30,MATCH($H415,Product_Master!$A$2:$A$30,0)),0)</f>
        <v>435</v>
      </c>
      <c r="K415" s="5">
        <f>Sales_Data!E412</f>
        <v>11</v>
      </c>
      <c r="L415" s="5">
        <f>Sales_Data!F412</f>
        <v>4911.21</v>
      </c>
      <c r="M415" s="5">
        <f>Sales_Data!G412</f>
        <v>5056.9399999999996</v>
      </c>
      <c r="N415" s="5" t="str">
        <f>IFERROR(INDEX(Branch_Master!$B$2:$B$9,MATCH($B415,Branch_Master!$A$2:$A$9,0)),"Not Found")</f>
        <v>Chennai</v>
      </c>
      <c r="O415" s="5" t="str">
        <f>IFERROR(INDEX(Branch_Master!$C$2:$C$9,MATCH($B415,Branch_Master!$A$2:$A$9,0)),"Not Found")</f>
        <v>Tamil Nadu</v>
      </c>
      <c r="P415" s="5">
        <f>IFERROR(INDEX(Targets!$B$2:$B$9,MATCH($B415,Targets!$A$2:$A$9,0)),0)</f>
        <v>1910000</v>
      </c>
      <c r="Q415" s="5" t="str">
        <f t="shared" si="12"/>
        <v>No</v>
      </c>
      <c r="R415" s="5" t="str">
        <f t="shared" si="13"/>
        <v>Jun</v>
      </c>
    </row>
    <row r="416" spans="1:18" ht="15" customHeight="1" x14ac:dyDescent="0.3">
      <c r="A416" s="5" t="str">
        <f>Sales_Data!A413</f>
        <v>2025-06-02</v>
      </c>
      <c r="B416" s="5" t="str">
        <f>Sales_Data!B413</f>
        <v>Delhi NCR</v>
      </c>
      <c r="C416" s="5" t="str">
        <f>Sales_Data!C413</f>
        <v>E013</v>
      </c>
      <c r="D416" s="5" t="str">
        <f>IFERROR(INDEX(Employee_Master!$B$2:$B$44,MATCH($C416,Employee_Master!$A$2:$A$44,0)),"Not Found")</f>
        <v>Norma Wilson</v>
      </c>
      <c r="E416" s="5" t="str">
        <f>IFERROR(INDEX(Employee_Master!$C$2:$C$44,MATCH($C416,Employee_Master!$A$2:$A$44,0)),"Not Found")</f>
        <v>Customer Support</v>
      </c>
      <c r="F416" s="5" t="str">
        <f>IFERROR(INDEX(Employee_Master!$D$2:$D$44,MATCH($C416,Employee_Master!$A$2:$A$44,0)),"Not Found")</f>
        <v>William Oconnell</v>
      </c>
      <c r="G416" s="5" t="str">
        <f>IFERROR(INDEX(Employee_Master!$E$2:$E$44,MATCH($C416,Employee_Master!$A$2:$A$44,0)),"Not Found")</f>
        <v>North</v>
      </c>
      <c r="H416" s="5" t="str">
        <f>Sales_Data!D413</f>
        <v>P029 - Dumbbell Set 10kg</v>
      </c>
      <c r="I416" s="5" t="str">
        <f>IFERROR(INDEX(Product_Master!$B$2:$B$30,MATCH($H416,Product_Master!$A$2:$A$30,0)),"Invalid Product Code")</f>
        <v>Sports</v>
      </c>
      <c r="J416" s="5">
        <f>IFERROR(INDEX(Product_Master!$C$2:$C$30,MATCH($H416,Product_Master!$A$2:$A$30,0)),0)</f>
        <v>435</v>
      </c>
      <c r="K416" s="5">
        <f>Sales_Data!E413</f>
        <v>9</v>
      </c>
      <c r="L416" s="5">
        <f>Sales_Data!F413</f>
        <v>4230.93</v>
      </c>
      <c r="M416" s="5">
        <f>Sales_Data!G413</f>
        <v>4215.33</v>
      </c>
      <c r="N416" s="5" t="str">
        <f>IFERROR(INDEX(Branch_Master!$B$2:$B$9,MATCH($B416,Branch_Master!$A$2:$A$9,0)),"Not Found")</f>
        <v>New Delhi</v>
      </c>
      <c r="O416" s="5" t="str">
        <f>IFERROR(INDEX(Branch_Master!$C$2:$C$9,MATCH($B416,Branch_Master!$A$2:$A$9,0)),"Not Found")</f>
        <v>Delhi</v>
      </c>
      <c r="P416" s="5">
        <f>IFERROR(INDEX(Targets!$B$2:$B$9,MATCH($B416,Targets!$A$2:$A$9,0)),0)</f>
        <v>2070000</v>
      </c>
      <c r="Q416" s="5" t="str">
        <f t="shared" si="12"/>
        <v>Yes</v>
      </c>
      <c r="R416" s="5" t="str">
        <f t="shared" si="13"/>
        <v>Jun</v>
      </c>
    </row>
    <row r="417" spans="1:18" ht="15" customHeight="1" x14ac:dyDescent="0.3">
      <c r="A417" s="5" t="str">
        <f>Sales_Data!A414</f>
        <v>2025-06-03</v>
      </c>
      <c r="B417" s="5" t="str">
        <f>Sales_Data!B414</f>
        <v>Bangalore North</v>
      </c>
      <c r="C417" s="5" t="str">
        <f>Sales_Data!C414</f>
        <v>E006</v>
      </c>
      <c r="D417" s="5" t="str">
        <f>IFERROR(INDEX(Employee_Master!$B$2:$B$44,MATCH($C417,Employee_Master!$A$2:$A$44,0)),"Not Found")</f>
        <v>Dylan Jones</v>
      </c>
      <c r="E417" s="5" t="str">
        <f>IFERROR(INDEX(Employee_Master!$C$2:$C$44,MATCH($C417,Employee_Master!$A$2:$A$44,0)),"Not Found")</f>
        <v>Sales</v>
      </c>
      <c r="F417" s="5" t="str">
        <f>IFERROR(INDEX(Employee_Master!$D$2:$D$44,MATCH($C417,Employee_Master!$A$2:$A$44,0)),"Not Found")</f>
        <v>Jose Soto</v>
      </c>
      <c r="G417" s="5" t="str">
        <f>IFERROR(INDEX(Employee_Master!$E$2:$E$44,MATCH($C417,Employee_Master!$A$2:$A$44,0)),"Not Found")</f>
        <v>South</v>
      </c>
      <c r="H417" s="5" t="str">
        <f>Sales_Data!D414</f>
        <v>P027 - Cricket Bat</v>
      </c>
      <c r="I417" s="5" t="str">
        <f>IFERROR(INDEX(Product_Master!$B$2:$B$30,MATCH($H417,Product_Master!$A$2:$A$30,0)),"Invalid Product Code")</f>
        <v>Sports</v>
      </c>
      <c r="J417" s="5">
        <f>IFERROR(INDEX(Product_Master!$C$2:$C$30,MATCH($H417,Product_Master!$A$2:$A$30,0)),0)</f>
        <v>822.7</v>
      </c>
      <c r="K417" s="5">
        <f>Sales_Data!E414</f>
        <v>4</v>
      </c>
      <c r="L417" s="5">
        <f>Sales_Data!F414</f>
        <v>3211.93</v>
      </c>
      <c r="M417" s="5">
        <f>Sales_Data!G414</f>
        <v>3067.32</v>
      </c>
      <c r="N417" s="5" t="str">
        <f>IFERROR(INDEX(Branch_Master!$B$2:$B$9,MATCH($B417,Branch_Master!$A$2:$A$9,0)),"Not Found")</f>
        <v>Bangalore</v>
      </c>
      <c r="O417" s="5" t="str">
        <f>IFERROR(INDEX(Branch_Master!$C$2:$C$9,MATCH($B417,Branch_Master!$A$2:$A$9,0)),"Not Found")</f>
        <v>Karnataka</v>
      </c>
      <c r="P417" s="5">
        <f>IFERROR(INDEX(Targets!$B$2:$B$9,MATCH($B417,Targets!$A$2:$A$9,0)),0)</f>
        <v>900000</v>
      </c>
      <c r="Q417" s="5" t="str">
        <f t="shared" si="12"/>
        <v>Yes</v>
      </c>
      <c r="R417" s="5" t="str">
        <f t="shared" si="13"/>
        <v>Jun</v>
      </c>
    </row>
    <row r="418" spans="1:18" ht="15" customHeight="1" x14ac:dyDescent="0.3">
      <c r="A418" s="5" t="str">
        <f>Sales_Data!A415</f>
        <v>2025-06-04</v>
      </c>
      <c r="B418" s="5" t="str">
        <f>Sales_Data!B415</f>
        <v>Delhi NCR</v>
      </c>
      <c r="C418" s="5" t="str">
        <f>Sales_Data!C415</f>
        <v>E013</v>
      </c>
      <c r="D418" s="5" t="str">
        <f>IFERROR(INDEX(Employee_Master!$B$2:$B$44,MATCH($C418,Employee_Master!$A$2:$A$44,0)),"Not Found")</f>
        <v>Norma Wilson</v>
      </c>
      <c r="E418" s="5" t="str">
        <f>IFERROR(INDEX(Employee_Master!$C$2:$C$44,MATCH($C418,Employee_Master!$A$2:$A$44,0)),"Not Found")</f>
        <v>Customer Support</v>
      </c>
      <c r="F418" s="5" t="str">
        <f>IFERROR(INDEX(Employee_Master!$D$2:$D$44,MATCH($C418,Employee_Master!$A$2:$A$44,0)),"Not Found")</f>
        <v>William Oconnell</v>
      </c>
      <c r="G418" s="5" t="str">
        <f>IFERROR(INDEX(Employee_Master!$E$2:$E$44,MATCH($C418,Employee_Master!$A$2:$A$44,0)),"Not Found")</f>
        <v>North</v>
      </c>
      <c r="H418" s="5" t="str">
        <f>Sales_Data!D415</f>
        <v>P022 - Face Wash</v>
      </c>
      <c r="I418" s="5" t="str">
        <f>IFERROR(INDEX(Product_Master!$B$2:$B$30,MATCH($H418,Product_Master!$A$2:$A$30,0)),"Invalid Product Code")</f>
        <v>Beauty</v>
      </c>
      <c r="J418" s="5">
        <f>IFERROR(INDEX(Product_Master!$C$2:$C$30,MATCH($H418,Product_Master!$A$2:$A$30,0)),0)</f>
        <v>396.75</v>
      </c>
      <c r="K418" s="5">
        <f>Sales_Data!E415</f>
        <v>1</v>
      </c>
      <c r="L418" s="5">
        <f>Sales_Data!F415</f>
        <v>419.79</v>
      </c>
      <c r="M418" s="5">
        <f>Sales_Data!G415</f>
        <v>401.52</v>
      </c>
      <c r="N418" s="5" t="str">
        <f>IFERROR(INDEX(Branch_Master!$B$2:$B$9,MATCH($B418,Branch_Master!$A$2:$A$9,0)),"Not Found")</f>
        <v>New Delhi</v>
      </c>
      <c r="O418" s="5" t="str">
        <f>IFERROR(INDEX(Branch_Master!$C$2:$C$9,MATCH($B418,Branch_Master!$A$2:$A$9,0)),"Not Found")</f>
        <v>Delhi</v>
      </c>
      <c r="P418" s="5">
        <f>IFERROR(INDEX(Targets!$B$2:$B$9,MATCH($B418,Targets!$A$2:$A$9,0)),0)</f>
        <v>2070000</v>
      </c>
      <c r="Q418" s="5" t="str">
        <f t="shared" si="12"/>
        <v>Yes</v>
      </c>
      <c r="R418" s="5" t="str">
        <f t="shared" si="13"/>
        <v>Jun</v>
      </c>
    </row>
    <row r="419" spans="1:18" ht="15" customHeight="1" x14ac:dyDescent="0.3">
      <c r="A419" s="5" t="str">
        <f>Sales_Data!A416</f>
        <v>2025-06-04</v>
      </c>
      <c r="B419" s="5" t="str">
        <f>Sales_Data!B416</f>
        <v>Pune East</v>
      </c>
      <c r="C419" s="5" t="str">
        <f>Sales_Data!C416</f>
        <v>E023</v>
      </c>
      <c r="D419" s="5" t="str">
        <f>IFERROR(INDEX(Employee_Master!$B$2:$B$44,MATCH($C419,Employee_Master!$A$2:$A$44,0)),"Not Found")</f>
        <v>Edward Jones</v>
      </c>
      <c r="E419" s="5" t="str">
        <f>IFERROR(INDEX(Employee_Master!$C$2:$C$44,MATCH($C419,Employee_Master!$A$2:$A$44,0)),"Not Found")</f>
        <v>Operations</v>
      </c>
      <c r="F419" s="5" t="str">
        <f>IFERROR(INDEX(Employee_Master!$D$2:$D$44,MATCH($C419,Employee_Master!$A$2:$A$44,0)),"Not Found")</f>
        <v>Jordan Matthews</v>
      </c>
      <c r="G419" s="5" t="str">
        <f>IFERROR(INDEX(Employee_Master!$E$2:$E$44,MATCH($C419,Employee_Master!$A$2:$A$44,0)),"Not Found")</f>
        <v>West</v>
      </c>
      <c r="H419" s="5" t="str">
        <f>Sales_Data!D416</f>
        <v>P025 - Lipstick Set</v>
      </c>
      <c r="I419" s="5" t="str">
        <f>IFERROR(INDEX(Product_Master!$B$2:$B$30,MATCH($H419,Product_Master!$A$2:$A$30,0)),"Invalid Product Code")</f>
        <v>Beauty</v>
      </c>
      <c r="J419" s="5">
        <f>IFERROR(INDEX(Product_Master!$C$2:$C$30,MATCH($H419,Product_Master!$A$2:$A$30,0)),0)</f>
        <v>765.9</v>
      </c>
      <c r="K419" s="5">
        <f>Sales_Data!E416</f>
        <v>11</v>
      </c>
      <c r="L419" s="5">
        <f>Sales_Data!F416</f>
        <v>8660.27</v>
      </c>
      <c r="M419" s="5">
        <f>Sales_Data!G416</f>
        <v>7340.85</v>
      </c>
      <c r="N419" s="5" t="str">
        <f>IFERROR(INDEX(Branch_Master!$B$2:$B$9,MATCH($B419,Branch_Master!$A$2:$A$9,0)),"Not Found")</f>
        <v>Pune</v>
      </c>
      <c r="O419" s="5" t="str">
        <f>IFERROR(INDEX(Branch_Master!$C$2:$C$9,MATCH($B419,Branch_Master!$A$2:$A$9,0)),"Not Found")</f>
        <v>Maharashtra</v>
      </c>
      <c r="P419" s="5">
        <f>IFERROR(INDEX(Targets!$B$2:$B$9,MATCH($B419,Targets!$A$2:$A$9,0)),0)</f>
        <v>1250000</v>
      </c>
      <c r="Q419" s="5" t="str">
        <f t="shared" si="12"/>
        <v>Yes</v>
      </c>
      <c r="R419" s="5" t="str">
        <f t="shared" si="13"/>
        <v>Jun</v>
      </c>
    </row>
    <row r="420" spans="1:18" ht="15" customHeight="1" x14ac:dyDescent="0.3">
      <c r="A420" s="5" t="str">
        <f>Sales_Data!A417</f>
        <v>2025-06-06</v>
      </c>
      <c r="B420" s="5" t="str">
        <f>Sales_Data!B417</f>
        <v>Ahmedabad West</v>
      </c>
      <c r="C420" s="5" t="str">
        <f>Sales_Data!C417</f>
        <v>E001</v>
      </c>
      <c r="D420" s="5" t="str">
        <f>IFERROR(INDEX(Employee_Master!$B$2:$B$44,MATCH($C420,Employee_Master!$A$2:$A$44,0)),"Not Found")</f>
        <v>David Johnson</v>
      </c>
      <c r="E420" s="5" t="str">
        <f>IFERROR(INDEX(Employee_Master!$C$2:$C$44,MATCH($C420,Employee_Master!$A$2:$A$44,0)),"Not Found")</f>
        <v>Customer Support</v>
      </c>
      <c r="F420" s="5" t="str">
        <f>IFERROR(INDEX(Employee_Master!$D$2:$D$44,MATCH($C420,Employee_Master!$A$2:$A$44,0)),"Not Found")</f>
        <v>Joseph Brown</v>
      </c>
      <c r="G420" s="5" t="str">
        <f>IFERROR(INDEX(Employee_Master!$E$2:$E$44,MATCH($C420,Employee_Master!$A$2:$A$44,0)),"Not Found")</f>
        <v>West</v>
      </c>
      <c r="H420" s="5" t="str">
        <f>Sales_Data!D417</f>
        <v>P007 - Cotton T-Shirt</v>
      </c>
      <c r="I420" s="5" t="str">
        <f>IFERROR(INDEX(Product_Master!$B$2:$B$30,MATCH($H420,Product_Master!$A$2:$A$30,0)),"Invalid Product Code")</f>
        <v>Apparel</v>
      </c>
      <c r="J420" s="5">
        <f>IFERROR(INDEX(Product_Master!$C$2:$C$30,MATCH($H420,Product_Master!$A$2:$A$30,0)),0)</f>
        <v>338.44</v>
      </c>
      <c r="K420" s="5">
        <f>Sales_Data!E417</f>
        <v>11</v>
      </c>
      <c r="L420" s="5">
        <f>Sales_Data!F417</f>
        <v>3774.71</v>
      </c>
      <c r="M420" s="5">
        <f>Sales_Data!G417</f>
        <v>4034.24</v>
      </c>
      <c r="N420" s="5" t="str">
        <f>IFERROR(INDEX(Branch_Master!$B$2:$B$9,MATCH($B420,Branch_Master!$A$2:$A$9,0)),"Not Found")</f>
        <v>Ahmedabad</v>
      </c>
      <c r="O420" s="5" t="str">
        <f>IFERROR(INDEX(Branch_Master!$C$2:$C$9,MATCH($B420,Branch_Master!$A$2:$A$9,0)),"Not Found")</f>
        <v>Gujarat</v>
      </c>
      <c r="P420" s="5">
        <f>IFERROR(INDEX(Targets!$B$2:$B$9,MATCH($B420,Targets!$A$2:$A$9,0)),0)</f>
        <v>1590000</v>
      </c>
      <c r="Q420" s="5" t="str">
        <f t="shared" si="12"/>
        <v>No</v>
      </c>
      <c r="R420" s="5" t="str">
        <f t="shared" si="13"/>
        <v>Jun</v>
      </c>
    </row>
    <row r="421" spans="1:18" ht="15" customHeight="1" x14ac:dyDescent="0.3">
      <c r="A421" s="5" t="str">
        <f>Sales_Data!A418</f>
        <v>2025-06-06</v>
      </c>
      <c r="B421" s="5" t="str">
        <f>Sales_Data!B418</f>
        <v>Kolkata Central</v>
      </c>
      <c r="C421" s="5" t="str">
        <f>Sales_Data!C418</f>
        <v>E018</v>
      </c>
      <c r="D421" s="5" t="str">
        <f>IFERROR(INDEX(Employee_Master!$B$2:$B$44,MATCH($C421,Employee_Master!$A$2:$A$44,0)),"Not Found")</f>
        <v>Daniel Nelson</v>
      </c>
      <c r="E421" s="5" t="str">
        <f>IFERROR(INDEX(Employee_Master!$C$2:$C$44,MATCH($C421,Employee_Master!$A$2:$A$44,0)),"Not Found")</f>
        <v>Sales</v>
      </c>
      <c r="F421" s="5" t="str">
        <f>IFERROR(INDEX(Employee_Master!$D$2:$D$44,MATCH($C421,Employee_Master!$A$2:$A$44,0)),"Not Found")</f>
        <v>Lisa Moore</v>
      </c>
      <c r="G421" s="5" t="str">
        <f>IFERROR(INDEX(Employee_Master!$E$2:$E$44,MATCH($C421,Employee_Master!$A$2:$A$44,0)),"Not Found")</f>
        <v>East</v>
      </c>
      <c r="H421" s="5" t="str">
        <f>Sales_Data!D418</f>
        <v>P003 - Bluetooth Speaker</v>
      </c>
      <c r="I421" s="5" t="str">
        <f>IFERROR(INDEX(Product_Master!$B$2:$B$30,MATCH($H421,Product_Master!$A$2:$A$30,0)),"Invalid Product Code")</f>
        <v>Electronics</v>
      </c>
      <c r="J421" s="5">
        <f>IFERROR(INDEX(Product_Master!$C$2:$C$30,MATCH($H421,Product_Master!$A$2:$A$30,0)),0)</f>
        <v>351.01</v>
      </c>
      <c r="K421" s="5">
        <f>Sales_Data!E418</f>
        <v>10</v>
      </c>
      <c r="L421" s="5">
        <f>Sales_Data!F418</f>
        <v>3516.98</v>
      </c>
      <c r="M421" s="5">
        <f>Sales_Data!G418</f>
        <v>3359.41</v>
      </c>
      <c r="N421" s="5" t="str">
        <f>IFERROR(INDEX(Branch_Master!$B$2:$B$9,MATCH($B421,Branch_Master!$A$2:$A$9,0)),"Not Found")</f>
        <v>Kolkata</v>
      </c>
      <c r="O421" s="5" t="str">
        <f>IFERROR(INDEX(Branch_Master!$C$2:$C$9,MATCH($B421,Branch_Master!$A$2:$A$9,0)),"Not Found")</f>
        <v>West Bengal</v>
      </c>
      <c r="P421" s="5">
        <f>IFERROR(INDEX(Targets!$B$2:$B$9,MATCH($B421,Targets!$A$2:$A$9,0)),0)</f>
        <v>1910000</v>
      </c>
      <c r="Q421" s="5" t="str">
        <f t="shared" si="12"/>
        <v>Yes</v>
      </c>
      <c r="R421" s="5" t="str">
        <f t="shared" si="13"/>
        <v>Jun</v>
      </c>
    </row>
    <row r="422" spans="1:18" ht="15" customHeight="1" x14ac:dyDescent="0.3">
      <c r="A422" s="5" t="str">
        <f>Sales_Data!A419</f>
        <v>2025-06-07</v>
      </c>
      <c r="B422" s="5" t="str">
        <f>Sales_Data!B419</f>
        <v>Pune East</v>
      </c>
      <c r="C422" s="5" t="str">
        <f>Sales_Data!C419</f>
        <v>E034</v>
      </c>
      <c r="D422" s="5" t="str">
        <f>IFERROR(INDEX(Employee_Master!$B$2:$B$44,MATCH($C422,Employee_Master!$A$2:$A$44,0)),"Not Found")</f>
        <v>Elaine Thompson</v>
      </c>
      <c r="E422" s="5" t="str">
        <f>IFERROR(INDEX(Employee_Master!$C$2:$C$44,MATCH($C422,Employee_Master!$A$2:$A$44,0)),"Not Found")</f>
        <v>Marketing</v>
      </c>
      <c r="F422" s="5" t="str">
        <f>IFERROR(INDEX(Employee_Master!$D$2:$D$44,MATCH($C422,Employee_Master!$A$2:$A$44,0)),"Not Found")</f>
        <v>Jordan Matthews</v>
      </c>
      <c r="G422" s="5" t="str">
        <f>IFERROR(INDEX(Employee_Master!$E$2:$E$44,MATCH($C422,Employee_Master!$A$2:$A$44,0)),"Not Found")</f>
        <v>West</v>
      </c>
      <c r="H422" s="5" t="str">
        <f>Sales_Data!D419</f>
        <v>P023 - Sunscreen SPF50</v>
      </c>
      <c r="I422" s="5" t="str">
        <f>IFERROR(INDEX(Product_Master!$B$2:$B$30,MATCH($H422,Product_Master!$A$2:$A$30,0)),"Invalid Product Code")</f>
        <v>Beauty</v>
      </c>
      <c r="J422" s="5">
        <f>IFERROR(INDEX(Product_Master!$C$2:$C$30,MATCH($H422,Product_Master!$A$2:$A$30,0)),0)</f>
        <v>818.95</v>
      </c>
      <c r="K422" s="5">
        <f>Sales_Data!E419</f>
        <v>4</v>
      </c>
      <c r="L422" s="5">
        <f>Sales_Data!F419</f>
        <v>3124.43</v>
      </c>
      <c r="M422" s="5">
        <f>Sales_Data!G419</f>
        <v>3492.14</v>
      </c>
      <c r="N422" s="5" t="str">
        <f>IFERROR(INDEX(Branch_Master!$B$2:$B$9,MATCH($B422,Branch_Master!$A$2:$A$9,0)),"Not Found")</f>
        <v>Pune</v>
      </c>
      <c r="O422" s="5" t="str">
        <f>IFERROR(INDEX(Branch_Master!$C$2:$C$9,MATCH($B422,Branch_Master!$A$2:$A$9,0)),"Not Found")</f>
        <v>Maharashtra</v>
      </c>
      <c r="P422" s="5">
        <f>IFERROR(INDEX(Targets!$B$2:$B$9,MATCH($B422,Targets!$A$2:$A$9,0)),0)</f>
        <v>1250000</v>
      </c>
      <c r="Q422" s="5" t="str">
        <f t="shared" si="12"/>
        <v>No</v>
      </c>
      <c r="R422" s="5" t="str">
        <f t="shared" si="13"/>
        <v>Jun</v>
      </c>
    </row>
    <row r="423" spans="1:18" ht="15" customHeight="1" x14ac:dyDescent="0.3">
      <c r="A423" s="5" t="str">
        <f>Sales_Data!A420</f>
        <v>2025-06-08</v>
      </c>
      <c r="B423" s="5" t="str">
        <f>Sales_Data!B420</f>
        <v>Delhi NCR</v>
      </c>
      <c r="C423" s="5" t="str">
        <f>Sales_Data!C420</f>
        <v>E031</v>
      </c>
      <c r="D423" s="5" t="str">
        <f>IFERROR(INDEX(Employee_Master!$B$2:$B$44,MATCH($C423,Employee_Master!$A$2:$A$44,0)),"Not Found")</f>
        <v>Jennifer Garcia</v>
      </c>
      <c r="E423" s="5" t="str">
        <f>IFERROR(INDEX(Employee_Master!$C$2:$C$44,MATCH($C423,Employee_Master!$A$2:$A$44,0)),"Not Found")</f>
        <v>Sales</v>
      </c>
      <c r="F423" s="5" t="str">
        <f>IFERROR(INDEX(Employee_Master!$D$2:$D$44,MATCH($C423,Employee_Master!$A$2:$A$44,0)),"Not Found")</f>
        <v>William Oconnell</v>
      </c>
      <c r="G423" s="5" t="str">
        <f>IFERROR(INDEX(Employee_Master!$E$2:$E$44,MATCH($C423,Employee_Master!$A$2:$A$44,0)),"Not Found")</f>
        <v>North</v>
      </c>
      <c r="H423" s="5" t="str">
        <f>Sales_Data!D420</f>
        <v>P009 - Formal Shirt</v>
      </c>
      <c r="I423" s="5" t="str">
        <f>IFERROR(INDEX(Product_Master!$B$2:$B$30,MATCH($H423,Product_Master!$A$2:$A$30,0)),"Invalid Product Code")</f>
        <v>Apparel</v>
      </c>
      <c r="J423" s="5">
        <f>IFERROR(INDEX(Product_Master!$C$2:$C$30,MATCH($H423,Product_Master!$A$2:$A$30,0)),0)</f>
        <v>661.65</v>
      </c>
      <c r="K423" s="5">
        <f>Sales_Data!E420</f>
        <v>10</v>
      </c>
      <c r="L423" s="5">
        <f>Sales_Data!F420</f>
        <v>6861.36</v>
      </c>
      <c r="M423" s="5">
        <f>Sales_Data!G420</f>
        <v>6745.3</v>
      </c>
      <c r="N423" s="5" t="str">
        <f>IFERROR(INDEX(Branch_Master!$B$2:$B$9,MATCH($B423,Branch_Master!$A$2:$A$9,0)),"Not Found")</f>
        <v>New Delhi</v>
      </c>
      <c r="O423" s="5" t="str">
        <f>IFERROR(INDEX(Branch_Master!$C$2:$C$9,MATCH($B423,Branch_Master!$A$2:$A$9,0)),"Not Found")</f>
        <v>Delhi</v>
      </c>
      <c r="P423" s="5">
        <f>IFERROR(INDEX(Targets!$B$2:$B$9,MATCH($B423,Targets!$A$2:$A$9,0)),0)</f>
        <v>2070000</v>
      </c>
      <c r="Q423" s="5" t="str">
        <f t="shared" si="12"/>
        <v>Yes</v>
      </c>
      <c r="R423" s="5" t="str">
        <f t="shared" si="13"/>
        <v>Jun</v>
      </c>
    </row>
    <row r="424" spans="1:18" ht="15" customHeight="1" x14ac:dyDescent="0.3">
      <c r="A424" s="5" t="str">
        <f>Sales_Data!A421</f>
        <v>2025-06-08</v>
      </c>
      <c r="B424" s="5" t="str">
        <f>Sales_Data!B421</f>
        <v>Bangalore North</v>
      </c>
      <c r="C424" s="5" t="str">
        <f>Sales_Data!C421</f>
        <v>E004</v>
      </c>
      <c r="D424" s="5" t="str">
        <f>IFERROR(INDEX(Employee_Master!$B$2:$B$44,MATCH($C424,Employee_Master!$A$2:$A$44,0)),"Not Found")</f>
        <v>Judith Ramirez</v>
      </c>
      <c r="E424" s="5" t="str">
        <f>IFERROR(INDEX(Employee_Master!$C$2:$C$44,MATCH($C424,Employee_Master!$A$2:$A$44,0)),"Not Found")</f>
        <v>Sales</v>
      </c>
      <c r="F424" s="5" t="str">
        <f>IFERROR(INDEX(Employee_Master!$D$2:$D$44,MATCH($C424,Employee_Master!$A$2:$A$44,0)),"Not Found")</f>
        <v>Jose Soto</v>
      </c>
      <c r="G424" s="5" t="str">
        <f>IFERROR(INDEX(Employee_Master!$E$2:$E$44,MATCH($C424,Employee_Master!$A$2:$A$44,0)),"Not Found")</f>
        <v>South</v>
      </c>
      <c r="H424" s="5" t="str">
        <f>Sales_Data!D421</f>
        <v>P011 - Winter Jacket</v>
      </c>
      <c r="I424" s="5" t="str">
        <f>IFERROR(INDEX(Product_Master!$B$2:$B$30,MATCH($H424,Product_Master!$A$2:$A$30,0)),"Invalid Product Code")</f>
        <v>Apparel</v>
      </c>
      <c r="J424" s="5">
        <f>IFERROR(INDEX(Product_Master!$C$2:$C$30,MATCH($H424,Product_Master!$A$2:$A$30,0)),0)</f>
        <v>264.97000000000003</v>
      </c>
      <c r="K424" s="5">
        <f>Sales_Data!E421</f>
        <v>11</v>
      </c>
      <c r="L424" s="5">
        <f>Sales_Data!F421</f>
        <v>2954.56</v>
      </c>
      <c r="M424" s="5">
        <f>Sales_Data!G421</f>
        <v>2734.92</v>
      </c>
      <c r="N424" s="5" t="str">
        <f>IFERROR(INDEX(Branch_Master!$B$2:$B$9,MATCH($B424,Branch_Master!$A$2:$A$9,0)),"Not Found")</f>
        <v>Bangalore</v>
      </c>
      <c r="O424" s="5" t="str">
        <f>IFERROR(INDEX(Branch_Master!$C$2:$C$9,MATCH($B424,Branch_Master!$A$2:$A$9,0)),"Not Found")</f>
        <v>Karnataka</v>
      </c>
      <c r="P424" s="5">
        <f>IFERROR(INDEX(Targets!$B$2:$B$9,MATCH($B424,Targets!$A$2:$A$9,0)),0)</f>
        <v>900000</v>
      </c>
      <c r="Q424" s="5" t="str">
        <f t="shared" si="12"/>
        <v>Yes</v>
      </c>
      <c r="R424" s="5" t="str">
        <f t="shared" si="13"/>
        <v>Jun</v>
      </c>
    </row>
    <row r="425" spans="1:18" ht="15" customHeight="1" x14ac:dyDescent="0.3">
      <c r="A425" s="5" t="str">
        <f>Sales_Data!A422</f>
        <v>2025-06-08</v>
      </c>
      <c r="B425" s="5" t="str">
        <f>Sales_Data!B422</f>
        <v>Chennai South</v>
      </c>
      <c r="C425" s="5" t="str">
        <f>Sales_Data!C422</f>
        <v>E032</v>
      </c>
      <c r="D425" s="5" t="str">
        <f>IFERROR(INDEX(Employee_Master!$B$2:$B$44,MATCH($C425,Employee_Master!$A$2:$A$44,0)),"Not Found")</f>
        <v>Victor Allen</v>
      </c>
      <c r="E425" s="5" t="str">
        <f>IFERROR(INDEX(Employee_Master!$C$2:$C$44,MATCH($C425,Employee_Master!$A$2:$A$44,0)),"Not Found")</f>
        <v>Operations</v>
      </c>
      <c r="F425" s="5" t="str">
        <f>IFERROR(INDEX(Employee_Master!$D$2:$D$44,MATCH($C425,Employee_Master!$A$2:$A$44,0)),"Not Found")</f>
        <v>Robert Steele</v>
      </c>
      <c r="G425" s="5" t="str">
        <f>IFERROR(INDEX(Employee_Master!$E$2:$E$44,MATCH($C425,Employee_Master!$A$2:$A$44,0)),"Not Found")</f>
        <v>South</v>
      </c>
      <c r="H425" s="5" t="str">
        <f>Sales_Data!D422</f>
        <v>P008 - Denim Jeans</v>
      </c>
      <c r="I425" s="5" t="str">
        <f>IFERROR(INDEX(Product_Master!$B$2:$B$30,MATCH($H425,Product_Master!$A$2:$A$30,0)),"Invalid Product Code")</f>
        <v>Apparel</v>
      </c>
      <c r="J425" s="5">
        <f>IFERROR(INDEX(Product_Master!$C$2:$C$30,MATCH($H425,Product_Master!$A$2:$A$30,0)),0)</f>
        <v>614.48</v>
      </c>
      <c r="K425" s="5">
        <f>Sales_Data!E422</f>
        <v>7</v>
      </c>
      <c r="L425" s="5">
        <f>Sales_Data!F422</f>
        <v>4076.37</v>
      </c>
      <c r="M425" s="5">
        <f>Sales_Data!G422</f>
        <v>3765.33</v>
      </c>
      <c r="N425" s="5" t="str">
        <f>IFERROR(INDEX(Branch_Master!$B$2:$B$9,MATCH($B425,Branch_Master!$A$2:$A$9,0)),"Not Found")</f>
        <v>Chennai</v>
      </c>
      <c r="O425" s="5" t="str">
        <f>IFERROR(INDEX(Branch_Master!$C$2:$C$9,MATCH($B425,Branch_Master!$A$2:$A$9,0)),"Not Found")</f>
        <v>Tamil Nadu</v>
      </c>
      <c r="P425" s="5">
        <f>IFERROR(INDEX(Targets!$B$2:$B$9,MATCH($B425,Targets!$A$2:$A$9,0)),0)</f>
        <v>1910000</v>
      </c>
      <c r="Q425" s="5" t="str">
        <f t="shared" si="12"/>
        <v>Yes</v>
      </c>
      <c r="R425" s="5" t="str">
        <f t="shared" si="13"/>
        <v>Jun</v>
      </c>
    </row>
    <row r="426" spans="1:18" ht="15" customHeight="1" x14ac:dyDescent="0.3">
      <c r="A426" s="5" t="str">
        <f>Sales_Data!A423</f>
        <v>2025-06-08</v>
      </c>
      <c r="B426" s="5" t="str">
        <f>Sales_Data!B423</f>
        <v>Pune East</v>
      </c>
      <c r="C426" s="5" t="str">
        <f>Sales_Data!C423</f>
        <v>E023</v>
      </c>
      <c r="D426" s="5" t="str">
        <f>IFERROR(INDEX(Employee_Master!$B$2:$B$44,MATCH($C426,Employee_Master!$A$2:$A$44,0)),"Not Found")</f>
        <v>Edward Jones</v>
      </c>
      <c r="E426" s="5" t="str">
        <f>IFERROR(INDEX(Employee_Master!$C$2:$C$44,MATCH($C426,Employee_Master!$A$2:$A$44,0)),"Not Found")</f>
        <v>Operations</v>
      </c>
      <c r="F426" s="5" t="str">
        <f>IFERROR(INDEX(Employee_Master!$D$2:$D$44,MATCH($C426,Employee_Master!$A$2:$A$44,0)),"Not Found")</f>
        <v>Jordan Matthews</v>
      </c>
      <c r="G426" s="5" t="str">
        <f>IFERROR(INDEX(Employee_Master!$E$2:$E$44,MATCH($C426,Employee_Master!$A$2:$A$44,0)),"Not Found")</f>
        <v>West</v>
      </c>
      <c r="H426" s="5" t="str">
        <f>Sales_Data!D423</f>
        <v>P005 - LED Monitor</v>
      </c>
      <c r="I426" s="5" t="str">
        <f>IFERROR(INDEX(Product_Master!$B$2:$B$30,MATCH($H426,Product_Master!$A$2:$A$30,0)),"Invalid Product Code")</f>
        <v>Electronics</v>
      </c>
      <c r="J426" s="5">
        <f>IFERROR(INDEX(Product_Master!$C$2:$C$30,MATCH($H426,Product_Master!$A$2:$A$30,0)),0)</f>
        <v>489.9</v>
      </c>
      <c r="K426" s="5">
        <f>Sales_Data!E423</f>
        <v>8</v>
      </c>
      <c r="L426" s="5">
        <f>Sales_Data!F423</f>
        <v>3659.69</v>
      </c>
      <c r="M426" s="5">
        <f>Sales_Data!G423</f>
        <v>4006.32</v>
      </c>
      <c r="N426" s="5" t="str">
        <f>IFERROR(INDEX(Branch_Master!$B$2:$B$9,MATCH($B426,Branch_Master!$A$2:$A$9,0)),"Not Found")</f>
        <v>Pune</v>
      </c>
      <c r="O426" s="5" t="str">
        <f>IFERROR(INDEX(Branch_Master!$C$2:$C$9,MATCH($B426,Branch_Master!$A$2:$A$9,0)),"Not Found")</f>
        <v>Maharashtra</v>
      </c>
      <c r="P426" s="5">
        <f>IFERROR(INDEX(Targets!$B$2:$B$9,MATCH($B426,Targets!$A$2:$A$9,0)),0)</f>
        <v>1250000</v>
      </c>
      <c r="Q426" s="5" t="str">
        <f t="shared" si="12"/>
        <v>No</v>
      </c>
      <c r="R426" s="5" t="str">
        <f t="shared" si="13"/>
        <v>Jun</v>
      </c>
    </row>
    <row r="427" spans="1:18" ht="15" customHeight="1" x14ac:dyDescent="0.3">
      <c r="A427" s="5" t="str">
        <f>Sales_Data!A424</f>
        <v>2025-06-09</v>
      </c>
      <c r="B427" s="5" t="str">
        <f>Sales_Data!B424</f>
        <v>Mumbai Central</v>
      </c>
      <c r="C427" s="5" t="str">
        <f>Sales_Data!C424</f>
        <v>E007</v>
      </c>
      <c r="D427" s="5" t="str">
        <f>IFERROR(INDEX(Employee_Master!$B$2:$B$44,MATCH($C427,Employee_Master!$A$2:$A$44,0)),"Not Found")</f>
        <v>Jennifer Bradford</v>
      </c>
      <c r="E427" s="5" t="str">
        <f>IFERROR(INDEX(Employee_Master!$C$2:$C$44,MATCH($C427,Employee_Master!$A$2:$A$44,0)),"Not Found")</f>
        <v>Customer Support</v>
      </c>
      <c r="F427" s="5" t="str">
        <f>IFERROR(INDEX(Employee_Master!$D$2:$D$44,MATCH($C427,Employee_Master!$A$2:$A$44,0)),"Not Found")</f>
        <v>Justin Glass</v>
      </c>
      <c r="G427" s="5" t="str">
        <f>IFERROR(INDEX(Employee_Master!$E$2:$E$44,MATCH($C427,Employee_Master!$A$2:$A$44,0)),"Not Found")</f>
        <v>West</v>
      </c>
      <c r="H427" s="5" t="str">
        <f>Sales_Data!D424</f>
        <v>P020 - Green Tea Pack</v>
      </c>
      <c r="I427" s="5" t="str">
        <f>IFERROR(INDEX(Product_Master!$B$2:$B$30,MATCH($H427,Product_Master!$A$2:$A$30,0)),"Invalid Product Code")</f>
        <v>Grocery</v>
      </c>
      <c r="J427" s="5">
        <f>IFERROR(INDEX(Product_Master!$C$2:$C$30,MATCH($H427,Product_Master!$A$2:$A$30,0)),0)</f>
        <v>305.39</v>
      </c>
      <c r="K427" s="5">
        <f>Sales_Data!E424</f>
        <v>11</v>
      </c>
      <c r="L427" s="5">
        <f>Sales_Data!F424</f>
        <v>3073.64</v>
      </c>
      <c r="M427" s="5">
        <f>Sales_Data!G424</f>
        <v>2923.19</v>
      </c>
      <c r="N427" s="5" t="str">
        <f>IFERROR(INDEX(Branch_Master!$B$2:$B$9,MATCH($B427,Branch_Master!$A$2:$A$9,0)),"Not Found")</f>
        <v>Mumbai</v>
      </c>
      <c r="O427" s="5" t="str">
        <f>IFERROR(INDEX(Branch_Master!$C$2:$C$9,MATCH($B427,Branch_Master!$A$2:$A$9,0)),"Not Found")</f>
        <v>Maharashtra</v>
      </c>
      <c r="P427" s="5">
        <f>IFERROR(INDEX(Targets!$B$2:$B$9,MATCH($B427,Targets!$A$2:$A$9,0)),0)</f>
        <v>900000</v>
      </c>
      <c r="Q427" s="5" t="str">
        <f t="shared" si="12"/>
        <v>Yes</v>
      </c>
      <c r="R427" s="5" t="str">
        <f t="shared" si="13"/>
        <v>Jun</v>
      </c>
    </row>
    <row r="428" spans="1:18" ht="15" customHeight="1" x14ac:dyDescent="0.3">
      <c r="A428" s="5" t="str">
        <f>Sales_Data!A425</f>
        <v>2025-06-09</v>
      </c>
      <c r="B428" s="5" t="str">
        <f>Sales_Data!B425</f>
        <v>Delhi NCR</v>
      </c>
      <c r="C428" s="5" t="str">
        <f>Sales_Data!C425</f>
        <v>E013</v>
      </c>
      <c r="D428" s="5" t="str">
        <f>IFERROR(INDEX(Employee_Master!$B$2:$B$44,MATCH($C428,Employee_Master!$A$2:$A$44,0)),"Not Found")</f>
        <v>Norma Wilson</v>
      </c>
      <c r="E428" s="5" t="str">
        <f>IFERROR(INDEX(Employee_Master!$C$2:$C$44,MATCH($C428,Employee_Master!$A$2:$A$44,0)),"Not Found")</f>
        <v>Customer Support</v>
      </c>
      <c r="F428" s="5" t="str">
        <f>IFERROR(INDEX(Employee_Master!$D$2:$D$44,MATCH($C428,Employee_Master!$A$2:$A$44,0)),"Not Found")</f>
        <v>William Oconnell</v>
      </c>
      <c r="G428" s="5" t="str">
        <f>IFERROR(INDEX(Employee_Master!$E$2:$E$44,MATCH($C428,Employee_Master!$A$2:$A$44,0)),"Not Found")</f>
        <v>North</v>
      </c>
      <c r="H428" s="5" t="str">
        <f>Sales_Data!D425</f>
        <v>P003 - Bluetooth Speaker</v>
      </c>
      <c r="I428" s="5" t="str">
        <f>IFERROR(INDEX(Product_Master!$B$2:$B$30,MATCH($H428,Product_Master!$A$2:$A$30,0)),"Invalid Product Code")</f>
        <v>Electronics</v>
      </c>
      <c r="J428" s="5">
        <f>IFERROR(INDEX(Product_Master!$C$2:$C$30,MATCH($H428,Product_Master!$A$2:$A$30,0)),0)</f>
        <v>351.01</v>
      </c>
      <c r="K428" s="5">
        <f>Sales_Data!E425</f>
        <v>2</v>
      </c>
      <c r="L428" s="5">
        <f>Sales_Data!F425</f>
        <v>695.43</v>
      </c>
      <c r="M428" s="5">
        <f>Sales_Data!G425</f>
        <v>674.17</v>
      </c>
      <c r="N428" s="5" t="str">
        <f>IFERROR(INDEX(Branch_Master!$B$2:$B$9,MATCH($B428,Branch_Master!$A$2:$A$9,0)),"Not Found")</f>
        <v>New Delhi</v>
      </c>
      <c r="O428" s="5" t="str">
        <f>IFERROR(INDEX(Branch_Master!$C$2:$C$9,MATCH($B428,Branch_Master!$A$2:$A$9,0)),"Not Found")</f>
        <v>Delhi</v>
      </c>
      <c r="P428" s="5">
        <f>IFERROR(INDEX(Targets!$B$2:$B$9,MATCH($B428,Targets!$A$2:$A$9,0)),0)</f>
        <v>2070000</v>
      </c>
      <c r="Q428" s="5" t="str">
        <f t="shared" si="12"/>
        <v>Yes</v>
      </c>
      <c r="R428" s="5" t="str">
        <f t="shared" si="13"/>
        <v>Jun</v>
      </c>
    </row>
    <row r="429" spans="1:18" ht="15" customHeight="1" x14ac:dyDescent="0.3">
      <c r="A429" s="5" t="str">
        <f>Sales_Data!A426</f>
        <v>2025-06-09</v>
      </c>
      <c r="B429" s="5" t="str">
        <f>Sales_Data!B426</f>
        <v>Delhi NCR</v>
      </c>
      <c r="C429" s="5" t="str">
        <f>Sales_Data!C426</f>
        <v>E031</v>
      </c>
      <c r="D429" s="5" t="str">
        <f>IFERROR(INDEX(Employee_Master!$B$2:$B$44,MATCH($C429,Employee_Master!$A$2:$A$44,0)),"Not Found")</f>
        <v>Jennifer Garcia</v>
      </c>
      <c r="E429" s="5" t="str">
        <f>IFERROR(INDEX(Employee_Master!$C$2:$C$44,MATCH($C429,Employee_Master!$A$2:$A$44,0)),"Not Found")</f>
        <v>Sales</v>
      </c>
      <c r="F429" s="5" t="str">
        <f>IFERROR(INDEX(Employee_Master!$D$2:$D$44,MATCH($C429,Employee_Master!$A$2:$A$44,0)),"Not Found")</f>
        <v>William Oconnell</v>
      </c>
      <c r="G429" s="5" t="str">
        <f>IFERROR(INDEX(Employee_Master!$E$2:$E$44,MATCH($C429,Employee_Master!$A$2:$A$44,0)),"Not Found")</f>
        <v>North</v>
      </c>
      <c r="H429" s="5" t="str">
        <f>Sales_Data!D426</f>
        <v>P013 - Mixer Grinder</v>
      </c>
      <c r="I429" s="5" t="str">
        <f>IFERROR(INDEX(Product_Master!$B$2:$B$30,MATCH($H429,Product_Master!$A$2:$A$30,0)),"Invalid Product Code")</f>
        <v>Home &amp; Kitchen</v>
      </c>
      <c r="J429" s="5">
        <f>IFERROR(INDEX(Product_Master!$C$2:$C$30,MATCH($H429,Product_Master!$A$2:$A$30,0)),0)</f>
        <v>798.53</v>
      </c>
      <c r="K429" s="5">
        <f>Sales_Data!E426</f>
        <v>2</v>
      </c>
      <c r="L429" s="5">
        <f>Sales_Data!F426</f>
        <v>1615.07</v>
      </c>
      <c r="M429" s="5">
        <f>Sales_Data!G426</f>
        <v>1835.31</v>
      </c>
      <c r="N429" s="5" t="str">
        <f>IFERROR(INDEX(Branch_Master!$B$2:$B$9,MATCH($B429,Branch_Master!$A$2:$A$9,0)),"Not Found")</f>
        <v>New Delhi</v>
      </c>
      <c r="O429" s="5" t="str">
        <f>IFERROR(INDEX(Branch_Master!$C$2:$C$9,MATCH($B429,Branch_Master!$A$2:$A$9,0)),"Not Found")</f>
        <v>Delhi</v>
      </c>
      <c r="P429" s="5">
        <f>IFERROR(INDEX(Targets!$B$2:$B$9,MATCH($B429,Targets!$A$2:$A$9,0)),0)</f>
        <v>2070000</v>
      </c>
      <c r="Q429" s="5" t="str">
        <f t="shared" si="12"/>
        <v>No</v>
      </c>
      <c r="R429" s="5" t="str">
        <f t="shared" si="13"/>
        <v>Jun</v>
      </c>
    </row>
    <row r="430" spans="1:18" ht="15" customHeight="1" x14ac:dyDescent="0.3">
      <c r="A430" s="5" t="str">
        <f>Sales_Data!A427</f>
        <v>2025-06-09</v>
      </c>
      <c r="B430" s="5" t="str">
        <f>Sales_Data!B427</f>
        <v>Hyderabad Hitech</v>
      </c>
      <c r="C430" s="5" t="str">
        <f>Sales_Data!C427</f>
        <v>E014</v>
      </c>
      <c r="D430" s="5" t="str">
        <f>IFERROR(INDEX(Employee_Master!$B$2:$B$44,MATCH($C430,Employee_Master!$A$2:$A$44,0)),"Not Found")</f>
        <v>Brian Brown</v>
      </c>
      <c r="E430" s="5" t="str">
        <f>IFERROR(INDEX(Employee_Master!$C$2:$C$44,MATCH($C430,Employee_Master!$A$2:$A$44,0)),"Not Found")</f>
        <v>Marketing</v>
      </c>
      <c r="F430" s="5" t="str">
        <f>IFERROR(INDEX(Employee_Master!$D$2:$D$44,MATCH($C430,Employee_Master!$A$2:$A$44,0)),"Not Found")</f>
        <v>Anna Turner</v>
      </c>
      <c r="G430" s="5" t="str">
        <f>IFERROR(INDEX(Employee_Master!$E$2:$E$44,MATCH($C430,Employee_Master!$A$2:$A$44,0)),"Not Found")</f>
        <v>South</v>
      </c>
      <c r="H430" s="5" t="str">
        <f>Sales_Data!D427</f>
        <v>P006 - Laptop Stand</v>
      </c>
      <c r="I430" s="5" t="str">
        <f>IFERROR(INDEX(Product_Master!$B$2:$B$30,MATCH($H430,Product_Master!$A$2:$A$30,0)),"Invalid Product Code")</f>
        <v>Electronics</v>
      </c>
      <c r="J430" s="5">
        <f>IFERROR(INDEX(Product_Master!$C$2:$C$30,MATCH($H430,Product_Master!$A$2:$A$30,0)),0)</f>
        <v>393.96</v>
      </c>
      <c r="K430" s="5">
        <f>Sales_Data!E427</f>
        <v>1</v>
      </c>
      <c r="L430" s="5">
        <f>Sales_Data!F427</f>
        <v>363.84</v>
      </c>
      <c r="M430" s="5">
        <f>Sales_Data!G427</f>
        <v>345</v>
      </c>
      <c r="N430" s="5" t="str">
        <f>IFERROR(INDEX(Branch_Master!$B$2:$B$9,MATCH($B430,Branch_Master!$A$2:$A$9,0)),"Not Found")</f>
        <v>Hyderabad</v>
      </c>
      <c r="O430" s="5" t="str">
        <f>IFERROR(INDEX(Branch_Master!$C$2:$C$9,MATCH($B430,Branch_Master!$A$2:$A$9,0)),"Not Found")</f>
        <v>Telangana</v>
      </c>
      <c r="P430" s="5">
        <f>IFERROR(INDEX(Targets!$B$2:$B$9,MATCH($B430,Targets!$A$2:$A$9,0)),0)</f>
        <v>1210000</v>
      </c>
      <c r="Q430" s="5" t="str">
        <f t="shared" si="12"/>
        <v>Yes</v>
      </c>
      <c r="R430" s="5" t="str">
        <f t="shared" si="13"/>
        <v>Jun</v>
      </c>
    </row>
    <row r="431" spans="1:18" ht="15" customHeight="1" x14ac:dyDescent="0.3">
      <c r="A431" s="5" t="str">
        <f>Sales_Data!A428</f>
        <v>2025-06-09</v>
      </c>
      <c r="B431" s="5" t="str">
        <f>Sales_Data!B428</f>
        <v>Ahmedabad West</v>
      </c>
      <c r="C431" s="5" t="str">
        <f>Sales_Data!C428</f>
        <v>E039</v>
      </c>
      <c r="D431" s="5" t="str">
        <f>IFERROR(INDEX(Employee_Master!$B$2:$B$44,MATCH($C431,Employee_Master!$A$2:$A$44,0)),"Not Found")</f>
        <v>Christopher Wood</v>
      </c>
      <c r="E431" s="5" t="str">
        <f>IFERROR(INDEX(Employee_Master!$C$2:$C$44,MATCH($C431,Employee_Master!$A$2:$A$44,0)),"Not Found")</f>
        <v>Marketing</v>
      </c>
      <c r="F431" s="5" t="str">
        <f>IFERROR(INDEX(Employee_Master!$D$2:$D$44,MATCH($C431,Employee_Master!$A$2:$A$44,0)),"Not Found")</f>
        <v>Joseph Brown</v>
      </c>
      <c r="G431" s="5" t="str">
        <f>IFERROR(INDEX(Employee_Master!$E$2:$E$44,MATCH($C431,Employee_Master!$A$2:$A$44,0)),"Not Found")</f>
        <v>West</v>
      </c>
      <c r="H431" s="5" t="str">
        <f>Sales_Data!D428</f>
        <v>P009 - Formal Shirt</v>
      </c>
      <c r="I431" s="5" t="str">
        <f>IFERROR(INDEX(Product_Master!$B$2:$B$30,MATCH($H431,Product_Master!$A$2:$A$30,0)),"Invalid Product Code")</f>
        <v>Apparel</v>
      </c>
      <c r="J431" s="5">
        <f>IFERROR(INDEX(Product_Master!$C$2:$C$30,MATCH($H431,Product_Master!$A$2:$A$30,0)),0)</f>
        <v>661.65</v>
      </c>
      <c r="K431" s="5">
        <f>Sales_Data!E428</f>
        <v>8</v>
      </c>
      <c r="L431" s="5">
        <f>Sales_Data!F428</f>
        <v>5703.34</v>
      </c>
      <c r="M431" s="5">
        <f>Sales_Data!G428</f>
        <v>5951.02</v>
      </c>
      <c r="N431" s="5" t="str">
        <f>IFERROR(INDEX(Branch_Master!$B$2:$B$9,MATCH($B431,Branch_Master!$A$2:$A$9,0)),"Not Found")</f>
        <v>Ahmedabad</v>
      </c>
      <c r="O431" s="5" t="str">
        <f>IFERROR(INDEX(Branch_Master!$C$2:$C$9,MATCH($B431,Branch_Master!$A$2:$A$9,0)),"Not Found")</f>
        <v>Gujarat</v>
      </c>
      <c r="P431" s="5">
        <f>IFERROR(INDEX(Targets!$B$2:$B$9,MATCH($B431,Targets!$A$2:$A$9,0)),0)</f>
        <v>1590000</v>
      </c>
      <c r="Q431" s="5" t="str">
        <f t="shared" si="12"/>
        <v>No</v>
      </c>
      <c r="R431" s="5" t="str">
        <f t="shared" si="13"/>
        <v>Jun</v>
      </c>
    </row>
    <row r="432" spans="1:18" ht="15" customHeight="1" x14ac:dyDescent="0.3">
      <c r="A432" s="5" t="str">
        <f>Sales_Data!A429</f>
        <v>2025-06-09</v>
      </c>
      <c r="B432" s="5" t="str">
        <f>Sales_Data!B429</f>
        <v>Delhi NCR</v>
      </c>
      <c r="C432" s="5" t="str">
        <f>Sales_Data!C429</f>
        <v>E031</v>
      </c>
      <c r="D432" s="5" t="str">
        <f>IFERROR(INDEX(Employee_Master!$B$2:$B$44,MATCH($C432,Employee_Master!$A$2:$A$44,0)),"Not Found")</f>
        <v>Jennifer Garcia</v>
      </c>
      <c r="E432" s="5" t="str">
        <f>IFERROR(INDEX(Employee_Master!$C$2:$C$44,MATCH($C432,Employee_Master!$A$2:$A$44,0)),"Not Found")</f>
        <v>Sales</v>
      </c>
      <c r="F432" s="5" t="str">
        <f>IFERROR(INDEX(Employee_Master!$D$2:$D$44,MATCH($C432,Employee_Master!$A$2:$A$44,0)),"Not Found")</f>
        <v>William Oconnell</v>
      </c>
      <c r="G432" s="5" t="str">
        <f>IFERROR(INDEX(Employee_Master!$E$2:$E$44,MATCH($C432,Employee_Master!$A$2:$A$44,0)),"Not Found")</f>
        <v>North</v>
      </c>
      <c r="H432" s="5" t="str">
        <f>Sales_Data!D429</f>
        <v>P016 - Dinner Set</v>
      </c>
      <c r="I432" s="5" t="str">
        <f>IFERROR(INDEX(Product_Master!$B$2:$B$30,MATCH($H432,Product_Master!$A$2:$A$30,0)),"Invalid Product Code")</f>
        <v>Home &amp; Kitchen</v>
      </c>
      <c r="J432" s="5">
        <f>IFERROR(INDEX(Product_Master!$C$2:$C$30,MATCH($H432,Product_Master!$A$2:$A$30,0)),0)</f>
        <v>225.06</v>
      </c>
      <c r="K432" s="5">
        <f>Sales_Data!E429</f>
        <v>11</v>
      </c>
      <c r="L432" s="5">
        <f>Sales_Data!F429</f>
        <v>2361.66</v>
      </c>
      <c r="M432" s="5">
        <f>Sales_Data!G429</f>
        <v>2794.63</v>
      </c>
      <c r="N432" s="5" t="str">
        <f>IFERROR(INDEX(Branch_Master!$B$2:$B$9,MATCH($B432,Branch_Master!$A$2:$A$9,0)),"Not Found")</f>
        <v>New Delhi</v>
      </c>
      <c r="O432" s="5" t="str">
        <f>IFERROR(INDEX(Branch_Master!$C$2:$C$9,MATCH($B432,Branch_Master!$A$2:$A$9,0)),"Not Found")</f>
        <v>Delhi</v>
      </c>
      <c r="P432" s="5">
        <f>IFERROR(INDEX(Targets!$B$2:$B$9,MATCH($B432,Targets!$A$2:$A$9,0)),0)</f>
        <v>2070000</v>
      </c>
      <c r="Q432" s="5" t="str">
        <f t="shared" si="12"/>
        <v>No</v>
      </c>
      <c r="R432" s="5" t="str">
        <f t="shared" si="13"/>
        <v>Jun</v>
      </c>
    </row>
    <row r="433" spans="1:18" ht="15" customHeight="1" x14ac:dyDescent="0.3">
      <c r="A433" s="5" t="str">
        <f>Sales_Data!A430</f>
        <v>2025-06-10</v>
      </c>
      <c r="B433" s="5" t="str">
        <f>Sales_Data!B430</f>
        <v>Kolkata Central</v>
      </c>
      <c r="C433" s="5" t="str">
        <f>Sales_Data!C430</f>
        <v>E024</v>
      </c>
      <c r="D433" s="5" t="str">
        <f>IFERROR(INDEX(Employee_Master!$B$2:$B$44,MATCH($C433,Employee_Master!$A$2:$A$44,0)),"Not Found")</f>
        <v>Kevin Sanchez</v>
      </c>
      <c r="E433" s="5" t="str">
        <f>IFERROR(INDEX(Employee_Master!$C$2:$C$44,MATCH($C433,Employee_Master!$A$2:$A$44,0)),"Not Found")</f>
        <v>Sales</v>
      </c>
      <c r="F433" s="5" t="str">
        <f>IFERROR(INDEX(Employee_Master!$D$2:$D$44,MATCH($C433,Employee_Master!$A$2:$A$44,0)),"Not Found")</f>
        <v>Lisa Moore</v>
      </c>
      <c r="G433" s="5" t="str">
        <f>IFERROR(INDEX(Employee_Master!$E$2:$E$44,MATCH($C433,Employee_Master!$A$2:$A$44,0)),"Not Found")</f>
        <v>East</v>
      </c>
      <c r="H433" s="5" t="str">
        <f>Sales_Data!D430</f>
        <v>P027 - Cricket Bat</v>
      </c>
      <c r="I433" s="5" t="str">
        <f>IFERROR(INDEX(Product_Master!$B$2:$B$30,MATCH($H433,Product_Master!$A$2:$A$30,0)),"Invalid Product Code")</f>
        <v>Sports</v>
      </c>
      <c r="J433" s="5">
        <f>IFERROR(INDEX(Product_Master!$C$2:$C$30,MATCH($H433,Product_Master!$A$2:$A$30,0)),0)</f>
        <v>822.7</v>
      </c>
      <c r="K433" s="5">
        <f>Sales_Data!E430</f>
        <v>2</v>
      </c>
      <c r="L433" s="5">
        <f>Sales_Data!F430</f>
        <v>1486.57</v>
      </c>
      <c r="M433" s="5">
        <f>Sales_Data!G430</f>
        <v>1412.08</v>
      </c>
      <c r="N433" s="5" t="str">
        <f>IFERROR(INDEX(Branch_Master!$B$2:$B$9,MATCH($B433,Branch_Master!$A$2:$A$9,0)),"Not Found")</f>
        <v>Kolkata</v>
      </c>
      <c r="O433" s="5" t="str">
        <f>IFERROR(INDEX(Branch_Master!$C$2:$C$9,MATCH($B433,Branch_Master!$A$2:$A$9,0)),"Not Found")</f>
        <v>West Bengal</v>
      </c>
      <c r="P433" s="5">
        <f>IFERROR(INDEX(Targets!$B$2:$B$9,MATCH($B433,Targets!$A$2:$A$9,0)),0)</f>
        <v>1910000</v>
      </c>
      <c r="Q433" s="5" t="str">
        <f t="shared" si="12"/>
        <v>Yes</v>
      </c>
      <c r="R433" s="5" t="str">
        <f t="shared" si="13"/>
        <v>Jun</v>
      </c>
    </row>
    <row r="434" spans="1:18" ht="15" customHeight="1" x14ac:dyDescent="0.3">
      <c r="A434" s="5" t="str">
        <f>Sales_Data!A431</f>
        <v>2025-06-10</v>
      </c>
      <c r="B434" s="5" t="str">
        <f>Sales_Data!B431</f>
        <v>Pune East</v>
      </c>
      <c r="C434" s="5" t="str">
        <f>Sales_Data!C431</f>
        <v>E022</v>
      </c>
      <c r="D434" s="5" t="str">
        <f>IFERROR(INDEX(Employee_Master!$B$2:$B$44,MATCH($C434,Employee_Master!$A$2:$A$44,0)),"Not Found")</f>
        <v>Cindy Green PhD</v>
      </c>
      <c r="E434" s="5" t="str">
        <f>IFERROR(INDEX(Employee_Master!$C$2:$C$44,MATCH($C434,Employee_Master!$A$2:$A$44,0)),"Not Found")</f>
        <v>Customer Support</v>
      </c>
      <c r="F434" s="5" t="str">
        <f>IFERROR(INDEX(Employee_Master!$D$2:$D$44,MATCH($C434,Employee_Master!$A$2:$A$44,0)),"Not Found")</f>
        <v>Jordan Matthews</v>
      </c>
      <c r="G434" s="5" t="str">
        <f>IFERROR(INDEX(Employee_Master!$E$2:$E$44,MATCH($C434,Employee_Master!$A$2:$A$44,0)),"Not Found")</f>
        <v>West</v>
      </c>
      <c r="H434" s="5" t="str">
        <f>Sales_Data!D431</f>
        <v>P006 - Laptop Stand</v>
      </c>
      <c r="I434" s="5" t="str">
        <f>IFERROR(INDEX(Product_Master!$B$2:$B$30,MATCH($H434,Product_Master!$A$2:$A$30,0)),"Invalid Product Code")</f>
        <v>Electronics</v>
      </c>
      <c r="J434" s="5">
        <f>IFERROR(INDEX(Product_Master!$C$2:$C$30,MATCH($H434,Product_Master!$A$2:$A$30,0)),0)</f>
        <v>393.96</v>
      </c>
      <c r="K434" s="5">
        <f>Sales_Data!E431</f>
        <v>6</v>
      </c>
      <c r="L434" s="5">
        <f>Sales_Data!F431</f>
        <v>2230.14</v>
      </c>
      <c r="M434" s="5">
        <f>Sales_Data!G431</f>
        <v>2176.13</v>
      </c>
      <c r="N434" s="5" t="str">
        <f>IFERROR(INDEX(Branch_Master!$B$2:$B$9,MATCH($B434,Branch_Master!$A$2:$A$9,0)),"Not Found")</f>
        <v>Pune</v>
      </c>
      <c r="O434" s="5" t="str">
        <f>IFERROR(INDEX(Branch_Master!$C$2:$C$9,MATCH($B434,Branch_Master!$A$2:$A$9,0)),"Not Found")</f>
        <v>Maharashtra</v>
      </c>
      <c r="P434" s="5">
        <f>IFERROR(INDEX(Targets!$B$2:$B$9,MATCH($B434,Targets!$A$2:$A$9,0)),0)</f>
        <v>1250000</v>
      </c>
      <c r="Q434" s="5" t="str">
        <f t="shared" si="12"/>
        <v>Yes</v>
      </c>
      <c r="R434" s="5" t="str">
        <f t="shared" si="13"/>
        <v>Jun</v>
      </c>
    </row>
    <row r="435" spans="1:18" ht="15" customHeight="1" x14ac:dyDescent="0.3">
      <c r="A435" s="5" t="str">
        <f>Sales_Data!A432</f>
        <v>2025-06-10</v>
      </c>
      <c r="B435" s="5" t="str">
        <f>Sales_Data!B432</f>
        <v>Pune East</v>
      </c>
      <c r="C435" s="5" t="str">
        <f>Sales_Data!C432</f>
        <v>E022</v>
      </c>
      <c r="D435" s="5" t="str">
        <f>IFERROR(INDEX(Employee_Master!$B$2:$B$44,MATCH($C435,Employee_Master!$A$2:$A$44,0)),"Not Found")</f>
        <v>Cindy Green PhD</v>
      </c>
      <c r="E435" s="5" t="str">
        <f>IFERROR(INDEX(Employee_Master!$C$2:$C$44,MATCH($C435,Employee_Master!$A$2:$A$44,0)),"Not Found")</f>
        <v>Customer Support</v>
      </c>
      <c r="F435" s="5" t="str">
        <f>IFERROR(INDEX(Employee_Master!$D$2:$D$44,MATCH($C435,Employee_Master!$A$2:$A$44,0)),"Not Found")</f>
        <v>Jordan Matthews</v>
      </c>
      <c r="G435" s="5" t="str">
        <f>IFERROR(INDEX(Employee_Master!$E$2:$E$44,MATCH($C435,Employee_Master!$A$2:$A$44,0)),"Not Found")</f>
        <v>West</v>
      </c>
      <c r="H435" s="5" t="str">
        <f>Sales_Data!D432</f>
        <v>P017 - Basmati Rice 5kg</v>
      </c>
      <c r="I435" s="5" t="str">
        <f>IFERROR(INDEX(Product_Master!$B$2:$B$30,MATCH($H435,Product_Master!$A$2:$A$30,0)),"Invalid Product Code")</f>
        <v>Grocery</v>
      </c>
      <c r="J435" s="5">
        <f>IFERROR(INDEX(Product_Master!$C$2:$C$30,MATCH($H435,Product_Master!$A$2:$A$30,0)),0)</f>
        <v>825.33</v>
      </c>
      <c r="K435" s="5">
        <f>Sales_Data!E432</f>
        <v>9</v>
      </c>
      <c r="L435" s="5">
        <f>Sales_Data!F432</f>
        <v>7979.6</v>
      </c>
      <c r="M435" s="5">
        <f>Sales_Data!G432</f>
        <v>8109.53</v>
      </c>
      <c r="N435" s="5" t="str">
        <f>IFERROR(INDEX(Branch_Master!$B$2:$B$9,MATCH($B435,Branch_Master!$A$2:$A$9,0)),"Not Found")</f>
        <v>Pune</v>
      </c>
      <c r="O435" s="5" t="str">
        <f>IFERROR(INDEX(Branch_Master!$C$2:$C$9,MATCH($B435,Branch_Master!$A$2:$A$9,0)),"Not Found")</f>
        <v>Maharashtra</v>
      </c>
      <c r="P435" s="5">
        <f>IFERROR(INDEX(Targets!$B$2:$B$9,MATCH($B435,Targets!$A$2:$A$9,0)),0)</f>
        <v>1250000</v>
      </c>
      <c r="Q435" s="5" t="str">
        <f t="shared" si="12"/>
        <v>No</v>
      </c>
      <c r="R435" s="5" t="str">
        <f t="shared" si="13"/>
        <v>Jun</v>
      </c>
    </row>
    <row r="436" spans="1:18" ht="15" customHeight="1" x14ac:dyDescent="0.3">
      <c r="A436" s="5" t="str">
        <f>Sales_Data!A433</f>
        <v>2025-06-10</v>
      </c>
      <c r="B436" s="5" t="str">
        <f>Sales_Data!B433</f>
        <v>Chennai South</v>
      </c>
      <c r="C436" s="5" t="str">
        <f>Sales_Data!C433</f>
        <v>E032</v>
      </c>
      <c r="D436" s="5" t="str">
        <f>IFERROR(INDEX(Employee_Master!$B$2:$B$44,MATCH($C436,Employee_Master!$A$2:$A$44,0)),"Not Found")</f>
        <v>Victor Allen</v>
      </c>
      <c r="E436" s="5" t="str">
        <f>IFERROR(INDEX(Employee_Master!$C$2:$C$44,MATCH($C436,Employee_Master!$A$2:$A$44,0)),"Not Found")</f>
        <v>Operations</v>
      </c>
      <c r="F436" s="5" t="str">
        <f>IFERROR(INDEX(Employee_Master!$D$2:$D$44,MATCH($C436,Employee_Master!$A$2:$A$44,0)),"Not Found")</f>
        <v>Robert Steele</v>
      </c>
      <c r="G436" s="5" t="str">
        <f>IFERROR(INDEX(Employee_Master!$E$2:$E$44,MATCH($C436,Employee_Master!$A$2:$A$44,0)),"Not Found")</f>
        <v>South</v>
      </c>
      <c r="H436" s="5" t="str">
        <f>Sales_Data!D433</f>
        <v>P016 - Dinner Set</v>
      </c>
      <c r="I436" s="5" t="str">
        <f>IFERROR(INDEX(Product_Master!$B$2:$B$30,MATCH($H436,Product_Master!$A$2:$A$30,0)),"Invalid Product Code")</f>
        <v>Home &amp; Kitchen</v>
      </c>
      <c r="J436" s="5">
        <f>IFERROR(INDEX(Product_Master!$C$2:$C$30,MATCH($H436,Product_Master!$A$2:$A$30,0)),0)</f>
        <v>225.06</v>
      </c>
      <c r="K436" s="5">
        <f>Sales_Data!E433</f>
        <v>2</v>
      </c>
      <c r="L436" s="5">
        <f>Sales_Data!F433</f>
        <v>463.63</v>
      </c>
      <c r="M436" s="5">
        <f>Sales_Data!G433</f>
        <v>451.55</v>
      </c>
      <c r="N436" s="5" t="str">
        <f>IFERROR(INDEX(Branch_Master!$B$2:$B$9,MATCH($B436,Branch_Master!$A$2:$A$9,0)),"Not Found")</f>
        <v>Chennai</v>
      </c>
      <c r="O436" s="5" t="str">
        <f>IFERROR(INDEX(Branch_Master!$C$2:$C$9,MATCH($B436,Branch_Master!$A$2:$A$9,0)),"Not Found")</f>
        <v>Tamil Nadu</v>
      </c>
      <c r="P436" s="5">
        <f>IFERROR(INDEX(Targets!$B$2:$B$9,MATCH($B436,Targets!$A$2:$A$9,0)),0)</f>
        <v>1910000</v>
      </c>
      <c r="Q436" s="5" t="str">
        <f t="shared" si="12"/>
        <v>Yes</v>
      </c>
      <c r="R436" s="5" t="str">
        <f t="shared" si="13"/>
        <v>Jun</v>
      </c>
    </row>
    <row r="437" spans="1:18" ht="15" customHeight="1" x14ac:dyDescent="0.3">
      <c r="A437" s="5" t="str">
        <f>Sales_Data!A434</f>
        <v>2025-06-10</v>
      </c>
      <c r="B437" s="5" t="str">
        <f>Sales_Data!B434</f>
        <v>Ahmedabad West</v>
      </c>
      <c r="C437" s="5" t="str">
        <f>Sales_Data!C434</f>
        <v>E017</v>
      </c>
      <c r="D437" s="5" t="str">
        <f>IFERROR(INDEX(Employee_Master!$B$2:$B$44,MATCH($C437,Employee_Master!$A$2:$A$44,0)),"Not Found")</f>
        <v>Mathew Wilson</v>
      </c>
      <c r="E437" s="5" t="str">
        <f>IFERROR(INDEX(Employee_Master!$C$2:$C$44,MATCH($C437,Employee_Master!$A$2:$A$44,0)),"Not Found")</f>
        <v>Operations</v>
      </c>
      <c r="F437" s="5" t="str">
        <f>IFERROR(INDEX(Employee_Master!$D$2:$D$44,MATCH($C437,Employee_Master!$A$2:$A$44,0)),"Not Found")</f>
        <v>Joseph Brown</v>
      </c>
      <c r="G437" s="5" t="str">
        <f>IFERROR(INDEX(Employee_Master!$E$2:$E$44,MATCH($C437,Employee_Master!$A$2:$A$44,0)),"Not Found")</f>
        <v>West</v>
      </c>
      <c r="H437" s="5" t="str">
        <f>Sales_Data!D434</f>
        <v>P022 - Face Wash</v>
      </c>
      <c r="I437" s="5" t="str">
        <f>IFERROR(INDEX(Product_Master!$B$2:$B$30,MATCH($H437,Product_Master!$A$2:$A$30,0)),"Invalid Product Code")</f>
        <v>Beauty</v>
      </c>
      <c r="J437" s="5">
        <f>IFERROR(INDEX(Product_Master!$C$2:$C$30,MATCH($H437,Product_Master!$A$2:$A$30,0)),0)</f>
        <v>396.75</v>
      </c>
      <c r="K437" s="5">
        <f>Sales_Data!E434</f>
        <v>10</v>
      </c>
      <c r="L437" s="5">
        <f>Sales_Data!F434</f>
        <v>3691.33</v>
      </c>
      <c r="M437" s="5">
        <f>Sales_Data!G434</f>
        <v>4304.1099999999997</v>
      </c>
      <c r="N437" s="5" t="str">
        <f>IFERROR(INDEX(Branch_Master!$B$2:$B$9,MATCH($B437,Branch_Master!$A$2:$A$9,0)),"Not Found")</f>
        <v>Ahmedabad</v>
      </c>
      <c r="O437" s="5" t="str">
        <f>IFERROR(INDEX(Branch_Master!$C$2:$C$9,MATCH($B437,Branch_Master!$A$2:$A$9,0)),"Not Found")</f>
        <v>Gujarat</v>
      </c>
      <c r="P437" s="5">
        <f>IFERROR(INDEX(Targets!$B$2:$B$9,MATCH($B437,Targets!$A$2:$A$9,0)),0)</f>
        <v>1590000</v>
      </c>
      <c r="Q437" s="5" t="str">
        <f t="shared" si="12"/>
        <v>No</v>
      </c>
      <c r="R437" s="5" t="str">
        <f t="shared" si="13"/>
        <v>Jun</v>
      </c>
    </row>
    <row r="438" spans="1:18" ht="15" customHeight="1" x14ac:dyDescent="0.3">
      <c r="A438" s="5" t="str">
        <f>Sales_Data!A435</f>
        <v>2025-06-10</v>
      </c>
      <c r="B438" s="5" t="str">
        <f>Sales_Data!B435</f>
        <v>Chennai South</v>
      </c>
      <c r="C438" s="5" t="str">
        <f>Sales_Data!C435</f>
        <v>E015</v>
      </c>
      <c r="D438" s="5" t="str">
        <f>IFERROR(INDEX(Employee_Master!$B$2:$B$44,MATCH($C438,Employee_Master!$A$2:$A$44,0)),"Not Found")</f>
        <v>Cassandra Hansen</v>
      </c>
      <c r="E438" s="5" t="str">
        <f>IFERROR(INDEX(Employee_Master!$C$2:$C$44,MATCH($C438,Employee_Master!$A$2:$A$44,0)),"Not Found")</f>
        <v>Customer Support</v>
      </c>
      <c r="F438" s="5" t="str">
        <f>IFERROR(INDEX(Employee_Master!$D$2:$D$44,MATCH($C438,Employee_Master!$A$2:$A$44,0)),"Not Found")</f>
        <v>Robert Steele</v>
      </c>
      <c r="G438" s="5" t="str">
        <f>IFERROR(INDEX(Employee_Master!$E$2:$E$44,MATCH($C438,Employee_Master!$A$2:$A$44,0)),"Not Found")</f>
        <v>South</v>
      </c>
      <c r="H438" s="5" t="str">
        <f>Sales_Data!D435</f>
        <v>P018 - Cooking Oil 1L</v>
      </c>
      <c r="I438" s="5" t="str">
        <f>IFERROR(INDEX(Product_Master!$B$2:$B$30,MATCH($H438,Product_Master!$A$2:$A$30,0)),"Invalid Product Code")</f>
        <v>Grocery</v>
      </c>
      <c r="J438" s="5">
        <f>IFERROR(INDEX(Product_Master!$C$2:$C$30,MATCH($H438,Product_Master!$A$2:$A$30,0)),0)</f>
        <v>1483.63</v>
      </c>
      <c r="K438" s="5">
        <f>Sales_Data!E435</f>
        <v>7</v>
      </c>
      <c r="L438" s="5">
        <f>Sales_Data!F435</f>
        <v>9560.4500000000007</v>
      </c>
      <c r="M438" s="5">
        <f>Sales_Data!G435</f>
        <v>8919.81</v>
      </c>
      <c r="N438" s="5" t="str">
        <f>IFERROR(INDEX(Branch_Master!$B$2:$B$9,MATCH($B438,Branch_Master!$A$2:$A$9,0)),"Not Found")</f>
        <v>Chennai</v>
      </c>
      <c r="O438" s="5" t="str">
        <f>IFERROR(INDEX(Branch_Master!$C$2:$C$9,MATCH($B438,Branch_Master!$A$2:$A$9,0)),"Not Found")</f>
        <v>Tamil Nadu</v>
      </c>
      <c r="P438" s="5">
        <f>IFERROR(INDEX(Targets!$B$2:$B$9,MATCH($B438,Targets!$A$2:$A$9,0)),0)</f>
        <v>1910000</v>
      </c>
      <c r="Q438" s="5" t="str">
        <f t="shared" si="12"/>
        <v>Yes</v>
      </c>
      <c r="R438" s="5" t="str">
        <f t="shared" si="13"/>
        <v>Jun</v>
      </c>
    </row>
    <row r="439" spans="1:18" ht="15" customHeight="1" x14ac:dyDescent="0.3">
      <c r="A439" s="5" t="str">
        <f>Sales_Data!A436</f>
        <v>2025-06-11</v>
      </c>
      <c r="B439" s="5" t="str">
        <f>Sales_Data!B436</f>
        <v>Bangalore North</v>
      </c>
      <c r="C439" s="5" t="str">
        <f>Sales_Data!C436</f>
        <v>E003</v>
      </c>
      <c r="D439" s="5" t="str">
        <f>IFERROR(INDEX(Employee_Master!$B$2:$B$44,MATCH($C439,Employee_Master!$A$2:$A$44,0)),"Not Found")</f>
        <v>Margaret Porter</v>
      </c>
      <c r="E439" s="5" t="str">
        <f>IFERROR(INDEX(Employee_Master!$C$2:$C$44,MATCH($C439,Employee_Master!$A$2:$A$44,0)),"Not Found")</f>
        <v>Customer Support</v>
      </c>
      <c r="F439" s="5" t="str">
        <f>IFERROR(INDEX(Employee_Master!$D$2:$D$44,MATCH($C439,Employee_Master!$A$2:$A$44,0)),"Not Found")</f>
        <v>Jose Soto</v>
      </c>
      <c r="G439" s="5" t="str">
        <f>IFERROR(INDEX(Employee_Master!$E$2:$E$44,MATCH($C439,Employee_Master!$A$2:$A$44,0)),"Not Found")</f>
        <v>South</v>
      </c>
      <c r="H439" s="5" t="str">
        <f>Sales_Data!D436</f>
        <v>P025 - Lipstick Set</v>
      </c>
      <c r="I439" s="5" t="str">
        <f>IFERROR(INDEX(Product_Master!$B$2:$B$30,MATCH($H439,Product_Master!$A$2:$A$30,0)),"Invalid Product Code")</f>
        <v>Beauty</v>
      </c>
      <c r="J439" s="5">
        <f>IFERROR(INDEX(Product_Master!$C$2:$C$30,MATCH($H439,Product_Master!$A$2:$A$30,0)),0)</f>
        <v>765.9</v>
      </c>
      <c r="K439" s="5">
        <f>Sales_Data!E436</f>
        <v>9</v>
      </c>
      <c r="L439" s="5">
        <f>Sales_Data!F436</f>
        <v>6420.41</v>
      </c>
      <c r="M439" s="5">
        <f>Sales_Data!G436</f>
        <v>7747.31</v>
      </c>
      <c r="N439" s="5" t="str">
        <f>IFERROR(INDEX(Branch_Master!$B$2:$B$9,MATCH($B439,Branch_Master!$A$2:$A$9,0)),"Not Found")</f>
        <v>Bangalore</v>
      </c>
      <c r="O439" s="5" t="str">
        <f>IFERROR(INDEX(Branch_Master!$C$2:$C$9,MATCH($B439,Branch_Master!$A$2:$A$9,0)),"Not Found")</f>
        <v>Karnataka</v>
      </c>
      <c r="P439" s="5">
        <f>IFERROR(INDEX(Targets!$B$2:$B$9,MATCH($B439,Targets!$A$2:$A$9,0)),0)</f>
        <v>900000</v>
      </c>
      <c r="Q439" s="5" t="str">
        <f t="shared" si="12"/>
        <v>No</v>
      </c>
      <c r="R439" s="5" t="str">
        <f t="shared" si="13"/>
        <v>Jun</v>
      </c>
    </row>
    <row r="440" spans="1:18" ht="15" customHeight="1" x14ac:dyDescent="0.3">
      <c r="A440" s="5" t="str">
        <f>Sales_Data!A437</f>
        <v>2025-06-11</v>
      </c>
      <c r="B440" s="5" t="str">
        <f>Sales_Data!B437</f>
        <v>Pune East</v>
      </c>
      <c r="C440" s="5" t="str">
        <f>Sales_Data!C437</f>
        <v>E023</v>
      </c>
      <c r="D440" s="5" t="str">
        <f>IFERROR(INDEX(Employee_Master!$B$2:$B$44,MATCH($C440,Employee_Master!$A$2:$A$44,0)),"Not Found")</f>
        <v>Edward Jones</v>
      </c>
      <c r="E440" s="5" t="str">
        <f>IFERROR(INDEX(Employee_Master!$C$2:$C$44,MATCH($C440,Employee_Master!$A$2:$A$44,0)),"Not Found")</f>
        <v>Operations</v>
      </c>
      <c r="F440" s="5" t="str">
        <f>IFERROR(INDEX(Employee_Master!$D$2:$D$44,MATCH($C440,Employee_Master!$A$2:$A$44,0)),"Not Found")</f>
        <v>Jordan Matthews</v>
      </c>
      <c r="G440" s="5" t="str">
        <f>IFERROR(INDEX(Employee_Master!$E$2:$E$44,MATCH($C440,Employee_Master!$A$2:$A$44,0)),"Not Found")</f>
        <v>West</v>
      </c>
      <c r="H440" s="5" t="str">
        <f>Sales_Data!D437</f>
        <v>P010 - Running Shoes</v>
      </c>
      <c r="I440" s="5" t="str">
        <f>IFERROR(INDEX(Product_Master!$B$2:$B$30,MATCH($H440,Product_Master!$A$2:$A$30,0)),"Invalid Product Code")</f>
        <v>Apparel</v>
      </c>
      <c r="J440" s="5">
        <f>IFERROR(INDEX(Product_Master!$C$2:$C$30,MATCH($H440,Product_Master!$A$2:$A$30,0)),0)</f>
        <v>233.71</v>
      </c>
      <c r="K440" s="5">
        <f>Sales_Data!E437</f>
        <v>1</v>
      </c>
      <c r="L440" s="5">
        <f>Sales_Data!F437</f>
        <v>220.67</v>
      </c>
      <c r="M440" s="5">
        <f>Sales_Data!G437</f>
        <v>259.35000000000002</v>
      </c>
      <c r="N440" s="5" t="str">
        <f>IFERROR(INDEX(Branch_Master!$B$2:$B$9,MATCH($B440,Branch_Master!$A$2:$A$9,0)),"Not Found")</f>
        <v>Pune</v>
      </c>
      <c r="O440" s="5" t="str">
        <f>IFERROR(INDEX(Branch_Master!$C$2:$C$9,MATCH($B440,Branch_Master!$A$2:$A$9,0)),"Not Found")</f>
        <v>Maharashtra</v>
      </c>
      <c r="P440" s="5">
        <f>IFERROR(INDEX(Targets!$B$2:$B$9,MATCH($B440,Targets!$A$2:$A$9,0)),0)</f>
        <v>1250000</v>
      </c>
      <c r="Q440" s="5" t="str">
        <f t="shared" si="12"/>
        <v>No</v>
      </c>
      <c r="R440" s="5" t="str">
        <f t="shared" si="13"/>
        <v>Jun</v>
      </c>
    </row>
    <row r="441" spans="1:18" ht="15" customHeight="1" x14ac:dyDescent="0.3">
      <c r="A441" s="5" t="str">
        <f>Sales_Data!A438</f>
        <v>2025-06-11</v>
      </c>
      <c r="B441" s="5" t="str">
        <f>Sales_Data!B438</f>
        <v>Delhi NCR</v>
      </c>
      <c r="C441" s="5" t="str">
        <f>Sales_Data!C438</f>
        <v>E013</v>
      </c>
      <c r="D441" s="5" t="str">
        <f>IFERROR(INDEX(Employee_Master!$B$2:$B$44,MATCH($C441,Employee_Master!$A$2:$A$44,0)),"Not Found")</f>
        <v>Norma Wilson</v>
      </c>
      <c r="E441" s="5" t="str">
        <f>IFERROR(INDEX(Employee_Master!$C$2:$C$44,MATCH($C441,Employee_Master!$A$2:$A$44,0)),"Not Found")</f>
        <v>Customer Support</v>
      </c>
      <c r="F441" s="5" t="str">
        <f>IFERROR(INDEX(Employee_Master!$D$2:$D$44,MATCH($C441,Employee_Master!$A$2:$A$44,0)),"Not Found")</f>
        <v>William Oconnell</v>
      </c>
      <c r="G441" s="5" t="str">
        <f>IFERROR(INDEX(Employee_Master!$E$2:$E$44,MATCH($C441,Employee_Master!$A$2:$A$44,0)),"Not Found")</f>
        <v>North</v>
      </c>
      <c r="H441" s="5" t="str">
        <f>Sales_Data!D438</f>
        <v>P007 - Cotton T-Shirt</v>
      </c>
      <c r="I441" s="5" t="str">
        <f>IFERROR(INDEX(Product_Master!$B$2:$B$30,MATCH($H441,Product_Master!$A$2:$A$30,0)),"Invalid Product Code")</f>
        <v>Apparel</v>
      </c>
      <c r="J441" s="5">
        <f>IFERROR(INDEX(Product_Master!$C$2:$C$30,MATCH($H441,Product_Master!$A$2:$A$30,0)),0)</f>
        <v>338.44</v>
      </c>
      <c r="K441" s="5">
        <f>Sales_Data!E438</f>
        <v>4</v>
      </c>
      <c r="L441" s="5">
        <f>Sales_Data!F438</f>
        <v>1458.69</v>
      </c>
      <c r="M441" s="5">
        <f>Sales_Data!G438</f>
        <v>1205.0899999999999</v>
      </c>
      <c r="N441" s="5" t="str">
        <f>IFERROR(INDEX(Branch_Master!$B$2:$B$9,MATCH($B441,Branch_Master!$A$2:$A$9,0)),"Not Found")</f>
        <v>New Delhi</v>
      </c>
      <c r="O441" s="5" t="str">
        <f>IFERROR(INDEX(Branch_Master!$C$2:$C$9,MATCH($B441,Branch_Master!$A$2:$A$9,0)),"Not Found")</f>
        <v>Delhi</v>
      </c>
      <c r="P441" s="5">
        <f>IFERROR(INDEX(Targets!$B$2:$B$9,MATCH($B441,Targets!$A$2:$A$9,0)),0)</f>
        <v>2070000</v>
      </c>
      <c r="Q441" s="5" t="str">
        <f t="shared" si="12"/>
        <v>Yes</v>
      </c>
      <c r="R441" s="5" t="str">
        <f t="shared" si="13"/>
        <v>Jun</v>
      </c>
    </row>
    <row r="442" spans="1:18" ht="15" customHeight="1" x14ac:dyDescent="0.3">
      <c r="A442" s="5" t="str">
        <f>Sales_Data!A439</f>
        <v>2025-06-11</v>
      </c>
      <c r="B442" s="5" t="str">
        <f>Sales_Data!B439</f>
        <v>Pune East</v>
      </c>
      <c r="C442" s="5" t="str">
        <f>Sales_Data!C439</f>
        <v>E022</v>
      </c>
      <c r="D442" s="5" t="str">
        <f>IFERROR(INDEX(Employee_Master!$B$2:$B$44,MATCH($C442,Employee_Master!$A$2:$A$44,0)),"Not Found")</f>
        <v>Cindy Green PhD</v>
      </c>
      <c r="E442" s="5" t="str">
        <f>IFERROR(INDEX(Employee_Master!$C$2:$C$44,MATCH($C442,Employee_Master!$A$2:$A$44,0)),"Not Found")</f>
        <v>Customer Support</v>
      </c>
      <c r="F442" s="5" t="str">
        <f>IFERROR(INDEX(Employee_Master!$D$2:$D$44,MATCH($C442,Employee_Master!$A$2:$A$44,0)),"Not Found")</f>
        <v>Jordan Matthews</v>
      </c>
      <c r="G442" s="5" t="str">
        <f>IFERROR(INDEX(Employee_Master!$E$2:$E$44,MATCH($C442,Employee_Master!$A$2:$A$44,0)),"Not Found")</f>
        <v>West</v>
      </c>
      <c r="H442" s="5" t="str">
        <f>Sales_Data!D439</f>
        <v>P010 - Running Shoes</v>
      </c>
      <c r="I442" s="5" t="str">
        <f>IFERROR(INDEX(Product_Master!$B$2:$B$30,MATCH($H442,Product_Master!$A$2:$A$30,0)),"Invalid Product Code")</f>
        <v>Apparel</v>
      </c>
      <c r="J442" s="5">
        <f>IFERROR(INDEX(Product_Master!$C$2:$C$30,MATCH($H442,Product_Master!$A$2:$A$30,0)),0)</f>
        <v>233.71</v>
      </c>
      <c r="K442" s="5">
        <f>Sales_Data!E439</f>
        <v>10</v>
      </c>
      <c r="L442" s="5">
        <f>Sales_Data!F439</f>
        <v>2280.2199999999998</v>
      </c>
      <c r="M442" s="5">
        <f>Sales_Data!G439</f>
        <v>2068.59</v>
      </c>
      <c r="N442" s="5" t="str">
        <f>IFERROR(INDEX(Branch_Master!$B$2:$B$9,MATCH($B442,Branch_Master!$A$2:$A$9,0)),"Not Found")</f>
        <v>Pune</v>
      </c>
      <c r="O442" s="5" t="str">
        <f>IFERROR(INDEX(Branch_Master!$C$2:$C$9,MATCH($B442,Branch_Master!$A$2:$A$9,0)),"Not Found")</f>
        <v>Maharashtra</v>
      </c>
      <c r="P442" s="5">
        <f>IFERROR(INDEX(Targets!$B$2:$B$9,MATCH($B442,Targets!$A$2:$A$9,0)),0)</f>
        <v>1250000</v>
      </c>
      <c r="Q442" s="5" t="str">
        <f t="shared" si="12"/>
        <v>Yes</v>
      </c>
      <c r="R442" s="5" t="str">
        <f t="shared" si="13"/>
        <v>Jun</v>
      </c>
    </row>
    <row r="443" spans="1:18" ht="15" customHeight="1" x14ac:dyDescent="0.3">
      <c r="A443" s="5" t="str">
        <f>Sales_Data!A440</f>
        <v>2025-06-11</v>
      </c>
      <c r="B443" s="5" t="str">
        <f>Sales_Data!B440</f>
        <v>Ahmedabad West</v>
      </c>
      <c r="C443" s="5" t="str">
        <f>Sales_Data!C440</f>
        <v>E008</v>
      </c>
      <c r="D443" s="5" t="str">
        <f>IFERROR(INDEX(Employee_Master!$B$2:$B$44,MATCH($C443,Employee_Master!$A$2:$A$44,0)),"Not Found")</f>
        <v>Tyler Boone</v>
      </c>
      <c r="E443" s="5" t="str">
        <f>IFERROR(INDEX(Employee_Master!$C$2:$C$44,MATCH($C443,Employee_Master!$A$2:$A$44,0)),"Not Found")</f>
        <v>Marketing</v>
      </c>
      <c r="F443" s="5" t="str">
        <f>IFERROR(INDEX(Employee_Master!$D$2:$D$44,MATCH($C443,Employee_Master!$A$2:$A$44,0)),"Not Found")</f>
        <v>Joseph Brown</v>
      </c>
      <c r="G443" s="5" t="str">
        <f>IFERROR(INDEX(Employee_Master!$E$2:$E$44,MATCH($C443,Employee_Master!$A$2:$A$44,0)),"Not Found")</f>
        <v>West</v>
      </c>
      <c r="H443" s="5" t="str">
        <f>Sales_Data!D440</f>
        <v>P003 - Bluetooth Speaker</v>
      </c>
      <c r="I443" s="5" t="str">
        <f>IFERROR(INDEX(Product_Master!$B$2:$B$30,MATCH($H443,Product_Master!$A$2:$A$30,0)),"Invalid Product Code")</f>
        <v>Electronics</v>
      </c>
      <c r="J443" s="5">
        <f>IFERROR(INDEX(Product_Master!$C$2:$C$30,MATCH($H443,Product_Master!$A$2:$A$30,0)),0)</f>
        <v>351.01</v>
      </c>
      <c r="K443" s="5">
        <f>Sales_Data!E440</f>
        <v>9</v>
      </c>
      <c r="L443" s="5">
        <f>Sales_Data!F440</f>
        <v>3417.54</v>
      </c>
      <c r="M443" s="5">
        <f>Sales_Data!G440</f>
        <v>3355.69</v>
      </c>
      <c r="N443" s="5" t="str">
        <f>IFERROR(INDEX(Branch_Master!$B$2:$B$9,MATCH($B443,Branch_Master!$A$2:$A$9,0)),"Not Found")</f>
        <v>Ahmedabad</v>
      </c>
      <c r="O443" s="5" t="str">
        <f>IFERROR(INDEX(Branch_Master!$C$2:$C$9,MATCH($B443,Branch_Master!$A$2:$A$9,0)),"Not Found")</f>
        <v>Gujarat</v>
      </c>
      <c r="P443" s="5">
        <f>IFERROR(INDEX(Targets!$B$2:$B$9,MATCH($B443,Targets!$A$2:$A$9,0)),0)</f>
        <v>1590000</v>
      </c>
      <c r="Q443" s="5" t="str">
        <f t="shared" si="12"/>
        <v>Yes</v>
      </c>
      <c r="R443" s="5" t="str">
        <f t="shared" si="13"/>
        <v>Jun</v>
      </c>
    </row>
    <row r="444" spans="1:18" ht="15" customHeight="1" x14ac:dyDescent="0.3">
      <c r="A444" s="5" t="str">
        <f>Sales_Data!A441</f>
        <v>2025-06-12</v>
      </c>
      <c r="B444" s="5" t="str">
        <f>Sales_Data!B441</f>
        <v>Hyderabad Hitech</v>
      </c>
      <c r="C444" s="5" t="str">
        <f>Sales_Data!C441</f>
        <v>E020</v>
      </c>
      <c r="D444" s="5" t="str">
        <f>IFERROR(INDEX(Employee_Master!$B$2:$B$44,MATCH($C444,Employee_Master!$A$2:$A$44,0)),"Not Found")</f>
        <v>Christine Long</v>
      </c>
      <c r="E444" s="5" t="str">
        <f>IFERROR(INDEX(Employee_Master!$C$2:$C$44,MATCH($C444,Employee_Master!$A$2:$A$44,0)),"Not Found")</f>
        <v>Operations</v>
      </c>
      <c r="F444" s="5" t="str">
        <f>IFERROR(INDEX(Employee_Master!$D$2:$D$44,MATCH($C444,Employee_Master!$A$2:$A$44,0)),"Not Found")</f>
        <v>Anna Turner</v>
      </c>
      <c r="G444" s="5" t="str">
        <f>IFERROR(INDEX(Employee_Master!$E$2:$E$44,MATCH($C444,Employee_Master!$A$2:$A$44,0)),"Not Found")</f>
        <v>South</v>
      </c>
      <c r="H444" s="5" t="str">
        <f>Sales_Data!D441</f>
        <v>P004 - Power Bank</v>
      </c>
      <c r="I444" s="5" t="str">
        <f>IFERROR(INDEX(Product_Master!$B$2:$B$30,MATCH($H444,Product_Master!$A$2:$A$30,0)),"Invalid Product Code")</f>
        <v>Electronics</v>
      </c>
      <c r="J444" s="5">
        <f>IFERROR(INDEX(Product_Master!$C$2:$C$30,MATCH($H444,Product_Master!$A$2:$A$30,0)),0)</f>
        <v>76.91</v>
      </c>
      <c r="K444" s="5">
        <f>Sales_Data!E441</f>
        <v>5</v>
      </c>
      <c r="L444" s="5">
        <f>Sales_Data!F441</f>
        <v>406.5</v>
      </c>
      <c r="M444" s="5">
        <f>Sales_Data!G441</f>
        <v>333.66</v>
      </c>
      <c r="N444" s="5" t="str">
        <f>IFERROR(INDEX(Branch_Master!$B$2:$B$9,MATCH($B444,Branch_Master!$A$2:$A$9,0)),"Not Found")</f>
        <v>Hyderabad</v>
      </c>
      <c r="O444" s="5" t="str">
        <f>IFERROR(INDEX(Branch_Master!$C$2:$C$9,MATCH($B444,Branch_Master!$A$2:$A$9,0)),"Not Found")</f>
        <v>Telangana</v>
      </c>
      <c r="P444" s="5">
        <f>IFERROR(INDEX(Targets!$B$2:$B$9,MATCH($B444,Targets!$A$2:$A$9,0)),0)</f>
        <v>1210000</v>
      </c>
      <c r="Q444" s="5" t="str">
        <f t="shared" si="12"/>
        <v>Yes</v>
      </c>
      <c r="R444" s="5" t="str">
        <f t="shared" si="13"/>
        <v>Jun</v>
      </c>
    </row>
    <row r="445" spans="1:18" ht="15" customHeight="1" x14ac:dyDescent="0.3">
      <c r="A445" s="5" t="str">
        <f>Sales_Data!A442</f>
        <v>2025-06-13</v>
      </c>
      <c r="B445" s="5" t="str">
        <f>Sales_Data!B442</f>
        <v>Pune East</v>
      </c>
      <c r="C445" s="5" t="str">
        <f>Sales_Data!C442</f>
        <v>E022</v>
      </c>
      <c r="D445" s="5" t="str">
        <f>IFERROR(INDEX(Employee_Master!$B$2:$B$44,MATCH($C445,Employee_Master!$A$2:$A$44,0)),"Not Found")</f>
        <v>Cindy Green PhD</v>
      </c>
      <c r="E445" s="5" t="str">
        <f>IFERROR(INDEX(Employee_Master!$C$2:$C$44,MATCH($C445,Employee_Master!$A$2:$A$44,0)),"Not Found")</f>
        <v>Customer Support</v>
      </c>
      <c r="F445" s="5" t="str">
        <f>IFERROR(INDEX(Employee_Master!$D$2:$D$44,MATCH($C445,Employee_Master!$A$2:$A$44,0)),"Not Found")</f>
        <v>Jordan Matthews</v>
      </c>
      <c r="G445" s="5" t="str">
        <f>IFERROR(INDEX(Employee_Master!$E$2:$E$44,MATCH($C445,Employee_Master!$A$2:$A$44,0)),"Not Found")</f>
        <v>West</v>
      </c>
      <c r="H445" s="5" t="str">
        <f>Sales_Data!D442</f>
        <v>P014 - Air Fryer</v>
      </c>
      <c r="I445" s="5" t="str">
        <f>IFERROR(INDEX(Product_Master!$B$2:$B$30,MATCH($H445,Product_Master!$A$2:$A$30,0)),"Invalid Product Code")</f>
        <v>Home &amp; Kitchen</v>
      </c>
      <c r="J445" s="5">
        <f>IFERROR(INDEX(Product_Master!$C$2:$C$30,MATCH($H445,Product_Master!$A$2:$A$30,0)),0)</f>
        <v>729.85</v>
      </c>
      <c r="K445" s="5">
        <f>Sales_Data!E442</f>
        <v>12</v>
      </c>
      <c r="L445" s="5">
        <f>Sales_Data!F442</f>
        <v>8718.98</v>
      </c>
      <c r="M445" s="5">
        <f>Sales_Data!G442</f>
        <v>10001.43</v>
      </c>
      <c r="N445" s="5" t="str">
        <f>IFERROR(INDEX(Branch_Master!$B$2:$B$9,MATCH($B445,Branch_Master!$A$2:$A$9,0)),"Not Found")</f>
        <v>Pune</v>
      </c>
      <c r="O445" s="5" t="str">
        <f>IFERROR(INDEX(Branch_Master!$C$2:$C$9,MATCH($B445,Branch_Master!$A$2:$A$9,0)),"Not Found")</f>
        <v>Maharashtra</v>
      </c>
      <c r="P445" s="5">
        <f>IFERROR(INDEX(Targets!$B$2:$B$9,MATCH($B445,Targets!$A$2:$A$9,0)),0)</f>
        <v>1250000</v>
      </c>
      <c r="Q445" s="5" t="str">
        <f t="shared" si="12"/>
        <v>No</v>
      </c>
      <c r="R445" s="5" t="str">
        <f t="shared" si="13"/>
        <v>Jun</v>
      </c>
    </row>
    <row r="446" spans="1:18" ht="15" customHeight="1" x14ac:dyDescent="0.3">
      <c r="A446" s="5" t="str">
        <f>Sales_Data!A443</f>
        <v>2025-06-13</v>
      </c>
      <c r="B446" s="5" t="str">
        <f>Sales_Data!B443</f>
        <v>Ahmedabad West</v>
      </c>
      <c r="C446" s="5" t="str">
        <f>Sales_Data!C443</f>
        <v>E001</v>
      </c>
      <c r="D446" s="5" t="str">
        <f>IFERROR(INDEX(Employee_Master!$B$2:$B$44,MATCH($C446,Employee_Master!$A$2:$A$44,0)),"Not Found")</f>
        <v>David Johnson</v>
      </c>
      <c r="E446" s="5" t="str">
        <f>IFERROR(INDEX(Employee_Master!$C$2:$C$44,MATCH($C446,Employee_Master!$A$2:$A$44,0)),"Not Found")</f>
        <v>Customer Support</v>
      </c>
      <c r="F446" s="5" t="str">
        <f>IFERROR(INDEX(Employee_Master!$D$2:$D$44,MATCH($C446,Employee_Master!$A$2:$A$44,0)),"Not Found")</f>
        <v>Joseph Brown</v>
      </c>
      <c r="G446" s="5" t="str">
        <f>IFERROR(INDEX(Employee_Master!$E$2:$E$44,MATCH($C446,Employee_Master!$A$2:$A$44,0)),"Not Found")</f>
        <v>West</v>
      </c>
      <c r="H446" s="5" t="str">
        <f>Sales_Data!D443</f>
        <v>P002 - Smart Watch</v>
      </c>
      <c r="I446" s="5" t="str">
        <f>IFERROR(INDEX(Product_Master!$B$2:$B$30,MATCH($H446,Product_Master!$A$2:$A$30,0)),"Invalid Product Code")</f>
        <v>Electronics</v>
      </c>
      <c r="J446" s="5">
        <f>IFERROR(INDEX(Product_Master!$C$2:$C$30,MATCH($H446,Product_Master!$A$2:$A$30,0)),0)</f>
        <v>403.33</v>
      </c>
      <c r="K446" s="5">
        <f>Sales_Data!E443</f>
        <v>7</v>
      </c>
      <c r="L446" s="5">
        <f>Sales_Data!F443</f>
        <v>2818.8</v>
      </c>
      <c r="M446" s="5">
        <f>Sales_Data!G443</f>
        <v>2725.11</v>
      </c>
      <c r="N446" s="5" t="str">
        <f>IFERROR(INDEX(Branch_Master!$B$2:$B$9,MATCH($B446,Branch_Master!$A$2:$A$9,0)),"Not Found")</f>
        <v>Ahmedabad</v>
      </c>
      <c r="O446" s="5" t="str">
        <f>IFERROR(INDEX(Branch_Master!$C$2:$C$9,MATCH($B446,Branch_Master!$A$2:$A$9,0)),"Not Found")</f>
        <v>Gujarat</v>
      </c>
      <c r="P446" s="5">
        <f>IFERROR(INDEX(Targets!$B$2:$B$9,MATCH($B446,Targets!$A$2:$A$9,0)),0)</f>
        <v>1590000</v>
      </c>
      <c r="Q446" s="5" t="str">
        <f t="shared" si="12"/>
        <v>Yes</v>
      </c>
      <c r="R446" s="5" t="str">
        <f t="shared" si="13"/>
        <v>Jun</v>
      </c>
    </row>
    <row r="447" spans="1:18" ht="15" customHeight="1" x14ac:dyDescent="0.3">
      <c r="A447" s="5" t="str">
        <f>Sales_Data!A444</f>
        <v>2025-06-14</v>
      </c>
      <c r="B447" s="5" t="str">
        <f>Sales_Data!B444</f>
        <v>Kolkata Central</v>
      </c>
      <c r="C447" s="5" t="str">
        <f>Sales_Data!C444</f>
        <v>E029</v>
      </c>
      <c r="D447" s="5" t="str">
        <f>IFERROR(INDEX(Employee_Master!$B$2:$B$44,MATCH($C447,Employee_Master!$A$2:$A$44,0)),"Not Found")</f>
        <v>Patrick Shepard</v>
      </c>
      <c r="E447" s="5" t="str">
        <f>IFERROR(INDEX(Employee_Master!$C$2:$C$44,MATCH($C447,Employee_Master!$A$2:$A$44,0)),"Not Found")</f>
        <v>Sales</v>
      </c>
      <c r="F447" s="5" t="str">
        <f>IFERROR(INDEX(Employee_Master!$D$2:$D$44,MATCH($C447,Employee_Master!$A$2:$A$44,0)),"Not Found")</f>
        <v>Lisa Moore</v>
      </c>
      <c r="G447" s="5" t="str">
        <f>IFERROR(INDEX(Employee_Master!$E$2:$E$44,MATCH($C447,Employee_Master!$A$2:$A$44,0)),"Not Found")</f>
        <v>East</v>
      </c>
      <c r="H447" s="5" t="str">
        <f>Sales_Data!D444</f>
        <v>P008 - Denim Jeans</v>
      </c>
      <c r="I447" s="5" t="str">
        <f>IFERROR(INDEX(Product_Master!$B$2:$B$30,MATCH($H447,Product_Master!$A$2:$A$30,0)),"Invalid Product Code")</f>
        <v>Apparel</v>
      </c>
      <c r="J447" s="5">
        <f>IFERROR(INDEX(Product_Master!$C$2:$C$30,MATCH($H447,Product_Master!$A$2:$A$30,0)),0)</f>
        <v>614.48</v>
      </c>
      <c r="K447" s="5">
        <f>Sales_Data!E444</f>
        <v>8</v>
      </c>
      <c r="L447" s="5">
        <f>Sales_Data!F444</f>
        <v>4825.6000000000004</v>
      </c>
      <c r="M447" s="5">
        <f>Sales_Data!G444</f>
        <v>5219.71</v>
      </c>
      <c r="N447" s="5" t="str">
        <f>IFERROR(INDEX(Branch_Master!$B$2:$B$9,MATCH($B447,Branch_Master!$A$2:$A$9,0)),"Not Found")</f>
        <v>Kolkata</v>
      </c>
      <c r="O447" s="5" t="str">
        <f>IFERROR(INDEX(Branch_Master!$C$2:$C$9,MATCH($B447,Branch_Master!$A$2:$A$9,0)),"Not Found")</f>
        <v>West Bengal</v>
      </c>
      <c r="P447" s="5">
        <f>IFERROR(INDEX(Targets!$B$2:$B$9,MATCH($B447,Targets!$A$2:$A$9,0)),0)</f>
        <v>1910000</v>
      </c>
      <c r="Q447" s="5" t="str">
        <f t="shared" si="12"/>
        <v>No</v>
      </c>
      <c r="R447" s="5" t="str">
        <f t="shared" si="13"/>
        <v>Jun</v>
      </c>
    </row>
    <row r="448" spans="1:18" ht="15" customHeight="1" x14ac:dyDescent="0.3">
      <c r="A448" s="5" t="str">
        <f>Sales_Data!A445</f>
        <v>2025-06-15</v>
      </c>
      <c r="B448" s="5" t="str">
        <f>Sales_Data!B445</f>
        <v>Delhi NCR</v>
      </c>
      <c r="C448" s="5" t="str">
        <f>Sales_Data!C445</f>
        <v>E013</v>
      </c>
      <c r="D448" s="5" t="str">
        <f>IFERROR(INDEX(Employee_Master!$B$2:$B$44,MATCH($C448,Employee_Master!$A$2:$A$44,0)),"Not Found")</f>
        <v>Norma Wilson</v>
      </c>
      <c r="E448" s="5" t="str">
        <f>IFERROR(INDEX(Employee_Master!$C$2:$C$44,MATCH($C448,Employee_Master!$A$2:$A$44,0)),"Not Found")</f>
        <v>Customer Support</v>
      </c>
      <c r="F448" s="5" t="str">
        <f>IFERROR(INDEX(Employee_Master!$D$2:$D$44,MATCH($C448,Employee_Master!$A$2:$A$44,0)),"Not Found")</f>
        <v>William Oconnell</v>
      </c>
      <c r="G448" s="5" t="str">
        <f>IFERROR(INDEX(Employee_Master!$E$2:$E$44,MATCH($C448,Employee_Master!$A$2:$A$44,0)),"Not Found")</f>
        <v>North</v>
      </c>
      <c r="H448" s="5" t="str">
        <f>Sales_Data!D445</f>
        <v>P002 - Smart Watch</v>
      </c>
      <c r="I448" s="5" t="str">
        <f>IFERROR(INDEX(Product_Master!$B$2:$B$30,MATCH($H448,Product_Master!$A$2:$A$30,0)),"Invalid Product Code")</f>
        <v>Electronics</v>
      </c>
      <c r="J448" s="5">
        <f>IFERROR(INDEX(Product_Master!$C$2:$C$30,MATCH($H448,Product_Master!$A$2:$A$30,0)),0)</f>
        <v>403.33</v>
      </c>
      <c r="K448" s="5">
        <f>Sales_Data!E445</f>
        <v>2</v>
      </c>
      <c r="L448" s="5">
        <f>Sales_Data!F445</f>
        <v>788.34</v>
      </c>
      <c r="M448" s="5">
        <f>Sales_Data!G445</f>
        <v>797.29</v>
      </c>
      <c r="N448" s="5" t="str">
        <f>IFERROR(INDEX(Branch_Master!$B$2:$B$9,MATCH($B448,Branch_Master!$A$2:$A$9,0)),"Not Found")</f>
        <v>New Delhi</v>
      </c>
      <c r="O448" s="5" t="str">
        <f>IFERROR(INDEX(Branch_Master!$C$2:$C$9,MATCH($B448,Branch_Master!$A$2:$A$9,0)),"Not Found")</f>
        <v>Delhi</v>
      </c>
      <c r="P448" s="5">
        <f>IFERROR(INDEX(Targets!$B$2:$B$9,MATCH($B448,Targets!$A$2:$A$9,0)),0)</f>
        <v>2070000</v>
      </c>
      <c r="Q448" s="5" t="str">
        <f t="shared" si="12"/>
        <v>No</v>
      </c>
      <c r="R448" s="5" t="str">
        <f t="shared" si="13"/>
        <v>Jun</v>
      </c>
    </row>
    <row r="449" spans="1:18" ht="15" customHeight="1" x14ac:dyDescent="0.3">
      <c r="A449" s="5" t="str">
        <f>Sales_Data!A446</f>
        <v>2025-06-15</v>
      </c>
      <c r="B449" s="5" t="str">
        <f>Sales_Data!B446</f>
        <v>Hyderabad Hitech</v>
      </c>
      <c r="C449" s="5" t="str">
        <f>Sales_Data!C446</f>
        <v>E011</v>
      </c>
      <c r="D449" s="5" t="str">
        <f>IFERROR(INDEX(Employee_Master!$B$2:$B$44,MATCH($C449,Employee_Master!$A$2:$A$44,0)),"Not Found")</f>
        <v>Mark Osborne</v>
      </c>
      <c r="E449" s="5" t="str">
        <f>IFERROR(INDEX(Employee_Master!$C$2:$C$44,MATCH($C449,Employee_Master!$A$2:$A$44,0)),"Not Found")</f>
        <v>Marketing</v>
      </c>
      <c r="F449" s="5" t="str">
        <f>IFERROR(INDEX(Employee_Master!$D$2:$D$44,MATCH($C449,Employee_Master!$A$2:$A$44,0)),"Not Found")</f>
        <v>Anna Turner</v>
      </c>
      <c r="G449" s="5" t="str">
        <f>IFERROR(INDEX(Employee_Master!$E$2:$E$44,MATCH($C449,Employee_Master!$A$2:$A$44,0)),"Not Found")</f>
        <v>South</v>
      </c>
      <c r="H449" s="5" t="str">
        <f>Sales_Data!D446</f>
        <v>P012 - Non-Stick Pan</v>
      </c>
      <c r="I449" s="5" t="str">
        <f>IFERROR(INDEX(Product_Master!$B$2:$B$30,MATCH($H449,Product_Master!$A$2:$A$30,0)),"Invalid Product Code")</f>
        <v>Home &amp; Kitchen</v>
      </c>
      <c r="J449" s="5">
        <f>IFERROR(INDEX(Product_Master!$C$2:$C$30,MATCH($H449,Product_Master!$A$2:$A$30,0)),0)</f>
        <v>353.18</v>
      </c>
      <c r="K449" s="5">
        <f>Sales_Data!E446</f>
        <v>3</v>
      </c>
      <c r="L449" s="5">
        <f>Sales_Data!F446</f>
        <v>1091.6199999999999</v>
      </c>
      <c r="M449" s="5">
        <f>Sales_Data!G446</f>
        <v>1020.44</v>
      </c>
      <c r="N449" s="5" t="str">
        <f>IFERROR(INDEX(Branch_Master!$B$2:$B$9,MATCH($B449,Branch_Master!$A$2:$A$9,0)),"Not Found")</f>
        <v>Hyderabad</v>
      </c>
      <c r="O449" s="5" t="str">
        <f>IFERROR(INDEX(Branch_Master!$C$2:$C$9,MATCH($B449,Branch_Master!$A$2:$A$9,0)),"Not Found")</f>
        <v>Telangana</v>
      </c>
      <c r="P449" s="5">
        <f>IFERROR(INDEX(Targets!$B$2:$B$9,MATCH($B449,Targets!$A$2:$A$9,0)),0)</f>
        <v>1210000</v>
      </c>
      <c r="Q449" s="5" t="str">
        <f t="shared" si="12"/>
        <v>Yes</v>
      </c>
      <c r="R449" s="5" t="str">
        <f t="shared" si="13"/>
        <v>Jun</v>
      </c>
    </row>
    <row r="450" spans="1:18" ht="15" customHeight="1" x14ac:dyDescent="0.3">
      <c r="A450" s="5" t="str">
        <f>Sales_Data!A447</f>
        <v>2025-06-15</v>
      </c>
      <c r="B450" s="5" t="str">
        <f>Sales_Data!B447</f>
        <v>Mumbai Central</v>
      </c>
      <c r="C450" s="5" t="str">
        <f>Sales_Data!C447</f>
        <v>E027</v>
      </c>
      <c r="D450" s="5" t="str">
        <f>IFERROR(INDEX(Employee_Master!$B$2:$B$44,MATCH($C450,Employee_Master!$A$2:$A$44,0)),"Not Found")</f>
        <v>Catherine Moore</v>
      </c>
      <c r="E450" s="5" t="str">
        <f>IFERROR(INDEX(Employee_Master!$C$2:$C$44,MATCH($C450,Employee_Master!$A$2:$A$44,0)),"Not Found")</f>
        <v>Customer Support</v>
      </c>
      <c r="F450" s="5" t="str">
        <f>IFERROR(INDEX(Employee_Master!$D$2:$D$44,MATCH($C450,Employee_Master!$A$2:$A$44,0)),"Not Found")</f>
        <v>Justin Glass</v>
      </c>
      <c r="G450" s="5" t="str">
        <f>IFERROR(INDEX(Employee_Master!$E$2:$E$44,MATCH($C450,Employee_Master!$A$2:$A$44,0)),"Not Found")</f>
        <v>West</v>
      </c>
      <c r="H450" s="5" t="str">
        <f>Sales_Data!D447</f>
        <v>P025 - Lipstick Set</v>
      </c>
      <c r="I450" s="5" t="str">
        <f>IFERROR(INDEX(Product_Master!$B$2:$B$30,MATCH($H450,Product_Master!$A$2:$A$30,0)),"Invalid Product Code")</f>
        <v>Beauty</v>
      </c>
      <c r="J450" s="5">
        <f>IFERROR(INDEX(Product_Master!$C$2:$C$30,MATCH($H450,Product_Master!$A$2:$A$30,0)),0)</f>
        <v>765.9</v>
      </c>
      <c r="K450" s="5">
        <f>Sales_Data!E447</f>
        <v>5</v>
      </c>
      <c r="L450" s="5">
        <f>Sales_Data!F447</f>
        <v>3615.85</v>
      </c>
      <c r="M450" s="5">
        <f>Sales_Data!G447</f>
        <v>3278.66</v>
      </c>
      <c r="N450" s="5" t="str">
        <f>IFERROR(INDEX(Branch_Master!$B$2:$B$9,MATCH($B450,Branch_Master!$A$2:$A$9,0)),"Not Found")</f>
        <v>Mumbai</v>
      </c>
      <c r="O450" s="5" t="str">
        <f>IFERROR(INDEX(Branch_Master!$C$2:$C$9,MATCH($B450,Branch_Master!$A$2:$A$9,0)),"Not Found")</f>
        <v>Maharashtra</v>
      </c>
      <c r="P450" s="5">
        <f>IFERROR(INDEX(Targets!$B$2:$B$9,MATCH($B450,Targets!$A$2:$A$9,0)),0)</f>
        <v>900000</v>
      </c>
      <c r="Q450" s="5" t="str">
        <f t="shared" si="12"/>
        <v>Yes</v>
      </c>
      <c r="R450" s="5" t="str">
        <f t="shared" si="13"/>
        <v>Jun</v>
      </c>
    </row>
    <row r="451" spans="1:18" ht="15" customHeight="1" x14ac:dyDescent="0.3">
      <c r="A451" s="5" t="str">
        <f>Sales_Data!A448</f>
        <v>2025-06-16</v>
      </c>
      <c r="B451" s="5" t="str">
        <f>Sales_Data!B448</f>
        <v>Ahmedabad West</v>
      </c>
      <c r="C451" s="5" t="str">
        <f>Sales_Data!C448</f>
        <v>E002</v>
      </c>
      <c r="D451" s="5" t="str">
        <f>IFERROR(INDEX(Employee_Master!$B$2:$B$44,MATCH($C451,Employee_Master!$A$2:$A$44,0)),"Not Found")</f>
        <v>Jeremiah Kirby</v>
      </c>
      <c r="E451" s="5" t="str">
        <f>IFERROR(INDEX(Employee_Master!$C$2:$C$44,MATCH($C451,Employee_Master!$A$2:$A$44,0)),"Not Found")</f>
        <v>Marketing</v>
      </c>
      <c r="F451" s="5" t="str">
        <f>IFERROR(INDEX(Employee_Master!$D$2:$D$44,MATCH($C451,Employee_Master!$A$2:$A$44,0)),"Not Found")</f>
        <v>Joseph Brown</v>
      </c>
      <c r="G451" s="5" t="str">
        <f>IFERROR(INDEX(Employee_Master!$E$2:$E$44,MATCH($C451,Employee_Master!$A$2:$A$44,0)),"Not Found")</f>
        <v>West</v>
      </c>
      <c r="H451" s="5" t="str">
        <f>Sales_Data!D448</f>
        <v>P025 - Lipstick Set</v>
      </c>
      <c r="I451" s="5" t="str">
        <f>IFERROR(INDEX(Product_Master!$B$2:$B$30,MATCH($H451,Product_Master!$A$2:$A$30,0)),"Invalid Product Code")</f>
        <v>Beauty</v>
      </c>
      <c r="J451" s="5">
        <f>IFERROR(INDEX(Product_Master!$C$2:$C$30,MATCH($H451,Product_Master!$A$2:$A$30,0)),0)</f>
        <v>765.9</v>
      </c>
      <c r="K451" s="5">
        <f>Sales_Data!E448</f>
        <v>8</v>
      </c>
      <c r="L451" s="5">
        <f>Sales_Data!F448</f>
        <v>6591.31</v>
      </c>
      <c r="M451" s="5">
        <f>Sales_Data!G448</f>
        <v>5580.7</v>
      </c>
      <c r="N451" s="5" t="str">
        <f>IFERROR(INDEX(Branch_Master!$B$2:$B$9,MATCH($B451,Branch_Master!$A$2:$A$9,0)),"Not Found")</f>
        <v>Ahmedabad</v>
      </c>
      <c r="O451" s="5" t="str">
        <f>IFERROR(INDEX(Branch_Master!$C$2:$C$9,MATCH($B451,Branch_Master!$A$2:$A$9,0)),"Not Found")</f>
        <v>Gujarat</v>
      </c>
      <c r="P451" s="5">
        <f>IFERROR(INDEX(Targets!$B$2:$B$9,MATCH($B451,Targets!$A$2:$A$9,0)),0)</f>
        <v>1590000</v>
      </c>
      <c r="Q451" s="5" t="str">
        <f t="shared" si="12"/>
        <v>Yes</v>
      </c>
      <c r="R451" s="5" t="str">
        <f t="shared" si="13"/>
        <v>Jun</v>
      </c>
    </row>
    <row r="452" spans="1:18" ht="15" customHeight="1" x14ac:dyDescent="0.3">
      <c r="A452" s="5" t="str">
        <f>Sales_Data!A449</f>
        <v>2025-06-16</v>
      </c>
      <c r="B452" s="5" t="str">
        <f>Sales_Data!B449</f>
        <v>Chennai South</v>
      </c>
      <c r="C452" s="5" t="str">
        <f>Sales_Data!C449</f>
        <v>E015</v>
      </c>
      <c r="D452" s="5" t="str">
        <f>IFERROR(INDEX(Employee_Master!$B$2:$B$44,MATCH($C452,Employee_Master!$A$2:$A$44,0)),"Not Found")</f>
        <v>Cassandra Hansen</v>
      </c>
      <c r="E452" s="5" t="str">
        <f>IFERROR(INDEX(Employee_Master!$C$2:$C$44,MATCH($C452,Employee_Master!$A$2:$A$44,0)),"Not Found")</f>
        <v>Customer Support</v>
      </c>
      <c r="F452" s="5" t="str">
        <f>IFERROR(INDEX(Employee_Master!$D$2:$D$44,MATCH($C452,Employee_Master!$A$2:$A$44,0)),"Not Found")</f>
        <v>Robert Steele</v>
      </c>
      <c r="G452" s="5" t="str">
        <f>IFERROR(INDEX(Employee_Master!$E$2:$E$44,MATCH($C452,Employee_Master!$A$2:$A$44,0)),"Not Found")</f>
        <v>South</v>
      </c>
      <c r="H452" s="5" t="str">
        <f>Sales_Data!D449</f>
        <v>P001 - Wireless Earbuds</v>
      </c>
      <c r="I452" s="5" t="str">
        <f>IFERROR(INDEX(Product_Master!$B$2:$B$30,MATCH($H452,Product_Master!$A$2:$A$30,0)),"Invalid Product Code")</f>
        <v>Electronics</v>
      </c>
      <c r="J452" s="5">
        <f>IFERROR(INDEX(Product_Master!$C$2:$C$30,MATCH($H452,Product_Master!$A$2:$A$30,0)),0)</f>
        <v>1676.76</v>
      </c>
      <c r="K452" s="5">
        <f>Sales_Data!E449</f>
        <v>1</v>
      </c>
      <c r="L452" s="5">
        <f>Sales_Data!F449</f>
        <v>1625.48</v>
      </c>
      <c r="M452" s="5">
        <f>Sales_Data!G449</f>
        <v>1873.83</v>
      </c>
      <c r="N452" s="5" t="str">
        <f>IFERROR(INDEX(Branch_Master!$B$2:$B$9,MATCH($B452,Branch_Master!$A$2:$A$9,0)),"Not Found")</f>
        <v>Chennai</v>
      </c>
      <c r="O452" s="5" t="str">
        <f>IFERROR(INDEX(Branch_Master!$C$2:$C$9,MATCH($B452,Branch_Master!$A$2:$A$9,0)),"Not Found")</f>
        <v>Tamil Nadu</v>
      </c>
      <c r="P452" s="5">
        <f>IFERROR(INDEX(Targets!$B$2:$B$9,MATCH($B452,Targets!$A$2:$A$9,0)),0)</f>
        <v>1910000</v>
      </c>
      <c r="Q452" s="5" t="str">
        <f t="shared" si="12"/>
        <v>No</v>
      </c>
      <c r="R452" s="5" t="str">
        <f t="shared" si="13"/>
        <v>Jun</v>
      </c>
    </row>
    <row r="453" spans="1:18" ht="15" customHeight="1" x14ac:dyDescent="0.3">
      <c r="A453" s="5" t="str">
        <f>Sales_Data!A450</f>
        <v>2025-06-17</v>
      </c>
      <c r="B453" s="5" t="str">
        <f>Sales_Data!B450</f>
        <v>Delhi NCR</v>
      </c>
      <c r="C453" s="5" t="str">
        <f>Sales_Data!C450</f>
        <v>E013</v>
      </c>
      <c r="D453" s="5" t="str">
        <f>IFERROR(INDEX(Employee_Master!$B$2:$B$44,MATCH($C453,Employee_Master!$A$2:$A$44,0)),"Not Found")</f>
        <v>Norma Wilson</v>
      </c>
      <c r="E453" s="5" t="str">
        <f>IFERROR(INDEX(Employee_Master!$C$2:$C$44,MATCH($C453,Employee_Master!$A$2:$A$44,0)),"Not Found")</f>
        <v>Customer Support</v>
      </c>
      <c r="F453" s="5" t="str">
        <f>IFERROR(INDEX(Employee_Master!$D$2:$D$44,MATCH($C453,Employee_Master!$A$2:$A$44,0)),"Not Found")</f>
        <v>William Oconnell</v>
      </c>
      <c r="G453" s="5" t="str">
        <f>IFERROR(INDEX(Employee_Master!$E$2:$E$44,MATCH($C453,Employee_Master!$A$2:$A$44,0)),"Not Found")</f>
        <v>North</v>
      </c>
      <c r="H453" s="5" t="str">
        <f>Sales_Data!D450</f>
        <v>P011 - Winter Jacket</v>
      </c>
      <c r="I453" s="5" t="str">
        <f>IFERROR(INDEX(Product_Master!$B$2:$B$30,MATCH($H453,Product_Master!$A$2:$A$30,0)),"Invalid Product Code")</f>
        <v>Apparel</v>
      </c>
      <c r="J453" s="5">
        <f>IFERROR(INDEX(Product_Master!$C$2:$C$30,MATCH($H453,Product_Master!$A$2:$A$30,0)),0)</f>
        <v>264.97000000000003</v>
      </c>
      <c r="K453" s="5">
        <f>Sales_Data!E450</f>
        <v>12</v>
      </c>
      <c r="L453" s="5">
        <f>Sales_Data!F450</f>
        <v>3142.11</v>
      </c>
      <c r="M453" s="5">
        <f>Sales_Data!G450</f>
        <v>3270.04</v>
      </c>
      <c r="N453" s="5" t="str">
        <f>IFERROR(INDEX(Branch_Master!$B$2:$B$9,MATCH($B453,Branch_Master!$A$2:$A$9,0)),"Not Found")</f>
        <v>New Delhi</v>
      </c>
      <c r="O453" s="5" t="str">
        <f>IFERROR(INDEX(Branch_Master!$C$2:$C$9,MATCH($B453,Branch_Master!$A$2:$A$9,0)),"Not Found")</f>
        <v>Delhi</v>
      </c>
      <c r="P453" s="5">
        <f>IFERROR(INDEX(Targets!$B$2:$B$9,MATCH($B453,Targets!$A$2:$A$9,0)),0)</f>
        <v>2070000</v>
      </c>
      <c r="Q453" s="5" t="str">
        <f t="shared" ref="Q453:Q516" si="14">IF(L453&gt;=M453,"Yes","No")</f>
        <v>No</v>
      </c>
      <c r="R453" s="5" t="str">
        <f t="shared" ref="R453:R516" si="15">TEXT(A453,"MMM")</f>
        <v>Jun</v>
      </c>
    </row>
    <row r="454" spans="1:18" ht="15" customHeight="1" x14ac:dyDescent="0.3">
      <c r="A454" s="5" t="str">
        <f>Sales_Data!A451</f>
        <v>2025-06-18</v>
      </c>
      <c r="B454" s="5" t="str">
        <f>Sales_Data!B451</f>
        <v>Mumbai Central</v>
      </c>
      <c r="C454" s="5" t="str">
        <f>Sales_Data!C451</f>
        <v>E033</v>
      </c>
      <c r="D454" s="5" t="str">
        <f>IFERROR(INDEX(Employee_Master!$B$2:$B$44,MATCH($C454,Employee_Master!$A$2:$A$44,0)),"Not Found")</f>
        <v>Dawn Colon</v>
      </c>
      <c r="E454" s="5" t="str">
        <f>IFERROR(INDEX(Employee_Master!$C$2:$C$44,MATCH($C454,Employee_Master!$A$2:$A$44,0)),"Not Found")</f>
        <v>Customer Support</v>
      </c>
      <c r="F454" s="5" t="str">
        <f>IFERROR(INDEX(Employee_Master!$D$2:$D$44,MATCH($C454,Employee_Master!$A$2:$A$44,0)),"Not Found")</f>
        <v>Justin Glass</v>
      </c>
      <c r="G454" s="5" t="str">
        <f>IFERROR(INDEX(Employee_Master!$E$2:$E$44,MATCH($C454,Employee_Master!$A$2:$A$44,0)),"Not Found")</f>
        <v>West</v>
      </c>
      <c r="H454" s="5" t="str">
        <f>Sales_Data!D451</f>
        <v>P028 - Football</v>
      </c>
      <c r="I454" s="5" t="str">
        <f>IFERROR(INDEX(Product_Master!$B$2:$B$30,MATCH($H454,Product_Master!$A$2:$A$30,0)),"Invalid Product Code")</f>
        <v>Sports</v>
      </c>
      <c r="J454" s="5">
        <f>IFERROR(INDEX(Product_Master!$C$2:$C$30,MATCH($H454,Product_Master!$A$2:$A$30,0)),0)</f>
        <v>314.25</v>
      </c>
      <c r="K454" s="5">
        <f>Sales_Data!E451</f>
        <v>8</v>
      </c>
      <c r="L454" s="5">
        <f>Sales_Data!F451</f>
        <v>2348.69</v>
      </c>
      <c r="M454" s="5">
        <f>Sales_Data!G451</f>
        <v>2187.7199999999998</v>
      </c>
      <c r="N454" s="5" t="str">
        <f>IFERROR(INDEX(Branch_Master!$B$2:$B$9,MATCH($B454,Branch_Master!$A$2:$A$9,0)),"Not Found")</f>
        <v>Mumbai</v>
      </c>
      <c r="O454" s="5" t="str">
        <f>IFERROR(INDEX(Branch_Master!$C$2:$C$9,MATCH($B454,Branch_Master!$A$2:$A$9,0)),"Not Found")</f>
        <v>Maharashtra</v>
      </c>
      <c r="P454" s="5">
        <f>IFERROR(INDEX(Targets!$B$2:$B$9,MATCH($B454,Targets!$A$2:$A$9,0)),0)</f>
        <v>900000</v>
      </c>
      <c r="Q454" s="5" t="str">
        <f t="shared" si="14"/>
        <v>Yes</v>
      </c>
      <c r="R454" s="5" t="str">
        <f t="shared" si="15"/>
        <v>Jun</v>
      </c>
    </row>
    <row r="455" spans="1:18" ht="15" customHeight="1" x14ac:dyDescent="0.3">
      <c r="A455" s="5" t="str">
        <f>Sales_Data!A452</f>
        <v>2025-06-18</v>
      </c>
      <c r="B455" s="5" t="str">
        <f>Sales_Data!B452</f>
        <v>Chennai South</v>
      </c>
      <c r="C455" s="5" t="str">
        <f>Sales_Data!C452</f>
        <v>E019</v>
      </c>
      <c r="D455" s="5" t="str">
        <f>IFERROR(INDEX(Employee_Master!$B$2:$B$44,MATCH($C455,Employee_Master!$A$2:$A$44,0)),"Not Found")</f>
        <v>Regina Torres</v>
      </c>
      <c r="E455" s="5" t="str">
        <f>IFERROR(INDEX(Employee_Master!$C$2:$C$44,MATCH($C455,Employee_Master!$A$2:$A$44,0)),"Not Found")</f>
        <v>Operations</v>
      </c>
      <c r="F455" s="5" t="str">
        <f>IFERROR(INDEX(Employee_Master!$D$2:$D$44,MATCH($C455,Employee_Master!$A$2:$A$44,0)),"Not Found")</f>
        <v>Robert Steele</v>
      </c>
      <c r="G455" s="5" t="str">
        <f>IFERROR(INDEX(Employee_Master!$E$2:$E$44,MATCH($C455,Employee_Master!$A$2:$A$44,0)),"Not Found")</f>
        <v>South</v>
      </c>
      <c r="H455" s="5" t="str">
        <f>Sales_Data!D452</f>
        <v>P019 - Organic Honey</v>
      </c>
      <c r="I455" s="5" t="str">
        <f>IFERROR(INDEX(Product_Master!$B$2:$B$30,MATCH($H455,Product_Master!$A$2:$A$30,0)),"Invalid Product Code")</f>
        <v>Grocery</v>
      </c>
      <c r="J455" s="5">
        <f>IFERROR(INDEX(Product_Master!$C$2:$C$30,MATCH($H455,Product_Master!$A$2:$A$30,0)),0)</f>
        <v>482.15</v>
      </c>
      <c r="K455" s="5">
        <f>Sales_Data!E452</f>
        <v>8</v>
      </c>
      <c r="L455" s="5">
        <f>Sales_Data!F452</f>
        <v>4029.84</v>
      </c>
      <c r="M455" s="5">
        <f>Sales_Data!G452</f>
        <v>3662.4</v>
      </c>
      <c r="N455" s="5" t="str">
        <f>IFERROR(INDEX(Branch_Master!$B$2:$B$9,MATCH($B455,Branch_Master!$A$2:$A$9,0)),"Not Found")</f>
        <v>Chennai</v>
      </c>
      <c r="O455" s="5" t="str">
        <f>IFERROR(INDEX(Branch_Master!$C$2:$C$9,MATCH($B455,Branch_Master!$A$2:$A$9,0)),"Not Found")</f>
        <v>Tamil Nadu</v>
      </c>
      <c r="P455" s="5">
        <f>IFERROR(INDEX(Targets!$B$2:$B$9,MATCH($B455,Targets!$A$2:$A$9,0)),0)</f>
        <v>1910000</v>
      </c>
      <c r="Q455" s="5" t="str">
        <f t="shared" si="14"/>
        <v>Yes</v>
      </c>
      <c r="R455" s="5" t="str">
        <f t="shared" si="15"/>
        <v>Jun</v>
      </c>
    </row>
    <row r="456" spans="1:18" ht="15" customHeight="1" x14ac:dyDescent="0.3">
      <c r="A456" s="5" t="str">
        <f>Sales_Data!A453</f>
        <v>2025-06-18</v>
      </c>
      <c r="B456" s="5" t="str">
        <f>Sales_Data!B453</f>
        <v>Chennai South</v>
      </c>
      <c r="C456" s="5" t="str">
        <f>Sales_Data!C453</f>
        <v>E019</v>
      </c>
      <c r="D456" s="5" t="str">
        <f>IFERROR(INDEX(Employee_Master!$B$2:$B$44,MATCH($C456,Employee_Master!$A$2:$A$44,0)),"Not Found")</f>
        <v>Regina Torres</v>
      </c>
      <c r="E456" s="5" t="str">
        <f>IFERROR(INDEX(Employee_Master!$C$2:$C$44,MATCH($C456,Employee_Master!$A$2:$A$44,0)),"Not Found")</f>
        <v>Operations</v>
      </c>
      <c r="F456" s="5" t="str">
        <f>IFERROR(INDEX(Employee_Master!$D$2:$D$44,MATCH($C456,Employee_Master!$A$2:$A$44,0)),"Not Found")</f>
        <v>Robert Steele</v>
      </c>
      <c r="G456" s="5" t="str">
        <f>IFERROR(INDEX(Employee_Master!$E$2:$E$44,MATCH($C456,Employee_Master!$A$2:$A$44,0)),"Not Found")</f>
        <v>South</v>
      </c>
      <c r="H456" s="5" t="str">
        <f>Sales_Data!D453</f>
        <v>P023 - Sunscreen SPF50</v>
      </c>
      <c r="I456" s="5" t="str">
        <f>IFERROR(INDEX(Product_Master!$B$2:$B$30,MATCH($H456,Product_Master!$A$2:$A$30,0)),"Invalid Product Code")</f>
        <v>Beauty</v>
      </c>
      <c r="J456" s="5">
        <f>IFERROR(INDEX(Product_Master!$C$2:$C$30,MATCH($H456,Product_Master!$A$2:$A$30,0)),0)</f>
        <v>818.95</v>
      </c>
      <c r="K456" s="5">
        <f>Sales_Data!E453</f>
        <v>5</v>
      </c>
      <c r="L456" s="5">
        <f>Sales_Data!F453</f>
        <v>3866.78</v>
      </c>
      <c r="M456" s="5">
        <f>Sales_Data!G453</f>
        <v>4617.43</v>
      </c>
      <c r="N456" s="5" t="str">
        <f>IFERROR(INDEX(Branch_Master!$B$2:$B$9,MATCH($B456,Branch_Master!$A$2:$A$9,0)),"Not Found")</f>
        <v>Chennai</v>
      </c>
      <c r="O456" s="5" t="str">
        <f>IFERROR(INDEX(Branch_Master!$C$2:$C$9,MATCH($B456,Branch_Master!$A$2:$A$9,0)),"Not Found")</f>
        <v>Tamil Nadu</v>
      </c>
      <c r="P456" s="5">
        <f>IFERROR(INDEX(Targets!$B$2:$B$9,MATCH($B456,Targets!$A$2:$A$9,0)),0)</f>
        <v>1910000</v>
      </c>
      <c r="Q456" s="5" t="str">
        <f t="shared" si="14"/>
        <v>No</v>
      </c>
      <c r="R456" s="5" t="str">
        <f t="shared" si="15"/>
        <v>Jun</v>
      </c>
    </row>
    <row r="457" spans="1:18" ht="15" customHeight="1" x14ac:dyDescent="0.3">
      <c r="A457" s="5" t="str">
        <f>Sales_Data!A454</f>
        <v>2025-06-19</v>
      </c>
      <c r="B457" s="5" t="str">
        <f>Sales_Data!B454</f>
        <v>Chennai South</v>
      </c>
      <c r="C457" s="5" t="str">
        <f>Sales_Data!C454</f>
        <v>E019</v>
      </c>
      <c r="D457" s="5" t="str">
        <f>IFERROR(INDEX(Employee_Master!$B$2:$B$44,MATCH($C457,Employee_Master!$A$2:$A$44,0)),"Not Found")</f>
        <v>Regina Torres</v>
      </c>
      <c r="E457" s="5" t="str">
        <f>IFERROR(INDEX(Employee_Master!$C$2:$C$44,MATCH($C457,Employee_Master!$A$2:$A$44,0)),"Not Found")</f>
        <v>Operations</v>
      </c>
      <c r="F457" s="5" t="str">
        <f>IFERROR(INDEX(Employee_Master!$D$2:$D$44,MATCH($C457,Employee_Master!$A$2:$A$44,0)),"Not Found")</f>
        <v>Robert Steele</v>
      </c>
      <c r="G457" s="5" t="str">
        <f>IFERROR(INDEX(Employee_Master!$E$2:$E$44,MATCH($C457,Employee_Master!$A$2:$A$44,0)),"Not Found")</f>
        <v>South</v>
      </c>
      <c r="H457" s="5" t="str">
        <f>Sales_Data!D454</f>
        <v>P025 - Lipstick Set</v>
      </c>
      <c r="I457" s="5" t="str">
        <f>IFERROR(INDEX(Product_Master!$B$2:$B$30,MATCH($H457,Product_Master!$A$2:$A$30,0)),"Invalid Product Code")</f>
        <v>Beauty</v>
      </c>
      <c r="J457" s="5">
        <f>IFERROR(INDEX(Product_Master!$C$2:$C$30,MATCH($H457,Product_Master!$A$2:$A$30,0)),0)</f>
        <v>765.9</v>
      </c>
      <c r="K457" s="5">
        <f>Sales_Data!E454</f>
        <v>5</v>
      </c>
      <c r="L457" s="5">
        <f>Sales_Data!F454</f>
        <v>4207.97</v>
      </c>
      <c r="M457" s="5">
        <f>Sales_Data!G454</f>
        <v>4021.64</v>
      </c>
      <c r="N457" s="5" t="str">
        <f>IFERROR(INDEX(Branch_Master!$B$2:$B$9,MATCH($B457,Branch_Master!$A$2:$A$9,0)),"Not Found")</f>
        <v>Chennai</v>
      </c>
      <c r="O457" s="5" t="str">
        <f>IFERROR(INDEX(Branch_Master!$C$2:$C$9,MATCH($B457,Branch_Master!$A$2:$A$9,0)),"Not Found")</f>
        <v>Tamil Nadu</v>
      </c>
      <c r="P457" s="5">
        <f>IFERROR(INDEX(Targets!$B$2:$B$9,MATCH($B457,Targets!$A$2:$A$9,0)),0)</f>
        <v>1910000</v>
      </c>
      <c r="Q457" s="5" t="str">
        <f t="shared" si="14"/>
        <v>Yes</v>
      </c>
      <c r="R457" s="5" t="str">
        <f t="shared" si="15"/>
        <v>Jun</v>
      </c>
    </row>
    <row r="458" spans="1:18" ht="15" customHeight="1" x14ac:dyDescent="0.3">
      <c r="A458" s="5" t="str">
        <f>Sales_Data!A455</f>
        <v>2025-06-20</v>
      </c>
      <c r="B458" s="5" t="str">
        <f>Sales_Data!B455</f>
        <v>Chennai South</v>
      </c>
      <c r="C458" s="5" t="str">
        <f>Sales_Data!C455</f>
        <v>E019</v>
      </c>
      <c r="D458" s="5" t="str">
        <f>IFERROR(INDEX(Employee_Master!$B$2:$B$44,MATCH($C458,Employee_Master!$A$2:$A$44,0)),"Not Found")</f>
        <v>Regina Torres</v>
      </c>
      <c r="E458" s="5" t="str">
        <f>IFERROR(INDEX(Employee_Master!$C$2:$C$44,MATCH($C458,Employee_Master!$A$2:$A$44,0)),"Not Found")</f>
        <v>Operations</v>
      </c>
      <c r="F458" s="5" t="str">
        <f>IFERROR(INDEX(Employee_Master!$D$2:$D$44,MATCH($C458,Employee_Master!$A$2:$A$44,0)),"Not Found")</f>
        <v>Robert Steele</v>
      </c>
      <c r="G458" s="5" t="str">
        <f>IFERROR(INDEX(Employee_Master!$E$2:$E$44,MATCH($C458,Employee_Master!$A$2:$A$44,0)),"Not Found")</f>
        <v>South</v>
      </c>
      <c r="H458" s="5" t="str">
        <f>Sales_Data!D455</f>
        <v>P004 - Power Bank</v>
      </c>
      <c r="I458" s="5" t="str">
        <f>IFERROR(INDEX(Product_Master!$B$2:$B$30,MATCH($H458,Product_Master!$A$2:$A$30,0)),"Invalid Product Code")</f>
        <v>Electronics</v>
      </c>
      <c r="J458" s="5">
        <f>IFERROR(INDEX(Product_Master!$C$2:$C$30,MATCH($H458,Product_Master!$A$2:$A$30,0)),0)</f>
        <v>76.91</v>
      </c>
      <c r="K458" s="5">
        <f>Sales_Data!E455</f>
        <v>1</v>
      </c>
      <c r="L458" s="5">
        <f>Sales_Data!F455</f>
        <v>74.040000000000006</v>
      </c>
      <c r="M458" s="5">
        <f>Sales_Data!G455</f>
        <v>81.89</v>
      </c>
      <c r="N458" s="5" t="str">
        <f>IFERROR(INDEX(Branch_Master!$B$2:$B$9,MATCH($B458,Branch_Master!$A$2:$A$9,0)),"Not Found")</f>
        <v>Chennai</v>
      </c>
      <c r="O458" s="5" t="str">
        <f>IFERROR(INDEX(Branch_Master!$C$2:$C$9,MATCH($B458,Branch_Master!$A$2:$A$9,0)),"Not Found")</f>
        <v>Tamil Nadu</v>
      </c>
      <c r="P458" s="5">
        <f>IFERROR(INDEX(Targets!$B$2:$B$9,MATCH($B458,Targets!$A$2:$A$9,0)),0)</f>
        <v>1910000</v>
      </c>
      <c r="Q458" s="5" t="str">
        <f t="shared" si="14"/>
        <v>No</v>
      </c>
      <c r="R458" s="5" t="str">
        <f t="shared" si="15"/>
        <v>Jun</v>
      </c>
    </row>
    <row r="459" spans="1:18" ht="15" customHeight="1" x14ac:dyDescent="0.3">
      <c r="A459" s="5" t="str">
        <f>Sales_Data!A456</f>
        <v>2025-06-20</v>
      </c>
      <c r="B459" s="5" t="str">
        <f>Sales_Data!B456</f>
        <v>Bangalore North</v>
      </c>
      <c r="C459" s="5" t="str">
        <f>Sales_Data!C456</f>
        <v>E004</v>
      </c>
      <c r="D459" s="5" t="str">
        <f>IFERROR(INDEX(Employee_Master!$B$2:$B$44,MATCH($C459,Employee_Master!$A$2:$A$44,0)),"Not Found")</f>
        <v>Judith Ramirez</v>
      </c>
      <c r="E459" s="5" t="str">
        <f>IFERROR(INDEX(Employee_Master!$C$2:$C$44,MATCH($C459,Employee_Master!$A$2:$A$44,0)),"Not Found")</f>
        <v>Sales</v>
      </c>
      <c r="F459" s="5" t="str">
        <f>IFERROR(INDEX(Employee_Master!$D$2:$D$44,MATCH($C459,Employee_Master!$A$2:$A$44,0)),"Not Found")</f>
        <v>Jose Soto</v>
      </c>
      <c r="G459" s="5" t="str">
        <f>IFERROR(INDEX(Employee_Master!$E$2:$E$44,MATCH($C459,Employee_Master!$A$2:$A$44,0)),"Not Found")</f>
        <v>South</v>
      </c>
      <c r="H459" s="5" t="str">
        <f>Sales_Data!D456</f>
        <v>P022 - Face Wash</v>
      </c>
      <c r="I459" s="5" t="str">
        <f>IFERROR(INDEX(Product_Master!$B$2:$B$30,MATCH($H459,Product_Master!$A$2:$A$30,0)),"Invalid Product Code")</f>
        <v>Beauty</v>
      </c>
      <c r="J459" s="5">
        <f>IFERROR(INDEX(Product_Master!$C$2:$C$30,MATCH($H459,Product_Master!$A$2:$A$30,0)),0)</f>
        <v>396.75</v>
      </c>
      <c r="K459" s="5">
        <f>Sales_Data!E456</f>
        <v>11</v>
      </c>
      <c r="L459" s="5">
        <f>Sales_Data!F456</f>
        <v>4460.4799999999996</v>
      </c>
      <c r="M459" s="5">
        <f>Sales_Data!G456</f>
        <v>4489.3100000000004</v>
      </c>
      <c r="N459" s="5" t="str">
        <f>IFERROR(INDEX(Branch_Master!$B$2:$B$9,MATCH($B459,Branch_Master!$A$2:$A$9,0)),"Not Found")</f>
        <v>Bangalore</v>
      </c>
      <c r="O459" s="5" t="str">
        <f>IFERROR(INDEX(Branch_Master!$C$2:$C$9,MATCH($B459,Branch_Master!$A$2:$A$9,0)),"Not Found")</f>
        <v>Karnataka</v>
      </c>
      <c r="P459" s="5">
        <f>IFERROR(INDEX(Targets!$B$2:$B$9,MATCH($B459,Targets!$A$2:$A$9,0)),0)</f>
        <v>900000</v>
      </c>
      <c r="Q459" s="5" t="str">
        <f t="shared" si="14"/>
        <v>No</v>
      </c>
      <c r="R459" s="5" t="str">
        <f t="shared" si="15"/>
        <v>Jun</v>
      </c>
    </row>
    <row r="460" spans="1:18" ht="15" customHeight="1" x14ac:dyDescent="0.3">
      <c r="A460" s="5" t="str">
        <f>Sales_Data!A457</f>
        <v>2025-06-20</v>
      </c>
      <c r="B460" s="5" t="str">
        <f>Sales_Data!B457</f>
        <v>Ahmedabad West</v>
      </c>
      <c r="C460" s="5" t="str">
        <f>Sales_Data!C457</f>
        <v>E001</v>
      </c>
      <c r="D460" s="5" t="str">
        <f>IFERROR(INDEX(Employee_Master!$B$2:$B$44,MATCH($C460,Employee_Master!$A$2:$A$44,0)),"Not Found")</f>
        <v>David Johnson</v>
      </c>
      <c r="E460" s="5" t="str">
        <f>IFERROR(INDEX(Employee_Master!$C$2:$C$44,MATCH($C460,Employee_Master!$A$2:$A$44,0)),"Not Found")</f>
        <v>Customer Support</v>
      </c>
      <c r="F460" s="5" t="str">
        <f>IFERROR(INDEX(Employee_Master!$D$2:$D$44,MATCH($C460,Employee_Master!$A$2:$A$44,0)),"Not Found")</f>
        <v>Joseph Brown</v>
      </c>
      <c r="G460" s="5" t="str">
        <f>IFERROR(INDEX(Employee_Master!$E$2:$E$44,MATCH($C460,Employee_Master!$A$2:$A$44,0)),"Not Found")</f>
        <v>West</v>
      </c>
      <c r="H460" s="5" t="str">
        <f>Sales_Data!D457</f>
        <v>P002 - Smart Watch</v>
      </c>
      <c r="I460" s="5" t="str">
        <f>IFERROR(INDEX(Product_Master!$B$2:$B$30,MATCH($H460,Product_Master!$A$2:$A$30,0)),"Invalid Product Code")</f>
        <v>Electronics</v>
      </c>
      <c r="J460" s="5">
        <f>IFERROR(INDEX(Product_Master!$C$2:$C$30,MATCH($H460,Product_Master!$A$2:$A$30,0)),0)</f>
        <v>403.33</v>
      </c>
      <c r="K460" s="5">
        <f>Sales_Data!E457</f>
        <v>5</v>
      </c>
      <c r="L460" s="5">
        <f>Sales_Data!F457</f>
        <v>2152.0300000000002</v>
      </c>
      <c r="M460" s="5">
        <f>Sales_Data!G457</f>
        <v>1751.5</v>
      </c>
      <c r="N460" s="5" t="str">
        <f>IFERROR(INDEX(Branch_Master!$B$2:$B$9,MATCH($B460,Branch_Master!$A$2:$A$9,0)),"Not Found")</f>
        <v>Ahmedabad</v>
      </c>
      <c r="O460" s="5" t="str">
        <f>IFERROR(INDEX(Branch_Master!$C$2:$C$9,MATCH($B460,Branch_Master!$A$2:$A$9,0)),"Not Found")</f>
        <v>Gujarat</v>
      </c>
      <c r="P460" s="5">
        <f>IFERROR(INDEX(Targets!$B$2:$B$9,MATCH($B460,Targets!$A$2:$A$9,0)),0)</f>
        <v>1590000</v>
      </c>
      <c r="Q460" s="5" t="str">
        <f t="shared" si="14"/>
        <v>Yes</v>
      </c>
      <c r="R460" s="5" t="str">
        <f t="shared" si="15"/>
        <v>Jun</v>
      </c>
    </row>
    <row r="461" spans="1:18" ht="15" customHeight="1" x14ac:dyDescent="0.3">
      <c r="A461" s="5" t="str">
        <f>Sales_Data!A458</f>
        <v>2025-06-20</v>
      </c>
      <c r="B461" s="5" t="str">
        <f>Sales_Data!B458</f>
        <v>Delhi NCR</v>
      </c>
      <c r="C461" s="5" t="str">
        <f>Sales_Data!C458</f>
        <v>E013</v>
      </c>
      <c r="D461" s="5" t="str">
        <f>IFERROR(INDEX(Employee_Master!$B$2:$B$44,MATCH($C461,Employee_Master!$A$2:$A$44,0)),"Not Found")</f>
        <v>Norma Wilson</v>
      </c>
      <c r="E461" s="5" t="str">
        <f>IFERROR(INDEX(Employee_Master!$C$2:$C$44,MATCH($C461,Employee_Master!$A$2:$A$44,0)),"Not Found")</f>
        <v>Customer Support</v>
      </c>
      <c r="F461" s="5" t="str">
        <f>IFERROR(INDEX(Employee_Master!$D$2:$D$44,MATCH($C461,Employee_Master!$A$2:$A$44,0)),"Not Found")</f>
        <v>William Oconnell</v>
      </c>
      <c r="G461" s="5" t="str">
        <f>IFERROR(INDEX(Employee_Master!$E$2:$E$44,MATCH($C461,Employee_Master!$A$2:$A$44,0)),"Not Found")</f>
        <v>North</v>
      </c>
      <c r="H461" s="5" t="str">
        <f>Sales_Data!D458</f>
        <v>P028 - Football</v>
      </c>
      <c r="I461" s="5" t="str">
        <f>IFERROR(INDEX(Product_Master!$B$2:$B$30,MATCH($H461,Product_Master!$A$2:$A$30,0)),"Invalid Product Code")</f>
        <v>Sports</v>
      </c>
      <c r="J461" s="5">
        <f>IFERROR(INDEX(Product_Master!$C$2:$C$30,MATCH($H461,Product_Master!$A$2:$A$30,0)),0)</f>
        <v>314.25</v>
      </c>
      <c r="K461" s="5">
        <f>Sales_Data!E458</f>
        <v>6</v>
      </c>
      <c r="L461" s="5">
        <f>Sales_Data!F458</f>
        <v>1797.32</v>
      </c>
      <c r="M461" s="5">
        <f>Sales_Data!G458</f>
        <v>2102.13</v>
      </c>
      <c r="N461" s="5" t="str">
        <f>IFERROR(INDEX(Branch_Master!$B$2:$B$9,MATCH($B461,Branch_Master!$A$2:$A$9,0)),"Not Found")</f>
        <v>New Delhi</v>
      </c>
      <c r="O461" s="5" t="str">
        <f>IFERROR(INDEX(Branch_Master!$C$2:$C$9,MATCH($B461,Branch_Master!$A$2:$A$9,0)),"Not Found")</f>
        <v>Delhi</v>
      </c>
      <c r="P461" s="5">
        <f>IFERROR(INDEX(Targets!$B$2:$B$9,MATCH($B461,Targets!$A$2:$A$9,0)),0)</f>
        <v>2070000</v>
      </c>
      <c r="Q461" s="5" t="str">
        <f t="shared" si="14"/>
        <v>No</v>
      </c>
      <c r="R461" s="5" t="str">
        <f t="shared" si="15"/>
        <v>Jun</v>
      </c>
    </row>
    <row r="462" spans="1:18" ht="15" customHeight="1" x14ac:dyDescent="0.3">
      <c r="A462" s="5" t="str">
        <f>Sales_Data!A459</f>
        <v>2025-06-21</v>
      </c>
      <c r="B462" s="5" t="str">
        <f>Sales_Data!B459</f>
        <v>Kolkata Central</v>
      </c>
      <c r="C462" s="5" t="str">
        <f>Sales_Data!C459</f>
        <v>E028</v>
      </c>
      <c r="D462" s="5" t="str">
        <f>IFERROR(INDEX(Employee_Master!$B$2:$B$44,MATCH($C462,Employee_Master!$A$2:$A$44,0)),"Not Found")</f>
        <v>Sabrina Wright</v>
      </c>
      <c r="E462" s="5" t="str">
        <f>IFERROR(INDEX(Employee_Master!$C$2:$C$44,MATCH($C462,Employee_Master!$A$2:$A$44,0)),"Not Found")</f>
        <v>Customer Support</v>
      </c>
      <c r="F462" s="5" t="str">
        <f>IFERROR(INDEX(Employee_Master!$D$2:$D$44,MATCH($C462,Employee_Master!$A$2:$A$44,0)),"Not Found")</f>
        <v>Lisa Moore</v>
      </c>
      <c r="G462" s="5" t="str">
        <f>IFERROR(INDEX(Employee_Master!$E$2:$E$44,MATCH($C462,Employee_Master!$A$2:$A$44,0)),"Not Found")</f>
        <v>East</v>
      </c>
      <c r="H462" s="5" t="str">
        <f>Sales_Data!D459</f>
        <v>P009 - Formal Shirt</v>
      </c>
      <c r="I462" s="5" t="str">
        <f>IFERROR(INDEX(Product_Master!$B$2:$B$30,MATCH($H462,Product_Master!$A$2:$A$30,0)),"Invalid Product Code")</f>
        <v>Apparel</v>
      </c>
      <c r="J462" s="5">
        <f>IFERROR(INDEX(Product_Master!$C$2:$C$30,MATCH($H462,Product_Master!$A$2:$A$30,0)),0)</f>
        <v>661.65</v>
      </c>
      <c r="K462" s="5">
        <f>Sales_Data!E459</f>
        <v>4</v>
      </c>
      <c r="L462" s="5">
        <f>Sales_Data!F459</f>
        <v>2426.6799999999998</v>
      </c>
      <c r="M462" s="5">
        <f>Sales_Data!G459</f>
        <v>2263.9699999999998</v>
      </c>
      <c r="N462" s="5" t="str">
        <f>IFERROR(INDEX(Branch_Master!$B$2:$B$9,MATCH($B462,Branch_Master!$A$2:$A$9,0)),"Not Found")</f>
        <v>Kolkata</v>
      </c>
      <c r="O462" s="5" t="str">
        <f>IFERROR(INDEX(Branch_Master!$C$2:$C$9,MATCH($B462,Branch_Master!$A$2:$A$9,0)),"Not Found")</f>
        <v>West Bengal</v>
      </c>
      <c r="P462" s="5">
        <f>IFERROR(INDEX(Targets!$B$2:$B$9,MATCH($B462,Targets!$A$2:$A$9,0)),0)</f>
        <v>1910000</v>
      </c>
      <c r="Q462" s="5" t="str">
        <f t="shared" si="14"/>
        <v>Yes</v>
      </c>
      <c r="R462" s="5" t="str">
        <f t="shared" si="15"/>
        <v>Jun</v>
      </c>
    </row>
    <row r="463" spans="1:18" ht="15" customHeight="1" x14ac:dyDescent="0.3">
      <c r="A463" s="5" t="str">
        <f>Sales_Data!A460</f>
        <v>2025-06-21</v>
      </c>
      <c r="B463" s="5" t="str">
        <f>Sales_Data!B460</f>
        <v>Pune East</v>
      </c>
      <c r="C463" s="5" t="str">
        <f>Sales_Data!C460</f>
        <v>E023</v>
      </c>
      <c r="D463" s="5" t="str">
        <f>IFERROR(INDEX(Employee_Master!$B$2:$B$44,MATCH($C463,Employee_Master!$A$2:$A$44,0)),"Not Found")</f>
        <v>Edward Jones</v>
      </c>
      <c r="E463" s="5" t="str">
        <f>IFERROR(INDEX(Employee_Master!$C$2:$C$44,MATCH($C463,Employee_Master!$A$2:$A$44,0)),"Not Found")</f>
        <v>Operations</v>
      </c>
      <c r="F463" s="5" t="str">
        <f>IFERROR(INDEX(Employee_Master!$D$2:$D$44,MATCH($C463,Employee_Master!$A$2:$A$44,0)),"Not Found")</f>
        <v>Jordan Matthews</v>
      </c>
      <c r="G463" s="5" t="str">
        <f>IFERROR(INDEX(Employee_Master!$E$2:$E$44,MATCH($C463,Employee_Master!$A$2:$A$44,0)),"Not Found")</f>
        <v>West</v>
      </c>
      <c r="H463" s="5" t="str">
        <f>Sales_Data!D460</f>
        <v>P024 - Hair Serum</v>
      </c>
      <c r="I463" s="5" t="str">
        <f>IFERROR(INDEX(Product_Master!$B$2:$B$30,MATCH($H463,Product_Master!$A$2:$A$30,0)),"Invalid Product Code")</f>
        <v>Beauty</v>
      </c>
      <c r="J463" s="5">
        <f>IFERROR(INDEX(Product_Master!$C$2:$C$30,MATCH($H463,Product_Master!$A$2:$A$30,0)),0)</f>
        <v>1457.31</v>
      </c>
      <c r="K463" s="5">
        <f>Sales_Data!E460</f>
        <v>2</v>
      </c>
      <c r="L463" s="5">
        <f>Sales_Data!F460</f>
        <v>3147.25</v>
      </c>
      <c r="M463" s="5">
        <f>Sales_Data!G460</f>
        <v>2551.4899999999998</v>
      </c>
      <c r="N463" s="5" t="str">
        <f>IFERROR(INDEX(Branch_Master!$B$2:$B$9,MATCH($B463,Branch_Master!$A$2:$A$9,0)),"Not Found")</f>
        <v>Pune</v>
      </c>
      <c r="O463" s="5" t="str">
        <f>IFERROR(INDEX(Branch_Master!$C$2:$C$9,MATCH($B463,Branch_Master!$A$2:$A$9,0)),"Not Found")</f>
        <v>Maharashtra</v>
      </c>
      <c r="P463" s="5">
        <f>IFERROR(INDEX(Targets!$B$2:$B$9,MATCH($B463,Targets!$A$2:$A$9,0)),0)</f>
        <v>1250000</v>
      </c>
      <c r="Q463" s="5" t="str">
        <f t="shared" si="14"/>
        <v>Yes</v>
      </c>
      <c r="R463" s="5" t="str">
        <f t="shared" si="15"/>
        <v>Jun</v>
      </c>
    </row>
    <row r="464" spans="1:18" ht="15" customHeight="1" x14ac:dyDescent="0.3">
      <c r="A464" s="5" t="str">
        <f>Sales_Data!A461</f>
        <v>2025-06-21</v>
      </c>
      <c r="B464" s="5" t="str">
        <f>Sales_Data!B461</f>
        <v>Kolkata Central</v>
      </c>
      <c r="C464" s="5" t="str">
        <f>Sales_Data!C461</f>
        <v>E028</v>
      </c>
      <c r="D464" s="5" t="str">
        <f>IFERROR(INDEX(Employee_Master!$B$2:$B$44,MATCH($C464,Employee_Master!$A$2:$A$44,0)),"Not Found")</f>
        <v>Sabrina Wright</v>
      </c>
      <c r="E464" s="5" t="str">
        <f>IFERROR(INDEX(Employee_Master!$C$2:$C$44,MATCH($C464,Employee_Master!$A$2:$A$44,0)),"Not Found")</f>
        <v>Customer Support</v>
      </c>
      <c r="F464" s="5" t="str">
        <f>IFERROR(INDEX(Employee_Master!$D$2:$D$44,MATCH($C464,Employee_Master!$A$2:$A$44,0)),"Not Found")</f>
        <v>Lisa Moore</v>
      </c>
      <c r="G464" s="5" t="str">
        <f>IFERROR(INDEX(Employee_Master!$E$2:$E$44,MATCH($C464,Employee_Master!$A$2:$A$44,0)),"Not Found")</f>
        <v>East</v>
      </c>
      <c r="H464" s="5" t="str">
        <f>Sales_Data!D461</f>
        <v>P002 - Smart Watch</v>
      </c>
      <c r="I464" s="5" t="str">
        <f>IFERROR(INDEX(Product_Master!$B$2:$B$30,MATCH($H464,Product_Master!$A$2:$A$30,0)),"Invalid Product Code")</f>
        <v>Electronics</v>
      </c>
      <c r="J464" s="5">
        <f>IFERROR(INDEX(Product_Master!$C$2:$C$30,MATCH($H464,Product_Master!$A$2:$A$30,0)),0)</f>
        <v>403.33</v>
      </c>
      <c r="K464" s="5">
        <f>Sales_Data!E461</f>
        <v>5</v>
      </c>
      <c r="L464" s="5">
        <f>Sales_Data!F461</f>
        <v>2023.43</v>
      </c>
      <c r="M464" s="5">
        <f>Sales_Data!G461</f>
        <v>2313.31</v>
      </c>
      <c r="N464" s="5" t="str">
        <f>IFERROR(INDEX(Branch_Master!$B$2:$B$9,MATCH($B464,Branch_Master!$A$2:$A$9,0)),"Not Found")</f>
        <v>Kolkata</v>
      </c>
      <c r="O464" s="5" t="str">
        <f>IFERROR(INDEX(Branch_Master!$C$2:$C$9,MATCH($B464,Branch_Master!$A$2:$A$9,0)),"Not Found")</f>
        <v>West Bengal</v>
      </c>
      <c r="P464" s="5">
        <f>IFERROR(INDEX(Targets!$B$2:$B$9,MATCH($B464,Targets!$A$2:$A$9,0)),0)</f>
        <v>1910000</v>
      </c>
      <c r="Q464" s="5" t="str">
        <f t="shared" si="14"/>
        <v>No</v>
      </c>
      <c r="R464" s="5" t="str">
        <f t="shared" si="15"/>
        <v>Jun</v>
      </c>
    </row>
    <row r="465" spans="1:18" ht="15" customHeight="1" x14ac:dyDescent="0.3">
      <c r="A465" s="5" t="str">
        <f>Sales_Data!A462</f>
        <v>2025-06-22</v>
      </c>
      <c r="B465" s="5" t="str">
        <f>Sales_Data!B462</f>
        <v>Hyderabad Hitech</v>
      </c>
      <c r="C465" s="5" t="str">
        <f>Sales_Data!C462</f>
        <v>E026</v>
      </c>
      <c r="D465" s="5" t="str">
        <f>IFERROR(INDEX(Employee_Master!$B$2:$B$44,MATCH($C465,Employee_Master!$A$2:$A$44,0)),"Not Found")</f>
        <v>Karen Andrews</v>
      </c>
      <c r="E465" s="5" t="str">
        <f>IFERROR(INDEX(Employee_Master!$C$2:$C$44,MATCH($C465,Employee_Master!$A$2:$A$44,0)),"Not Found")</f>
        <v>Marketing</v>
      </c>
      <c r="F465" s="5" t="str">
        <f>IFERROR(INDEX(Employee_Master!$D$2:$D$44,MATCH($C465,Employee_Master!$A$2:$A$44,0)),"Not Found")</f>
        <v>Anna Turner</v>
      </c>
      <c r="G465" s="5" t="str">
        <f>IFERROR(INDEX(Employee_Master!$E$2:$E$44,MATCH($C465,Employee_Master!$A$2:$A$44,0)),"Not Found")</f>
        <v>South</v>
      </c>
      <c r="H465" s="5" t="str">
        <f>Sales_Data!D462</f>
        <v>P023 - Sunscreen SPF50</v>
      </c>
      <c r="I465" s="5" t="str">
        <f>IFERROR(INDEX(Product_Master!$B$2:$B$30,MATCH($H465,Product_Master!$A$2:$A$30,0)),"Invalid Product Code")</f>
        <v>Beauty</v>
      </c>
      <c r="J465" s="5">
        <f>IFERROR(INDEX(Product_Master!$C$2:$C$30,MATCH($H465,Product_Master!$A$2:$A$30,0)),0)</f>
        <v>818.95</v>
      </c>
      <c r="K465" s="5">
        <f>Sales_Data!E462</f>
        <v>6</v>
      </c>
      <c r="L465" s="5">
        <f>Sales_Data!F462</f>
        <v>4449.5</v>
      </c>
      <c r="M465" s="5">
        <f>Sales_Data!G462</f>
        <v>5529.03</v>
      </c>
      <c r="N465" s="5" t="str">
        <f>IFERROR(INDEX(Branch_Master!$B$2:$B$9,MATCH($B465,Branch_Master!$A$2:$A$9,0)),"Not Found")</f>
        <v>Hyderabad</v>
      </c>
      <c r="O465" s="5" t="str">
        <f>IFERROR(INDEX(Branch_Master!$C$2:$C$9,MATCH($B465,Branch_Master!$A$2:$A$9,0)),"Not Found")</f>
        <v>Telangana</v>
      </c>
      <c r="P465" s="5">
        <f>IFERROR(INDEX(Targets!$B$2:$B$9,MATCH($B465,Targets!$A$2:$A$9,0)),0)</f>
        <v>1210000</v>
      </c>
      <c r="Q465" s="5" t="str">
        <f t="shared" si="14"/>
        <v>No</v>
      </c>
      <c r="R465" s="5" t="str">
        <f t="shared" si="15"/>
        <v>Jun</v>
      </c>
    </row>
    <row r="466" spans="1:18" ht="15" customHeight="1" x14ac:dyDescent="0.3">
      <c r="A466" s="5" t="str">
        <f>Sales_Data!A463</f>
        <v>2025-06-22</v>
      </c>
      <c r="B466" s="5" t="str">
        <f>Sales_Data!B463</f>
        <v>Kolkata Central</v>
      </c>
      <c r="C466" s="5" t="str">
        <f>Sales_Data!C463</f>
        <v>E018</v>
      </c>
      <c r="D466" s="5" t="str">
        <f>IFERROR(INDEX(Employee_Master!$B$2:$B$44,MATCH($C466,Employee_Master!$A$2:$A$44,0)),"Not Found")</f>
        <v>Daniel Nelson</v>
      </c>
      <c r="E466" s="5" t="str">
        <f>IFERROR(INDEX(Employee_Master!$C$2:$C$44,MATCH($C466,Employee_Master!$A$2:$A$44,0)),"Not Found")</f>
        <v>Sales</v>
      </c>
      <c r="F466" s="5" t="str">
        <f>IFERROR(INDEX(Employee_Master!$D$2:$D$44,MATCH($C466,Employee_Master!$A$2:$A$44,0)),"Not Found")</f>
        <v>Lisa Moore</v>
      </c>
      <c r="G466" s="5" t="str">
        <f>IFERROR(INDEX(Employee_Master!$E$2:$E$44,MATCH($C466,Employee_Master!$A$2:$A$44,0)),"Not Found")</f>
        <v>East</v>
      </c>
      <c r="H466" s="5" t="str">
        <f>Sales_Data!D463</f>
        <v>P009 - Formal Shirt</v>
      </c>
      <c r="I466" s="5" t="str">
        <f>IFERROR(INDEX(Product_Master!$B$2:$B$30,MATCH($H466,Product_Master!$A$2:$A$30,0)),"Invalid Product Code")</f>
        <v>Apparel</v>
      </c>
      <c r="J466" s="5">
        <f>IFERROR(INDEX(Product_Master!$C$2:$C$30,MATCH($H466,Product_Master!$A$2:$A$30,0)),0)</f>
        <v>661.65</v>
      </c>
      <c r="K466" s="5">
        <f>Sales_Data!E463</f>
        <v>4</v>
      </c>
      <c r="L466" s="5">
        <f>Sales_Data!F463</f>
        <v>2487.77</v>
      </c>
      <c r="M466" s="5">
        <f>Sales_Data!G463</f>
        <v>2830.36</v>
      </c>
      <c r="N466" s="5" t="str">
        <f>IFERROR(INDEX(Branch_Master!$B$2:$B$9,MATCH($B466,Branch_Master!$A$2:$A$9,0)),"Not Found")</f>
        <v>Kolkata</v>
      </c>
      <c r="O466" s="5" t="str">
        <f>IFERROR(INDEX(Branch_Master!$C$2:$C$9,MATCH($B466,Branch_Master!$A$2:$A$9,0)),"Not Found")</f>
        <v>West Bengal</v>
      </c>
      <c r="P466" s="5">
        <f>IFERROR(INDEX(Targets!$B$2:$B$9,MATCH($B466,Targets!$A$2:$A$9,0)),0)</f>
        <v>1910000</v>
      </c>
      <c r="Q466" s="5" t="str">
        <f t="shared" si="14"/>
        <v>No</v>
      </c>
      <c r="R466" s="5" t="str">
        <f t="shared" si="15"/>
        <v>Jun</v>
      </c>
    </row>
    <row r="467" spans="1:18" ht="15" customHeight="1" x14ac:dyDescent="0.3">
      <c r="A467" s="5" t="str">
        <f>Sales_Data!A464</f>
        <v>2025-06-22</v>
      </c>
      <c r="B467" s="5" t="str">
        <f>Sales_Data!B464</f>
        <v>Bangalore North</v>
      </c>
      <c r="C467" s="5" t="str">
        <f>Sales_Data!C464</f>
        <v>E038</v>
      </c>
      <c r="D467" s="5" t="str">
        <f>IFERROR(INDEX(Employee_Master!$B$2:$B$44,MATCH($C467,Employee_Master!$A$2:$A$44,0)),"Not Found")</f>
        <v>Derrick Griffin</v>
      </c>
      <c r="E467" s="5" t="str">
        <f>IFERROR(INDEX(Employee_Master!$C$2:$C$44,MATCH($C467,Employee_Master!$A$2:$A$44,0)),"Not Found")</f>
        <v>Marketing</v>
      </c>
      <c r="F467" s="5" t="str">
        <f>IFERROR(INDEX(Employee_Master!$D$2:$D$44,MATCH($C467,Employee_Master!$A$2:$A$44,0)),"Not Found")</f>
        <v>Jose Soto</v>
      </c>
      <c r="G467" s="5" t="str">
        <f>IFERROR(INDEX(Employee_Master!$E$2:$E$44,MATCH($C467,Employee_Master!$A$2:$A$44,0)),"Not Found")</f>
        <v>South</v>
      </c>
      <c r="H467" s="5" t="str">
        <f>Sales_Data!D464</f>
        <v>P011 - Winter Jacket</v>
      </c>
      <c r="I467" s="5" t="str">
        <f>IFERROR(INDEX(Product_Master!$B$2:$B$30,MATCH($H467,Product_Master!$A$2:$A$30,0)),"Invalid Product Code")</f>
        <v>Apparel</v>
      </c>
      <c r="J467" s="5">
        <f>IFERROR(INDEX(Product_Master!$C$2:$C$30,MATCH($H467,Product_Master!$A$2:$A$30,0)),0)</f>
        <v>264.97000000000003</v>
      </c>
      <c r="K467" s="5">
        <f>Sales_Data!E464</f>
        <v>1</v>
      </c>
      <c r="L467" s="5">
        <f>Sales_Data!F464</f>
        <v>255.51</v>
      </c>
      <c r="M467" s="5">
        <f>Sales_Data!G464</f>
        <v>273.89</v>
      </c>
      <c r="N467" s="5" t="str">
        <f>IFERROR(INDEX(Branch_Master!$B$2:$B$9,MATCH($B467,Branch_Master!$A$2:$A$9,0)),"Not Found")</f>
        <v>Bangalore</v>
      </c>
      <c r="O467" s="5" t="str">
        <f>IFERROR(INDEX(Branch_Master!$C$2:$C$9,MATCH($B467,Branch_Master!$A$2:$A$9,0)),"Not Found")</f>
        <v>Karnataka</v>
      </c>
      <c r="P467" s="5">
        <f>IFERROR(INDEX(Targets!$B$2:$B$9,MATCH($B467,Targets!$A$2:$A$9,0)),0)</f>
        <v>900000</v>
      </c>
      <c r="Q467" s="5" t="str">
        <f t="shared" si="14"/>
        <v>No</v>
      </c>
      <c r="R467" s="5" t="str">
        <f t="shared" si="15"/>
        <v>Jun</v>
      </c>
    </row>
    <row r="468" spans="1:18" ht="15" customHeight="1" x14ac:dyDescent="0.3">
      <c r="A468" s="5" t="str">
        <f>Sales_Data!A465</f>
        <v>2025-06-23</v>
      </c>
      <c r="B468" s="5" t="str">
        <f>Sales_Data!B465</f>
        <v>Mumbai Central</v>
      </c>
      <c r="C468" s="5" t="str">
        <f>Sales_Data!C465</f>
        <v>E012</v>
      </c>
      <c r="D468" s="5" t="str">
        <f>IFERROR(INDEX(Employee_Master!$B$2:$B$44,MATCH($C468,Employee_Master!$A$2:$A$44,0)),"Not Found")</f>
        <v>Brandon Cook</v>
      </c>
      <c r="E468" s="5" t="str">
        <f>IFERROR(INDEX(Employee_Master!$C$2:$C$44,MATCH($C468,Employee_Master!$A$2:$A$44,0)),"Not Found")</f>
        <v>Customer Support</v>
      </c>
      <c r="F468" s="5" t="str">
        <f>IFERROR(INDEX(Employee_Master!$D$2:$D$44,MATCH($C468,Employee_Master!$A$2:$A$44,0)),"Not Found")</f>
        <v>Justin Glass</v>
      </c>
      <c r="G468" s="5" t="str">
        <f>IFERROR(INDEX(Employee_Master!$E$2:$E$44,MATCH($C468,Employee_Master!$A$2:$A$44,0)),"Not Found")</f>
        <v>West</v>
      </c>
      <c r="H468" s="5" t="str">
        <f>Sales_Data!D465</f>
        <v>P012 - Non-Stick Pan</v>
      </c>
      <c r="I468" s="5" t="str">
        <f>IFERROR(INDEX(Product_Master!$B$2:$B$30,MATCH($H468,Product_Master!$A$2:$A$30,0)),"Invalid Product Code")</f>
        <v>Home &amp; Kitchen</v>
      </c>
      <c r="J468" s="5">
        <f>IFERROR(INDEX(Product_Master!$C$2:$C$30,MATCH($H468,Product_Master!$A$2:$A$30,0)),0)</f>
        <v>353.18</v>
      </c>
      <c r="K468" s="5">
        <f>Sales_Data!E465</f>
        <v>10</v>
      </c>
      <c r="L468" s="5">
        <f>Sales_Data!F465</f>
        <v>3449.28</v>
      </c>
      <c r="M468" s="5">
        <f>Sales_Data!G465</f>
        <v>3233.09</v>
      </c>
      <c r="N468" s="5" t="str">
        <f>IFERROR(INDEX(Branch_Master!$B$2:$B$9,MATCH($B468,Branch_Master!$A$2:$A$9,0)),"Not Found")</f>
        <v>Mumbai</v>
      </c>
      <c r="O468" s="5" t="str">
        <f>IFERROR(INDEX(Branch_Master!$C$2:$C$9,MATCH($B468,Branch_Master!$A$2:$A$9,0)),"Not Found")</f>
        <v>Maharashtra</v>
      </c>
      <c r="P468" s="5">
        <f>IFERROR(INDEX(Targets!$B$2:$B$9,MATCH($B468,Targets!$A$2:$A$9,0)),0)</f>
        <v>900000</v>
      </c>
      <c r="Q468" s="5" t="str">
        <f t="shared" si="14"/>
        <v>Yes</v>
      </c>
      <c r="R468" s="5" t="str">
        <f t="shared" si="15"/>
        <v>Jun</v>
      </c>
    </row>
    <row r="469" spans="1:18" ht="15" customHeight="1" x14ac:dyDescent="0.3">
      <c r="A469" s="5" t="str">
        <f>Sales_Data!A466</f>
        <v>2025-06-23</v>
      </c>
      <c r="B469" s="5" t="str">
        <f>Sales_Data!B466</f>
        <v>Chennai South</v>
      </c>
      <c r="C469" s="5" t="str">
        <f>Sales_Data!C466</f>
        <v>E032</v>
      </c>
      <c r="D469" s="5" t="str">
        <f>IFERROR(INDEX(Employee_Master!$B$2:$B$44,MATCH($C469,Employee_Master!$A$2:$A$44,0)),"Not Found")</f>
        <v>Victor Allen</v>
      </c>
      <c r="E469" s="5" t="str">
        <f>IFERROR(INDEX(Employee_Master!$C$2:$C$44,MATCH($C469,Employee_Master!$A$2:$A$44,0)),"Not Found")</f>
        <v>Operations</v>
      </c>
      <c r="F469" s="5" t="str">
        <f>IFERROR(INDEX(Employee_Master!$D$2:$D$44,MATCH($C469,Employee_Master!$A$2:$A$44,0)),"Not Found")</f>
        <v>Robert Steele</v>
      </c>
      <c r="G469" s="5" t="str">
        <f>IFERROR(INDEX(Employee_Master!$E$2:$E$44,MATCH($C469,Employee_Master!$A$2:$A$44,0)),"Not Found")</f>
        <v>South</v>
      </c>
      <c r="H469" s="5" t="str">
        <f>Sales_Data!D466</f>
        <v>P004 - Power Bank</v>
      </c>
      <c r="I469" s="5" t="str">
        <f>IFERROR(INDEX(Product_Master!$B$2:$B$30,MATCH($H469,Product_Master!$A$2:$A$30,0)),"Invalid Product Code")</f>
        <v>Electronics</v>
      </c>
      <c r="J469" s="5">
        <f>IFERROR(INDEX(Product_Master!$C$2:$C$30,MATCH($H469,Product_Master!$A$2:$A$30,0)),0)</f>
        <v>76.91</v>
      </c>
      <c r="K469" s="5">
        <f>Sales_Data!E466</f>
        <v>11</v>
      </c>
      <c r="L469" s="5">
        <f>Sales_Data!F466</f>
        <v>877.7</v>
      </c>
      <c r="M469" s="5">
        <f>Sales_Data!G466</f>
        <v>807.2</v>
      </c>
      <c r="N469" s="5" t="str">
        <f>IFERROR(INDEX(Branch_Master!$B$2:$B$9,MATCH($B469,Branch_Master!$A$2:$A$9,0)),"Not Found")</f>
        <v>Chennai</v>
      </c>
      <c r="O469" s="5" t="str">
        <f>IFERROR(INDEX(Branch_Master!$C$2:$C$9,MATCH($B469,Branch_Master!$A$2:$A$9,0)),"Not Found")</f>
        <v>Tamil Nadu</v>
      </c>
      <c r="P469" s="5">
        <f>IFERROR(INDEX(Targets!$B$2:$B$9,MATCH($B469,Targets!$A$2:$A$9,0)),0)</f>
        <v>1910000</v>
      </c>
      <c r="Q469" s="5" t="str">
        <f t="shared" si="14"/>
        <v>Yes</v>
      </c>
      <c r="R469" s="5" t="str">
        <f t="shared" si="15"/>
        <v>Jun</v>
      </c>
    </row>
    <row r="470" spans="1:18" ht="15" customHeight="1" x14ac:dyDescent="0.3">
      <c r="A470" s="5" t="str">
        <f>Sales_Data!A467</f>
        <v>2025-06-23</v>
      </c>
      <c r="B470" s="5" t="str">
        <f>Sales_Data!B467</f>
        <v>Delhi NCR</v>
      </c>
      <c r="C470" s="5" t="str">
        <f>Sales_Data!C467</f>
        <v>E031</v>
      </c>
      <c r="D470" s="5" t="str">
        <f>IFERROR(INDEX(Employee_Master!$B$2:$B$44,MATCH($C470,Employee_Master!$A$2:$A$44,0)),"Not Found")</f>
        <v>Jennifer Garcia</v>
      </c>
      <c r="E470" s="5" t="str">
        <f>IFERROR(INDEX(Employee_Master!$C$2:$C$44,MATCH($C470,Employee_Master!$A$2:$A$44,0)),"Not Found")</f>
        <v>Sales</v>
      </c>
      <c r="F470" s="5" t="str">
        <f>IFERROR(INDEX(Employee_Master!$D$2:$D$44,MATCH($C470,Employee_Master!$A$2:$A$44,0)),"Not Found")</f>
        <v>William Oconnell</v>
      </c>
      <c r="G470" s="5" t="str">
        <f>IFERROR(INDEX(Employee_Master!$E$2:$E$44,MATCH($C470,Employee_Master!$A$2:$A$44,0)),"Not Found")</f>
        <v>North</v>
      </c>
      <c r="H470" s="5" t="str">
        <f>Sales_Data!D467</f>
        <v>P022 - Face Wash</v>
      </c>
      <c r="I470" s="5" t="str">
        <f>IFERROR(INDEX(Product_Master!$B$2:$B$30,MATCH($H470,Product_Master!$A$2:$A$30,0)),"Invalid Product Code")</f>
        <v>Beauty</v>
      </c>
      <c r="J470" s="5">
        <f>IFERROR(INDEX(Product_Master!$C$2:$C$30,MATCH($H470,Product_Master!$A$2:$A$30,0)),0)</f>
        <v>396.75</v>
      </c>
      <c r="K470" s="5">
        <f>Sales_Data!E467</f>
        <v>10</v>
      </c>
      <c r="L470" s="5">
        <f>Sales_Data!F467</f>
        <v>3736.26</v>
      </c>
      <c r="M470" s="5">
        <f>Sales_Data!G467</f>
        <v>3621.83</v>
      </c>
      <c r="N470" s="5" t="str">
        <f>IFERROR(INDEX(Branch_Master!$B$2:$B$9,MATCH($B470,Branch_Master!$A$2:$A$9,0)),"Not Found")</f>
        <v>New Delhi</v>
      </c>
      <c r="O470" s="5" t="str">
        <f>IFERROR(INDEX(Branch_Master!$C$2:$C$9,MATCH($B470,Branch_Master!$A$2:$A$9,0)),"Not Found")</f>
        <v>Delhi</v>
      </c>
      <c r="P470" s="5">
        <f>IFERROR(INDEX(Targets!$B$2:$B$9,MATCH($B470,Targets!$A$2:$A$9,0)),0)</f>
        <v>2070000</v>
      </c>
      <c r="Q470" s="5" t="str">
        <f t="shared" si="14"/>
        <v>Yes</v>
      </c>
      <c r="R470" s="5" t="str">
        <f t="shared" si="15"/>
        <v>Jun</v>
      </c>
    </row>
    <row r="471" spans="1:18" ht="15" customHeight="1" x14ac:dyDescent="0.3">
      <c r="A471" s="5" t="str">
        <f>Sales_Data!A468</f>
        <v>2025-06-24</v>
      </c>
      <c r="B471" s="5" t="str">
        <f>Sales_Data!B468</f>
        <v>Chennai South</v>
      </c>
      <c r="C471" s="5" t="str">
        <f>Sales_Data!C468</f>
        <v>E015</v>
      </c>
      <c r="D471" s="5" t="str">
        <f>IFERROR(INDEX(Employee_Master!$B$2:$B$44,MATCH($C471,Employee_Master!$A$2:$A$44,0)),"Not Found")</f>
        <v>Cassandra Hansen</v>
      </c>
      <c r="E471" s="5" t="str">
        <f>IFERROR(INDEX(Employee_Master!$C$2:$C$44,MATCH($C471,Employee_Master!$A$2:$A$44,0)),"Not Found")</f>
        <v>Customer Support</v>
      </c>
      <c r="F471" s="5" t="str">
        <f>IFERROR(INDEX(Employee_Master!$D$2:$D$44,MATCH($C471,Employee_Master!$A$2:$A$44,0)),"Not Found")</f>
        <v>Robert Steele</v>
      </c>
      <c r="G471" s="5" t="str">
        <f>IFERROR(INDEX(Employee_Master!$E$2:$E$44,MATCH($C471,Employee_Master!$A$2:$A$44,0)),"Not Found")</f>
        <v>South</v>
      </c>
      <c r="H471" s="5" t="str">
        <f>Sales_Data!D468</f>
        <v>P018 - Cooking Oil 1L</v>
      </c>
      <c r="I471" s="5" t="str">
        <f>IFERROR(INDEX(Product_Master!$B$2:$B$30,MATCH($H471,Product_Master!$A$2:$A$30,0)),"Invalid Product Code")</f>
        <v>Grocery</v>
      </c>
      <c r="J471" s="5">
        <f>IFERROR(INDEX(Product_Master!$C$2:$C$30,MATCH($H471,Product_Master!$A$2:$A$30,0)),0)</f>
        <v>1483.63</v>
      </c>
      <c r="K471" s="5">
        <f>Sales_Data!E468</f>
        <v>2</v>
      </c>
      <c r="L471" s="5">
        <f>Sales_Data!F468</f>
        <v>3109.98</v>
      </c>
      <c r="M471" s="5">
        <f>Sales_Data!G468</f>
        <v>3292.99</v>
      </c>
      <c r="N471" s="5" t="str">
        <f>IFERROR(INDEX(Branch_Master!$B$2:$B$9,MATCH($B471,Branch_Master!$A$2:$A$9,0)),"Not Found")</f>
        <v>Chennai</v>
      </c>
      <c r="O471" s="5" t="str">
        <f>IFERROR(INDEX(Branch_Master!$C$2:$C$9,MATCH($B471,Branch_Master!$A$2:$A$9,0)),"Not Found")</f>
        <v>Tamil Nadu</v>
      </c>
      <c r="P471" s="5">
        <f>IFERROR(INDEX(Targets!$B$2:$B$9,MATCH($B471,Targets!$A$2:$A$9,0)),0)</f>
        <v>1910000</v>
      </c>
      <c r="Q471" s="5" t="str">
        <f t="shared" si="14"/>
        <v>No</v>
      </c>
      <c r="R471" s="5" t="str">
        <f t="shared" si="15"/>
        <v>Jun</v>
      </c>
    </row>
    <row r="472" spans="1:18" ht="15" customHeight="1" x14ac:dyDescent="0.3">
      <c r="A472" s="5" t="str">
        <f>Sales_Data!A469</f>
        <v>2025-06-25</v>
      </c>
      <c r="B472" s="5" t="str">
        <f>Sales_Data!B469</f>
        <v>Hyderabad Hitech</v>
      </c>
      <c r="C472" s="5" t="str">
        <f>Sales_Data!C469</f>
        <v>E020</v>
      </c>
      <c r="D472" s="5" t="str">
        <f>IFERROR(INDEX(Employee_Master!$B$2:$B$44,MATCH($C472,Employee_Master!$A$2:$A$44,0)),"Not Found")</f>
        <v>Christine Long</v>
      </c>
      <c r="E472" s="5" t="str">
        <f>IFERROR(INDEX(Employee_Master!$C$2:$C$44,MATCH($C472,Employee_Master!$A$2:$A$44,0)),"Not Found")</f>
        <v>Operations</v>
      </c>
      <c r="F472" s="5" t="str">
        <f>IFERROR(INDEX(Employee_Master!$D$2:$D$44,MATCH($C472,Employee_Master!$A$2:$A$44,0)),"Not Found")</f>
        <v>Anna Turner</v>
      </c>
      <c r="G472" s="5" t="str">
        <f>IFERROR(INDEX(Employee_Master!$E$2:$E$44,MATCH($C472,Employee_Master!$A$2:$A$44,0)),"Not Found")</f>
        <v>South</v>
      </c>
      <c r="H472" s="5" t="str">
        <f>Sales_Data!D469</f>
        <v>P024 - Hair Serum</v>
      </c>
      <c r="I472" s="5" t="str">
        <f>IFERROR(INDEX(Product_Master!$B$2:$B$30,MATCH($H472,Product_Master!$A$2:$A$30,0)),"Invalid Product Code")</f>
        <v>Beauty</v>
      </c>
      <c r="J472" s="5">
        <f>IFERROR(INDEX(Product_Master!$C$2:$C$30,MATCH($H472,Product_Master!$A$2:$A$30,0)),0)</f>
        <v>1457.31</v>
      </c>
      <c r="K472" s="5">
        <f>Sales_Data!E469</f>
        <v>10</v>
      </c>
      <c r="L472" s="5">
        <f>Sales_Data!F469</f>
        <v>14648.93</v>
      </c>
      <c r="M472" s="5">
        <f>Sales_Data!G469</f>
        <v>13396.13</v>
      </c>
      <c r="N472" s="5" t="str">
        <f>IFERROR(INDEX(Branch_Master!$B$2:$B$9,MATCH($B472,Branch_Master!$A$2:$A$9,0)),"Not Found")</f>
        <v>Hyderabad</v>
      </c>
      <c r="O472" s="5" t="str">
        <f>IFERROR(INDEX(Branch_Master!$C$2:$C$9,MATCH($B472,Branch_Master!$A$2:$A$9,0)),"Not Found")</f>
        <v>Telangana</v>
      </c>
      <c r="P472" s="5">
        <f>IFERROR(INDEX(Targets!$B$2:$B$9,MATCH($B472,Targets!$A$2:$A$9,0)),0)</f>
        <v>1210000</v>
      </c>
      <c r="Q472" s="5" t="str">
        <f t="shared" si="14"/>
        <v>Yes</v>
      </c>
      <c r="R472" s="5" t="str">
        <f t="shared" si="15"/>
        <v>Jun</v>
      </c>
    </row>
    <row r="473" spans="1:18" ht="15" customHeight="1" x14ac:dyDescent="0.3">
      <c r="A473" s="5" t="str">
        <f>Sales_Data!A470</f>
        <v>2025-06-25</v>
      </c>
      <c r="B473" s="5" t="str">
        <f>Sales_Data!B470</f>
        <v>Bangalore North</v>
      </c>
      <c r="C473" s="5" t="str">
        <f>Sales_Data!C470</f>
        <v>E038</v>
      </c>
      <c r="D473" s="5" t="str">
        <f>IFERROR(INDEX(Employee_Master!$B$2:$B$44,MATCH($C473,Employee_Master!$A$2:$A$44,0)),"Not Found")</f>
        <v>Derrick Griffin</v>
      </c>
      <c r="E473" s="5" t="str">
        <f>IFERROR(INDEX(Employee_Master!$C$2:$C$44,MATCH($C473,Employee_Master!$A$2:$A$44,0)),"Not Found")</f>
        <v>Marketing</v>
      </c>
      <c r="F473" s="5" t="str">
        <f>IFERROR(INDEX(Employee_Master!$D$2:$D$44,MATCH($C473,Employee_Master!$A$2:$A$44,0)),"Not Found")</f>
        <v>Jose Soto</v>
      </c>
      <c r="G473" s="5" t="str">
        <f>IFERROR(INDEX(Employee_Master!$E$2:$E$44,MATCH($C473,Employee_Master!$A$2:$A$44,0)),"Not Found")</f>
        <v>South</v>
      </c>
      <c r="H473" s="5" t="str">
        <f>Sales_Data!D470</f>
        <v>P028 - Football</v>
      </c>
      <c r="I473" s="5" t="str">
        <f>IFERROR(INDEX(Product_Master!$B$2:$B$30,MATCH($H473,Product_Master!$A$2:$A$30,0)),"Invalid Product Code")</f>
        <v>Sports</v>
      </c>
      <c r="J473" s="5">
        <f>IFERROR(INDEX(Product_Master!$C$2:$C$30,MATCH($H473,Product_Master!$A$2:$A$30,0)),0)</f>
        <v>314.25</v>
      </c>
      <c r="K473" s="5">
        <f>Sales_Data!E470</f>
        <v>7</v>
      </c>
      <c r="L473" s="5">
        <f>Sales_Data!F470</f>
        <v>2391.3200000000002</v>
      </c>
      <c r="M473" s="5">
        <f>Sales_Data!G470</f>
        <v>2010.56</v>
      </c>
      <c r="N473" s="5" t="str">
        <f>IFERROR(INDEX(Branch_Master!$B$2:$B$9,MATCH($B473,Branch_Master!$A$2:$A$9,0)),"Not Found")</f>
        <v>Bangalore</v>
      </c>
      <c r="O473" s="5" t="str">
        <f>IFERROR(INDEX(Branch_Master!$C$2:$C$9,MATCH($B473,Branch_Master!$A$2:$A$9,0)),"Not Found")</f>
        <v>Karnataka</v>
      </c>
      <c r="P473" s="5">
        <f>IFERROR(INDEX(Targets!$B$2:$B$9,MATCH($B473,Targets!$A$2:$A$9,0)),0)</f>
        <v>900000</v>
      </c>
      <c r="Q473" s="5" t="str">
        <f t="shared" si="14"/>
        <v>Yes</v>
      </c>
      <c r="R473" s="5" t="str">
        <f t="shared" si="15"/>
        <v>Jun</v>
      </c>
    </row>
    <row r="474" spans="1:18" ht="15" customHeight="1" x14ac:dyDescent="0.3">
      <c r="A474" s="5" t="str">
        <f>Sales_Data!A471</f>
        <v>2025-06-25</v>
      </c>
      <c r="B474" s="5" t="str">
        <f>Sales_Data!B471</f>
        <v>Pune East</v>
      </c>
      <c r="C474" s="5" t="str">
        <f>Sales_Data!C471</f>
        <v>E023</v>
      </c>
      <c r="D474" s="5" t="str">
        <f>IFERROR(INDEX(Employee_Master!$B$2:$B$44,MATCH($C474,Employee_Master!$A$2:$A$44,0)),"Not Found")</f>
        <v>Edward Jones</v>
      </c>
      <c r="E474" s="5" t="str">
        <f>IFERROR(INDEX(Employee_Master!$C$2:$C$44,MATCH($C474,Employee_Master!$A$2:$A$44,0)),"Not Found")</f>
        <v>Operations</v>
      </c>
      <c r="F474" s="5" t="str">
        <f>IFERROR(INDEX(Employee_Master!$D$2:$D$44,MATCH($C474,Employee_Master!$A$2:$A$44,0)),"Not Found")</f>
        <v>Jordan Matthews</v>
      </c>
      <c r="G474" s="5" t="str">
        <f>IFERROR(INDEX(Employee_Master!$E$2:$E$44,MATCH($C474,Employee_Master!$A$2:$A$44,0)),"Not Found")</f>
        <v>West</v>
      </c>
      <c r="H474" s="5" t="str">
        <f>Sales_Data!D471</f>
        <v>P028 - Football</v>
      </c>
      <c r="I474" s="5" t="str">
        <f>IFERROR(INDEX(Product_Master!$B$2:$B$30,MATCH($H474,Product_Master!$A$2:$A$30,0)),"Invalid Product Code")</f>
        <v>Sports</v>
      </c>
      <c r="J474" s="5">
        <f>IFERROR(INDEX(Product_Master!$C$2:$C$30,MATCH($H474,Product_Master!$A$2:$A$30,0)),0)</f>
        <v>314.25</v>
      </c>
      <c r="K474" s="5">
        <f>Sales_Data!E471</f>
        <v>4</v>
      </c>
      <c r="L474" s="5">
        <f>Sales_Data!F471</f>
        <v>1231.72</v>
      </c>
      <c r="M474" s="5">
        <f>Sales_Data!G471</f>
        <v>1150.44</v>
      </c>
      <c r="N474" s="5" t="str">
        <f>IFERROR(INDEX(Branch_Master!$B$2:$B$9,MATCH($B474,Branch_Master!$A$2:$A$9,0)),"Not Found")</f>
        <v>Pune</v>
      </c>
      <c r="O474" s="5" t="str">
        <f>IFERROR(INDEX(Branch_Master!$C$2:$C$9,MATCH($B474,Branch_Master!$A$2:$A$9,0)),"Not Found")</f>
        <v>Maharashtra</v>
      </c>
      <c r="P474" s="5">
        <f>IFERROR(INDEX(Targets!$B$2:$B$9,MATCH($B474,Targets!$A$2:$A$9,0)),0)</f>
        <v>1250000</v>
      </c>
      <c r="Q474" s="5" t="str">
        <f t="shared" si="14"/>
        <v>Yes</v>
      </c>
      <c r="R474" s="5" t="str">
        <f t="shared" si="15"/>
        <v>Jun</v>
      </c>
    </row>
    <row r="475" spans="1:18" ht="15" customHeight="1" x14ac:dyDescent="0.3">
      <c r="A475" s="5" t="str">
        <f>Sales_Data!A472</f>
        <v>2025-06-26</v>
      </c>
      <c r="B475" s="5" t="str">
        <f>Sales_Data!B472</f>
        <v>Pune East</v>
      </c>
      <c r="C475" s="5" t="str">
        <f>Sales_Data!C472</f>
        <v>E023</v>
      </c>
      <c r="D475" s="5" t="str">
        <f>IFERROR(INDEX(Employee_Master!$B$2:$B$44,MATCH($C475,Employee_Master!$A$2:$A$44,0)),"Not Found")</f>
        <v>Edward Jones</v>
      </c>
      <c r="E475" s="5" t="str">
        <f>IFERROR(INDEX(Employee_Master!$C$2:$C$44,MATCH($C475,Employee_Master!$A$2:$A$44,0)),"Not Found")</f>
        <v>Operations</v>
      </c>
      <c r="F475" s="5" t="str">
        <f>IFERROR(INDEX(Employee_Master!$D$2:$D$44,MATCH($C475,Employee_Master!$A$2:$A$44,0)),"Not Found")</f>
        <v>Jordan Matthews</v>
      </c>
      <c r="G475" s="5" t="str">
        <f>IFERROR(INDEX(Employee_Master!$E$2:$E$44,MATCH($C475,Employee_Master!$A$2:$A$44,0)),"Not Found")</f>
        <v>West</v>
      </c>
      <c r="H475" s="5" t="str">
        <f>Sales_Data!D472</f>
        <v>P022 - Face Wash</v>
      </c>
      <c r="I475" s="5" t="str">
        <f>IFERROR(INDEX(Product_Master!$B$2:$B$30,MATCH($H475,Product_Master!$A$2:$A$30,0)),"Invalid Product Code")</f>
        <v>Beauty</v>
      </c>
      <c r="J475" s="5">
        <f>IFERROR(INDEX(Product_Master!$C$2:$C$30,MATCH($H475,Product_Master!$A$2:$A$30,0)),0)</f>
        <v>396.75</v>
      </c>
      <c r="K475" s="5">
        <f>Sales_Data!E472</f>
        <v>11</v>
      </c>
      <c r="L475" s="5">
        <f>Sales_Data!F472</f>
        <v>4563.71</v>
      </c>
      <c r="M475" s="5">
        <f>Sales_Data!G472</f>
        <v>4867.01</v>
      </c>
      <c r="N475" s="5" t="str">
        <f>IFERROR(INDEX(Branch_Master!$B$2:$B$9,MATCH($B475,Branch_Master!$A$2:$A$9,0)),"Not Found")</f>
        <v>Pune</v>
      </c>
      <c r="O475" s="5" t="str">
        <f>IFERROR(INDEX(Branch_Master!$C$2:$C$9,MATCH($B475,Branch_Master!$A$2:$A$9,0)),"Not Found")</f>
        <v>Maharashtra</v>
      </c>
      <c r="P475" s="5">
        <f>IFERROR(INDEX(Targets!$B$2:$B$9,MATCH($B475,Targets!$A$2:$A$9,0)),0)</f>
        <v>1250000</v>
      </c>
      <c r="Q475" s="5" t="str">
        <f t="shared" si="14"/>
        <v>No</v>
      </c>
      <c r="R475" s="5" t="str">
        <f t="shared" si="15"/>
        <v>Jun</v>
      </c>
    </row>
    <row r="476" spans="1:18" ht="15" customHeight="1" x14ac:dyDescent="0.3">
      <c r="A476" s="5" t="str">
        <f>Sales_Data!A473</f>
        <v>2025-06-26</v>
      </c>
      <c r="B476" s="5" t="str">
        <f>Sales_Data!B473</f>
        <v>Mumbai Central</v>
      </c>
      <c r="C476" s="5" t="str">
        <f>Sales_Data!C473</f>
        <v>E010</v>
      </c>
      <c r="D476" s="5" t="str">
        <f>IFERROR(INDEX(Employee_Master!$B$2:$B$44,MATCH($C476,Employee_Master!$A$2:$A$44,0)),"Not Found")</f>
        <v>William Sanders</v>
      </c>
      <c r="E476" s="5" t="str">
        <f>IFERROR(INDEX(Employee_Master!$C$2:$C$44,MATCH($C476,Employee_Master!$A$2:$A$44,0)),"Not Found")</f>
        <v>Sales</v>
      </c>
      <c r="F476" s="5" t="str">
        <f>IFERROR(INDEX(Employee_Master!$D$2:$D$44,MATCH($C476,Employee_Master!$A$2:$A$44,0)),"Not Found")</f>
        <v>Justin Glass</v>
      </c>
      <c r="G476" s="5" t="str">
        <f>IFERROR(INDEX(Employee_Master!$E$2:$E$44,MATCH($C476,Employee_Master!$A$2:$A$44,0)),"Not Found")</f>
        <v>West</v>
      </c>
      <c r="H476" s="5" t="str">
        <f>Sales_Data!D473</f>
        <v>P026 - Yoga Mat</v>
      </c>
      <c r="I476" s="5" t="str">
        <f>IFERROR(INDEX(Product_Master!$B$2:$B$30,MATCH($H476,Product_Master!$A$2:$A$30,0)),"Invalid Product Code")</f>
        <v>Sports</v>
      </c>
      <c r="J476" s="5">
        <f>IFERROR(INDEX(Product_Master!$C$2:$C$30,MATCH($H476,Product_Master!$A$2:$A$30,0)),0)</f>
        <v>518.76</v>
      </c>
      <c r="K476" s="5">
        <f>Sales_Data!E473</f>
        <v>4</v>
      </c>
      <c r="L476" s="5">
        <f>Sales_Data!F473</f>
        <v>2130.79</v>
      </c>
      <c r="M476" s="5">
        <f>Sales_Data!G473</f>
        <v>2224.58</v>
      </c>
      <c r="N476" s="5" t="str">
        <f>IFERROR(INDEX(Branch_Master!$B$2:$B$9,MATCH($B476,Branch_Master!$A$2:$A$9,0)),"Not Found")</f>
        <v>Mumbai</v>
      </c>
      <c r="O476" s="5" t="str">
        <f>IFERROR(INDEX(Branch_Master!$C$2:$C$9,MATCH($B476,Branch_Master!$A$2:$A$9,0)),"Not Found")</f>
        <v>Maharashtra</v>
      </c>
      <c r="P476" s="5">
        <f>IFERROR(INDEX(Targets!$B$2:$B$9,MATCH($B476,Targets!$A$2:$A$9,0)),0)</f>
        <v>900000</v>
      </c>
      <c r="Q476" s="5" t="str">
        <f t="shared" si="14"/>
        <v>No</v>
      </c>
      <c r="R476" s="5" t="str">
        <f t="shared" si="15"/>
        <v>Jun</v>
      </c>
    </row>
    <row r="477" spans="1:18" ht="15" customHeight="1" x14ac:dyDescent="0.3">
      <c r="A477" s="5" t="str">
        <f>Sales_Data!A474</f>
        <v>2025-06-26</v>
      </c>
      <c r="B477" s="5" t="str">
        <f>Sales_Data!B474</f>
        <v>Delhi NCR</v>
      </c>
      <c r="C477" s="5" t="str">
        <f>Sales_Data!C474</f>
        <v>E031</v>
      </c>
      <c r="D477" s="5" t="str">
        <f>IFERROR(INDEX(Employee_Master!$B$2:$B$44,MATCH($C477,Employee_Master!$A$2:$A$44,0)),"Not Found")</f>
        <v>Jennifer Garcia</v>
      </c>
      <c r="E477" s="5" t="str">
        <f>IFERROR(INDEX(Employee_Master!$C$2:$C$44,MATCH($C477,Employee_Master!$A$2:$A$44,0)),"Not Found")</f>
        <v>Sales</v>
      </c>
      <c r="F477" s="5" t="str">
        <f>IFERROR(INDEX(Employee_Master!$D$2:$D$44,MATCH($C477,Employee_Master!$A$2:$A$44,0)),"Not Found")</f>
        <v>William Oconnell</v>
      </c>
      <c r="G477" s="5" t="str">
        <f>IFERROR(INDEX(Employee_Master!$E$2:$E$44,MATCH($C477,Employee_Master!$A$2:$A$44,0)),"Not Found")</f>
        <v>North</v>
      </c>
      <c r="H477" s="5" t="str">
        <f>Sales_Data!D474</f>
        <v>P007 - Cotton T-Shirt</v>
      </c>
      <c r="I477" s="5" t="str">
        <f>IFERROR(INDEX(Product_Master!$B$2:$B$30,MATCH($H477,Product_Master!$A$2:$A$30,0)),"Invalid Product Code")</f>
        <v>Apparel</v>
      </c>
      <c r="J477" s="5">
        <f>IFERROR(INDEX(Product_Master!$C$2:$C$30,MATCH($H477,Product_Master!$A$2:$A$30,0)),0)</f>
        <v>338.44</v>
      </c>
      <c r="K477" s="5">
        <f>Sales_Data!E474</f>
        <v>1</v>
      </c>
      <c r="L477" s="5">
        <f>Sales_Data!F474</f>
        <v>371.93</v>
      </c>
      <c r="M477" s="5">
        <f>Sales_Data!G474</f>
        <v>357.9</v>
      </c>
      <c r="N477" s="5" t="str">
        <f>IFERROR(INDEX(Branch_Master!$B$2:$B$9,MATCH($B477,Branch_Master!$A$2:$A$9,0)),"Not Found")</f>
        <v>New Delhi</v>
      </c>
      <c r="O477" s="5" t="str">
        <f>IFERROR(INDEX(Branch_Master!$C$2:$C$9,MATCH($B477,Branch_Master!$A$2:$A$9,0)),"Not Found")</f>
        <v>Delhi</v>
      </c>
      <c r="P477" s="5">
        <f>IFERROR(INDEX(Targets!$B$2:$B$9,MATCH($B477,Targets!$A$2:$A$9,0)),0)</f>
        <v>2070000</v>
      </c>
      <c r="Q477" s="5" t="str">
        <f t="shared" si="14"/>
        <v>Yes</v>
      </c>
      <c r="R477" s="5" t="str">
        <f t="shared" si="15"/>
        <v>Jun</v>
      </c>
    </row>
    <row r="478" spans="1:18" ht="15" customHeight="1" x14ac:dyDescent="0.3">
      <c r="A478" s="5" t="str">
        <f>Sales_Data!A475</f>
        <v>2025-06-26</v>
      </c>
      <c r="B478" s="5" t="str">
        <f>Sales_Data!B475</f>
        <v>Mumbai Central</v>
      </c>
      <c r="C478" s="5" t="str">
        <f>Sales_Data!C475</f>
        <v>E027</v>
      </c>
      <c r="D478" s="5" t="str">
        <f>IFERROR(INDEX(Employee_Master!$B$2:$B$44,MATCH($C478,Employee_Master!$A$2:$A$44,0)),"Not Found")</f>
        <v>Catherine Moore</v>
      </c>
      <c r="E478" s="5" t="str">
        <f>IFERROR(INDEX(Employee_Master!$C$2:$C$44,MATCH($C478,Employee_Master!$A$2:$A$44,0)),"Not Found")</f>
        <v>Customer Support</v>
      </c>
      <c r="F478" s="5" t="str">
        <f>IFERROR(INDEX(Employee_Master!$D$2:$D$44,MATCH($C478,Employee_Master!$A$2:$A$44,0)),"Not Found")</f>
        <v>Justin Glass</v>
      </c>
      <c r="G478" s="5" t="str">
        <f>IFERROR(INDEX(Employee_Master!$E$2:$E$44,MATCH($C478,Employee_Master!$A$2:$A$44,0)),"Not Found")</f>
        <v>West</v>
      </c>
      <c r="H478" s="5" t="str">
        <f>Sales_Data!D475</f>
        <v>P013 - Mixer Grinder</v>
      </c>
      <c r="I478" s="5" t="str">
        <f>IFERROR(INDEX(Product_Master!$B$2:$B$30,MATCH($H478,Product_Master!$A$2:$A$30,0)),"Invalid Product Code")</f>
        <v>Home &amp; Kitchen</v>
      </c>
      <c r="J478" s="5">
        <f>IFERROR(INDEX(Product_Master!$C$2:$C$30,MATCH($H478,Product_Master!$A$2:$A$30,0)),0)</f>
        <v>798.53</v>
      </c>
      <c r="K478" s="5">
        <f>Sales_Data!E475</f>
        <v>2</v>
      </c>
      <c r="L478" s="5">
        <f>Sales_Data!F475</f>
        <v>1560.83</v>
      </c>
      <c r="M478" s="5">
        <f>Sales_Data!G475</f>
        <v>1763.05</v>
      </c>
      <c r="N478" s="5" t="str">
        <f>IFERROR(INDEX(Branch_Master!$B$2:$B$9,MATCH($B478,Branch_Master!$A$2:$A$9,0)),"Not Found")</f>
        <v>Mumbai</v>
      </c>
      <c r="O478" s="5" t="str">
        <f>IFERROR(INDEX(Branch_Master!$C$2:$C$9,MATCH($B478,Branch_Master!$A$2:$A$9,0)),"Not Found")</f>
        <v>Maharashtra</v>
      </c>
      <c r="P478" s="5">
        <f>IFERROR(INDEX(Targets!$B$2:$B$9,MATCH($B478,Targets!$A$2:$A$9,0)),0)</f>
        <v>900000</v>
      </c>
      <c r="Q478" s="5" t="str">
        <f t="shared" si="14"/>
        <v>No</v>
      </c>
      <c r="R478" s="5" t="str">
        <f t="shared" si="15"/>
        <v>Jun</v>
      </c>
    </row>
    <row r="479" spans="1:18" ht="15" customHeight="1" x14ac:dyDescent="0.3">
      <c r="A479" s="5" t="str">
        <f>Sales_Data!A476</f>
        <v>2025-06-27</v>
      </c>
      <c r="B479" s="5" t="str">
        <f>Sales_Data!B476</f>
        <v>Bangalore North</v>
      </c>
      <c r="C479" s="5" t="str">
        <f>Sales_Data!C476</f>
        <v>E038</v>
      </c>
      <c r="D479" s="5" t="str">
        <f>IFERROR(INDEX(Employee_Master!$B$2:$B$44,MATCH($C479,Employee_Master!$A$2:$A$44,0)),"Not Found")</f>
        <v>Derrick Griffin</v>
      </c>
      <c r="E479" s="5" t="str">
        <f>IFERROR(INDEX(Employee_Master!$C$2:$C$44,MATCH($C479,Employee_Master!$A$2:$A$44,0)),"Not Found")</f>
        <v>Marketing</v>
      </c>
      <c r="F479" s="5" t="str">
        <f>IFERROR(INDEX(Employee_Master!$D$2:$D$44,MATCH($C479,Employee_Master!$A$2:$A$44,0)),"Not Found")</f>
        <v>Jose Soto</v>
      </c>
      <c r="G479" s="5" t="str">
        <f>IFERROR(INDEX(Employee_Master!$E$2:$E$44,MATCH($C479,Employee_Master!$A$2:$A$44,0)),"Not Found")</f>
        <v>South</v>
      </c>
      <c r="H479" s="5" t="str">
        <f>Sales_Data!D476</f>
        <v>P028 - Football</v>
      </c>
      <c r="I479" s="5" t="str">
        <f>IFERROR(INDEX(Product_Master!$B$2:$B$30,MATCH($H479,Product_Master!$A$2:$A$30,0)),"Invalid Product Code")</f>
        <v>Sports</v>
      </c>
      <c r="J479" s="5">
        <f>IFERROR(INDEX(Product_Master!$C$2:$C$30,MATCH($H479,Product_Master!$A$2:$A$30,0)),0)</f>
        <v>314.25</v>
      </c>
      <c r="K479" s="5">
        <f>Sales_Data!E476</f>
        <v>12</v>
      </c>
      <c r="L479" s="5">
        <f>Sales_Data!F476</f>
        <v>4077.38</v>
      </c>
      <c r="M479" s="5">
        <f>Sales_Data!G476</f>
        <v>3304.01</v>
      </c>
      <c r="N479" s="5" t="str">
        <f>IFERROR(INDEX(Branch_Master!$B$2:$B$9,MATCH($B479,Branch_Master!$A$2:$A$9,0)),"Not Found")</f>
        <v>Bangalore</v>
      </c>
      <c r="O479" s="5" t="str">
        <f>IFERROR(INDEX(Branch_Master!$C$2:$C$9,MATCH($B479,Branch_Master!$A$2:$A$9,0)),"Not Found")</f>
        <v>Karnataka</v>
      </c>
      <c r="P479" s="5">
        <f>IFERROR(INDEX(Targets!$B$2:$B$9,MATCH($B479,Targets!$A$2:$A$9,0)),0)</f>
        <v>900000</v>
      </c>
      <c r="Q479" s="5" t="str">
        <f t="shared" si="14"/>
        <v>Yes</v>
      </c>
      <c r="R479" s="5" t="str">
        <f t="shared" si="15"/>
        <v>Jun</v>
      </c>
    </row>
    <row r="480" spans="1:18" ht="15" customHeight="1" x14ac:dyDescent="0.3">
      <c r="A480" s="5" t="str">
        <f>Sales_Data!A477</f>
        <v>2025-06-27</v>
      </c>
      <c r="B480" s="5" t="str">
        <f>Sales_Data!B477</f>
        <v>Hyderabad Hitech</v>
      </c>
      <c r="C480" s="5" t="str">
        <f>Sales_Data!C477</f>
        <v>E020</v>
      </c>
      <c r="D480" s="5" t="str">
        <f>IFERROR(INDEX(Employee_Master!$B$2:$B$44,MATCH($C480,Employee_Master!$A$2:$A$44,0)),"Not Found")</f>
        <v>Christine Long</v>
      </c>
      <c r="E480" s="5" t="str">
        <f>IFERROR(INDEX(Employee_Master!$C$2:$C$44,MATCH($C480,Employee_Master!$A$2:$A$44,0)),"Not Found")</f>
        <v>Operations</v>
      </c>
      <c r="F480" s="5" t="str">
        <f>IFERROR(INDEX(Employee_Master!$D$2:$D$44,MATCH($C480,Employee_Master!$A$2:$A$44,0)),"Not Found")</f>
        <v>Anna Turner</v>
      </c>
      <c r="G480" s="5" t="str">
        <f>IFERROR(INDEX(Employee_Master!$E$2:$E$44,MATCH($C480,Employee_Master!$A$2:$A$44,0)),"Not Found")</f>
        <v>South</v>
      </c>
      <c r="H480" s="5" t="str">
        <f>Sales_Data!D477</f>
        <v>P004 - Power Bank</v>
      </c>
      <c r="I480" s="5" t="str">
        <f>IFERROR(INDEX(Product_Master!$B$2:$B$30,MATCH($H480,Product_Master!$A$2:$A$30,0)),"Invalid Product Code")</f>
        <v>Electronics</v>
      </c>
      <c r="J480" s="5">
        <f>IFERROR(INDEX(Product_Master!$C$2:$C$30,MATCH($H480,Product_Master!$A$2:$A$30,0)),0)</f>
        <v>76.91</v>
      </c>
      <c r="K480" s="5">
        <f>Sales_Data!E477</f>
        <v>7</v>
      </c>
      <c r="L480" s="5">
        <f>Sales_Data!F477</f>
        <v>504.1</v>
      </c>
      <c r="M480" s="5">
        <f>Sales_Data!G477</f>
        <v>520.38</v>
      </c>
      <c r="N480" s="5" t="str">
        <f>IFERROR(INDEX(Branch_Master!$B$2:$B$9,MATCH($B480,Branch_Master!$A$2:$A$9,0)),"Not Found")</f>
        <v>Hyderabad</v>
      </c>
      <c r="O480" s="5" t="str">
        <f>IFERROR(INDEX(Branch_Master!$C$2:$C$9,MATCH($B480,Branch_Master!$A$2:$A$9,0)),"Not Found")</f>
        <v>Telangana</v>
      </c>
      <c r="P480" s="5">
        <f>IFERROR(INDEX(Targets!$B$2:$B$9,MATCH($B480,Targets!$A$2:$A$9,0)),0)</f>
        <v>1210000</v>
      </c>
      <c r="Q480" s="5" t="str">
        <f t="shared" si="14"/>
        <v>No</v>
      </c>
      <c r="R480" s="5" t="str">
        <f t="shared" si="15"/>
        <v>Jun</v>
      </c>
    </row>
    <row r="481" spans="1:18" ht="15" customHeight="1" x14ac:dyDescent="0.3">
      <c r="A481" s="5" t="str">
        <f>Sales_Data!A478</f>
        <v>2025-06-27</v>
      </c>
      <c r="B481" s="5" t="str">
        <f>Sales_Data!B478</f>
        <v>Pune East</v>
      </c>
      <c r="C481" s="5" t="str">
        <f>Sales_Data!C478</f>
        <v>E034</v>
      </c>
      <c r="D481" s="5" t="str">
        <f>IFERROR(INDEX(Employee_Master!$B$2:$B$44,MATCH($C481,Employee_Master!$A$2:$A$44,0)),"Not Found")</f>
        <v>Elaine Thompson</v>
      </c>
      <c r="E481" s="5" t="str">
        <f>IFERROR(INDEX(Employee_Master!$C$2:$C$44,MATCH($C481,Employee_Master!$A$2:$A$44,0)),"Not Found")</f>
        <v>Marketing</v>
      </c>
      <c r="F481" s="5" t="str">
        <f>IFERROR(INDEX(Employee_Master!$D$2:$D$44,MATCH($C481,Employee_Master!$A$2:$A$44,0)),"Not Found")</f>
        <v>Jordan Matthews</v>
      </c>
      <c r="G481" s="5" t="str">
        <f>IFERROR(INDEX(Employee_Master!$E$2:$E$44,MATCH($C481,Employee_Master!$A$2:$A$44,0)),"Not Found")</f>
        <v>West</v>
      </c>
      <c r="H481" s="5" t="str">
        <f>Sales_Data!D478</f>
        <v>P013 - Mixer Grinder</v>
      </c>
      <c r="I481" s="5" t="str">
        <f>IFERROR(INDEX(Product_Master!$B$2:$B$30,MATCH($H481,Product_Master!$A$2:$A$30,0)),"Invalid Product Code")</f>
        <v>Home &amp; Kitchen</v>
      </c>
      <c r="J481" s="5">
        <f>IFERROR(INDEX(Product_Master!$C$2:$C$30,MATCH($H481,Product_Master!$A$2:$A$30,0)),0)</f>
        <v>798.53</v>
      </c>
      <c r="K481" s="5">
        <f>Sales_Data!E478</f>
        <v>6</v>
      </c>
      <c r="L481" s="5">
        <f>Sales_Data!F478</f>
        <v>4400.0600000000004</v>
      </c>
      <c r="M481" s="5">
        <f>Sales_Data!G478</f>
        <v>4958.04</v>
      </c>
      <c r="N481" s="5" t="str">
        <f>IFERROR(INDEX(Branch_Master!$B$2:$B$9,MATCH($B481,Branch_Master!$A$2:$A$9,0)),"Not Found")</f>
        <v>Pune</v>
      </c>
      <c r="O481" s="5" t="str">
        <f>IFERROR(INDEX(Branch_Master!$C$2:$C$9,MATCH($B481,Branch_Master!$A$2:$A$9,0)),"Not Found")</f>
        <v>Maharashtra</v>
      </c>
      <c r="P481" s="5">
        <f>IFERROR(INDEX(Targets!$B$2:$B$9,MATCH($B481,Targets!$A$2:$A$9,0)),0)</f>
        <v>1250000</v>
      </c>
      <c r="Q481" s="5" t="str">
        <f t="shared" si="14"/>
        <v>No</v>
      </c>
      <c r="R481" s="5" t="str">
        <f t="shared" si="15"/>
        <v>Jun</v>
      </c>
    </row>
    <row r="482" spans="1:18" ht="15" customHeight="1" x14ac:dyDescent="0.3">
      <c r="A482" s="5" t="str">
        <f>Sales_Data!A479</f>
        <v>2025-06-27</v>
      </c>
      <c r="B482" s="5" t="str">
        <f>Sales_Data!B479</f>
        <v>Mumbai Central</v>
      </c>
      <c r="C482" s="5" t="str">
        <f>Sales_Data!C479</f>
        <v>E016</v>
      </c>
      <c r="D482" s="5" t="str">
        <f>IFERROR(INDEX(Employee_Master!$B$2:$B$44,MATCH($C482,Employee_Master!$A$2:$A$44,0)),"Not Found")</f>
        <v>Connor Dennis</v>
      </c>
      <c r="E482" s="5" t="str">
        <f>IFERROR(INDEX(Employee_Master!$C$2:$C$44,MATCH($C482,Employee_Master!$A$2:$A$44,0)),"Not Found")</f>
        <v>Sales</v>
      </c>
      <c r="F482" s="5" t="str">
        <f>IFERROR(INDEX(Employee_Master!$D$2:$D$44,MATCH($C482,Employee_Master!$A$2:$A$44,0)),"Not Found")</f>
        <v>Justin Glass</v>
      </c>
      <c r="G482" s="5" t="str">
        <f>IFERROR(INDEX(Employee_Master!$E$2:$E$44,MATCH($C482,Employee_Master!$A$2:$A$44,0)),"Not Found")</f>
        <v>West</v>
      </c>
      <c r="H482" s="5" t="str">
        <f>Sales_Data!D479</f>
        <v>P020 - Green Tea Pack</v>
      </c>
      <c r="I482" s="5" t="str">
        <f>IFERROR(INDEX(Product_Master!$B$2:$B$30,MATCH($H482,Product_Master!$A$2:$A$30,0)),"Invalid Product Code")</f>
        <v>Grocery</v>
      </c>
      <c r="J482" s="5">
        <f>IFERROR(INDEX(Product_Master!$C$2:$C$30,MATCH($H482,Product_Master!$A$2:$A$30,0)),0)</f>
        <v>305.39</v>
      </c>
      <c r="K482" s="5">
        <f>Sales_Data!E479</f>
        <v>8</v>
      </c>
      <c r="L482" s="5">
        <f>Sales_Data!F479</f>
        <v>2501.63</v>
      </c>
      <c r="M482" s="5">
        <f>Sales_Data!G479</f>
        <v>2780.11</v>
      </c>
      <c r="N482" s="5" t="str">
        <f>IFERROR(INDEX(Branch_Master!$B$2:$B$9,MATCH($B482,Branch_Master!$A$2:$A$9,0)),"Not Found")</f>
        <v>Mumbai</v>
      </c>
      <c r="O482" s="5" t="str">
        <f>IFERROR(INDEX(Branch_Master!$C$2:$C$9,MATCH($B482,Branch_Master!$A$2:$A$9,0)),"Not Found")</f>
        <v>Maharashtra</v>
      </c>
      <c r="P482" s="5">
        <f>IFERROR(INDEX(Targets!$B$2:$B$9,MATCH($B482,Targets!$A$2:$A$9,0)),0)</f>
        <v>900000</v>
      </c>
      <c r="Q482" s="5" t="str">
        <f t="shared" si="14"/>
        <v>No</v>
      </c>
      <c r="R482" s="5" t="str">
        <f t="shared" si="15"/>
        <v>Jun</v>
      </c>
    </row>
    <row r="483" spans="1:18" ht="15" customHeight="1" x14ac:dyDescent="0.3">
      <c r="A483" s="5" t="str">
        <f>Sales_Data!A480</f>
        <v>2025-06-27</v>
      </c>
      <c r="B483" s="5" t="str">
        <f>Sales_Data!B480</f>
        <v>Kolkata Central</v>
      </c>
      <c r="C483" s="5" t="str">
        <f>Sales_Data!C480</f>
        <v>E024</v>
      </c>
      <c r="D483" s="5" t="str">
        <f>IFERROR(INDEX(Employee_Master!$B$2:$B$44,MATCH($C483,Employee_Master!$A$2:$A$44,0)),"Not Found")</f>
        <v>Kevin Sanchez</v>
      </c>
      <c r="E483" s="5" t="str">
        <f>IFERROR(INDEX(Employee_Master!$C$2:$C$44,MATCH($C483,Employee_Master!$A$2:$A$44,0)),"Not Found")</f>
        <v>Sales</v>
      </c>
      <c r="F483" s="5" t="str">
        <f>IFERROR(INDEX(Employee_Master!$D$2:$D$44,MATCH($C483,Employee_Master!$A$2:$A$44,0)),"Not Found")</f>
        <v>Lisa Moore</v>
      </c>
      <c r="G483" s="5" t="str">
        <f>IFERROR(INDEX(Employee_Master!$E$2:$E$44,MATCH($C483,Employee_Master!$A$2:$A$44,0)),"Not Found")</f>
        <v>East</v>
      </c>
      <c r="H483" s="5" t="str">
        <f>Sales_Data!D480</f>
        <v>P016 - Dinner Set</v>
      </c>
      <c r="I483" s="5" t="str">
        <f>IFERROR(INDEX(Product_Master!$B$2:$B$30,MATCH($H483,Product_Master!$A$2:$A$30,0)),"Invalid Product Code")</f>
        <v>Home &amp; Kitchen</v>
      </c>
      <c r="J483" s="5">
        <f>IFERROR(INDEX(Product_Master!$C$2:$C$30,MATCH($H483,Product_Master!$A$2:$A$30,0)),0)</f>
        <v>225.06</v>
      </c>
      <c r="K483" s="5">
        <f>Sales_Data!E480</f>
        <v>10</v>
      </c>
      <c r="L483" s="5">
        <f>Sales_Data!F480</f>
        <v>2078.46</v>
      </c>
      <c r="M483" s="5">
        <f>Sales_Data!G480</f>
        <v>1996.18</v>
      </c>
      <c r="N483" s="5" t="str">
        <f>IFERROR(INDEX(Branch_Master!$B$2:$B$9,MATCH($B483,Branch_Master!$A$2:$A$9,0)),"Not Found")</f>
        <v>Kolkata</v>
      </c>
      <c r="O483" s="5" t="str">
        <f>IFERROR(INDEX(Branch_Master!$C$2:$C$9,MATCH($B483,Branch_Master!$A$2:$A$9,0)),"Not Found")</f>
        <v>West Bengal</v>
      </c>
      <c r="P483" s="5">
        <f>IFERROR(INDEX(Targets!$B$2:$B$9,MATCH($B483,Targets!$A$2:$A$9,0)),0)</f>
        <v>1910000</v>
      </c>
      <c r="Q483" s="5" t="str">
        <f t="shared" si="14"/>
        <v>Yes</v>
      </c>
      <c r="R483" s="5" t="str">
        <f t="shared" si="15"/>
        <v>Jun</v>
      </c>
    </row>
    <row r="484" spans="1:18" ht="15" customHeight="1" x14ac:dyDescent="0.3">
      <c r="A484" s="5" t="str">
        <f>Sales_Data!A481</f>
        <v>2025-06-28</v>
      </c>
      <c r="B484" s="5" t="str">
        <f>Sales_Data!B481</f>
        <v>Hyderabad Hitech</v>
      </c>
      <c r="C484" s="5" t="str">
        <f>Sales_Data!C481</f>
        <v>E014</v>
      </c>
      <c r="D484" s="5" t="str">
        <f>IFERROR(INDEX(Employee_Master!$B$2:$B$44,MATCH($C484,Employee_Master!$A$2:$A$44,0)),"Not Found")</f>
        <v>Brian Brown</v>
      </c>
      <c r="E484" s="5" t="str">
        <f>IFERROR(INDEX(Employee_Master!$C$2:$C$44,MATCH($C484,Employee_Master!$A$2:$A$44,0)),"Not Found")</f>
        <v>Marketing</v>
      </c>
      <c r="F484" s="5" t="str">
        <f>IFERROR(INDEX(Employee_Master!$D$2:$D$44,MATCH($C484,Employee_Master!$A$2:$A$44,0)),"Not Found")</f>
        <v>Anna Turner</v>
      </c>
      <c r="G484" s="5" t="str">
        <f>IFERROR(INDEX(Employee_Master!$E$2:$E$44,MATCH($C484,Employee_Master!$A$2:$A$44,0)),"Not Found")</f>
        <v>South</v>
      </c>
      <c r="H484" s="5" t="str">
        <f>Sales_Data!D481</f>
        <v>P014 - Air Fryer</v>
      </c>
      <c r="I484" s="5" t="str">
        <f>IFERROR(INDEX(Product_Master!$B$2:$B$30,MATCH($H484,Product_Master!$A$2:$A$30,0)),"Invalid Product Code")</f>
        <v>Home &amp; Kitchen</v>
      </c>
      <c r="J484" s="5">
        <f>IFERROR(INDEX(Product_Master!$C$2:$C$30,MATCH($H484,Product_Master!$A$2:$A$30,0)),0)</f>
        <v>729.85</v>
      </c>
      <c r="K484" s="5">
        <f>Sales_Data!E481</f>
        <v>11</v>
      </c>
      <c r="L484" s="5">
        <f>Sales_Data!F481</f>
        <v>7870.81</v>
      </c>
      <c r="M484" s="5">
        <f>Sales_Data!G481</f>
        <v>7038.64</v>
      </c>
      <c r="N484" s="5" t="str">
        <f>IFERROR(INDEX(Branch_Master!$B$2:$B$9,MATCH($B484,Branch_Master!$A$2:$A$9,0)),"Not Found")</f>
        <v>Hyderabad</v>
      </c>
      <c r="O484" s="5" t="str">
        <f>IFERROR(INDEX(Branch_Master!$C$2:$C$9,MATCH($B484,Branch_Master!$A$2:$A$9,0)),"Not Found")</f>
        <v>Telangana</v>
      </c>
      <c r="P484" s="5">
        <f>IFERROR(INDEX(Targets!$B$2:$B$9,MATCH($B484,Targets!$A$2:$A$9,0)),0)</f>
        <v>1210000</v>
      </c>
      <c r="Q484" s="5" t="str">
        <f t="shared" si="14"/>
        <v>Yes</v>
      </c>
      <c r="R484" s="5" t="str">
        <f t="shared" si="15"/>
        <v>Jun</v>
      </c>
    </row>
    <row r="485" spans="1:18" ht="15" customHeight="1" x14ac:dyDescent="0.3">
      <c r="A485" s="5" t="str">
        <f>Sales_Data!A482</f>
        <v>2025-06-28</v>
      </c>
      <c r="B485" s="5" t="str">
        <f>Sales_Data!B482</f>
        <v>Hyderabad Hitech</v>
      </c>
      <c r="C485" s="5" t="str">
        <f>Sales_Data!C482</f>
        <v>E020</v>
      </c>
      <c r="D485" s="5" t="str">
        <f>IFERROR(INDEX(Employee_Master!$B$2:$B$44,MATCH($C485,Employee_Master!$A$2:$A$44,0)),"Not Found")</f>
        <v>Christine Long</v>
      </c>
      <c r="E485" s="5" t="str">
        <f>IFERROR(INDEX(Employee_Master!$C$2:$C$44,MATCH($C485,Employee_Master!$A$2:$A$44,0)),"Not Found")</f>
        <v>Operations</v>
      </c>
      <c r="F485" s="5" t="str">
        <f>IFERROR(INDEX(Employee_Master!$D$2:$D$44,MATCH($C485,Employee_Master!$A$2:$A$44,0)),"Not Found")</f>
        <v>Anna Turner</v>
      </c>
      <c r="G485" s="5" t="str">
        <f>IFERROR(INDEX(Employee_Master!$E$2:$E$44,MATCH($C485,Employee_Master!$A$2:$A$44,0)),"Not Found")</f>
        <v>South</v>
      </c>
      <c r="H485" s="5" t="str">
        <f>Sales_Data!D482</f>
        <v>P028 - Football</v>
      </c>
      <c r="I485" s="5" t="str">
        <f>IFERROR(INDEX(Product_Master!$B$2:$B$30,MATCH($H485,Product_Master!$A$2:$A$30,0)),"Invalid Product Code")</f>
        <v>Sports</v>
      </c>
      <c r="J485" s="5">
        <f>IFERROR(INDEX(Product_Master!$C$2:$C$30,MATCH($H485,Product_Master!$A$2:$A$30,0)),0)</f>
        <v>314.25</v>
      </c>
      <c r="K485" s="5">
        <f>Sales_Data!E482</f>
        <v>4</v>
      </c>
      <c r="L485" s="5">
        <f>Sales_Data!F482</f>
        <v>1251.75</v>
      </c>
      <c r="M485" s="5">
        <f>Sales_Data!G482</f>
        <v>1090.74</v>
      </c>
      <c r="N485" s="5" t="str">
        <f>IFERROR(INDEX(Branch_Master!$B$2:$B$9,MATCH($B485,Branch_Master!$A$2:$A$9,0)),"Not Found")</f>
        <v>Hyderabad</v>
      </c>
      <c r="O485" s="5" t="str">
        <f>IFERROR(INDEX(Branch_Master!$C$2:$C$9,MATCH($B485,Branch_Master!$A$2:$A$9,0)),"Not Found")</f>
        <v>Telangana</v>
      </c>
      <c r="P485" s="5">
        <f>IFERROR(INDEX(Targets!$B$2:$B$9,MATCH($B485,Targets!$A$2:$A$9,0)),0)</f>
        <v>1210000</v>
      </c>
      <c r="Q485" s="5" t="str">
        <f t="shared" si="14"/>
        <v>Yes</v>
      </c>
      <c r="R485" s="5" t="str">
        <f t="shared" si="15"/>
        <v>Jun</v>
      </c>
    </row>
    <row r="486" spans="1:18" ht="15" customHeight="1" x14ac:dyDescent="0.3">
      <c r="A486" s="5" t="str">
        <f>Sales_Data!A483</f>
        <v>2025-06-28</v>
      </c>
      <c r="B486" s="5" t="str">
        <f>Sales_Data!B483</f>
        <v>Delhi NCR</v>
      </c>
      <c r="C486" s="5" t="str">
        <f>Sales_Data!C483</f>
        <v>E013</v>
      </c>
      <c r="D486" s="5" t="str">
        <f>IFERROR(INDEX(Employee_Master!$B$2:$B$44,MATCH($C486,Employee_Master!$A$2:$A$44,0)),"Not Found")</f>
        <v>Norma Wilson</v>
      </c>
      <c r="E486" s="5" t="str">
        <f>IFERROR(INDEX(Employee_Master!$C$2:$C$44,MATCH($C486,Employee_Master!$A$2:$A$44,0)),"Not Found")</f>
        <v>Customer Support</v>
      </c>
      <c r="F486" s="5" t="str">
        <f>IFERROR(INDEX(Employee_Master!$D$2:$D$44,MATCH($C486,Employee_Master!$A$2:$A$44,0)),"Not Found")</f>
        <v>William Oconnell</v>
      </c>
      <c r="G486" s="5" t="str">
        <f>IFERROR(INDEX(Employee_Master!$E$2:$E$44,MATCH($C486,Employee_Master!$A$2:$A$44,0)),"Not Found")</f>
        <v>North</v>
      </c>
      <c r="H486" s="5" t="str">
        <f>Sales_Data!D483</f>
        <v>P002 - Smart Watch</v>
      </c>
      <c r="I486" s="5" t="str">
        <f>IFERROR(INDEX(Product_Master!$B$2:$B$30,MATCH($H486,Product_Master!$A$2:$A$30,0)),"Invalid Product Code")</f>
        <v>Electronics</v>
      </c>
      <c r="J486" s="5">
        <f>IFERROR(INDEX(Product_Master!$C$2:$C$30,MATCH($H486,Product_Master!$A$2:$A$30,0)),0)</f>
        <v>403.33</v>
      </c>
      <c r="K486" s="5">
        <f>Sales_Data!E483</f>
        <v>9</v>
      </c>
      <c r="L486" s="5">
        <f>Sales_Data!F483</f>
        <v>3805.33</v>
      </c>
      <c r="M486" s="5">
        <f>Sales_Data!G483</f>
        <v>3801.52</v>
      </c>
      <c r="N486" s="5" t="str">
        <f>IFERROR(INDEX(Branch_Master!$B$2:$B$9,MATCH($B486,Branch_Master!$A$2:$A$9,0)),"Not Found")</f>
        <v>New Delhi</v>
      </c>
      <c r="O486" s="5" t="str">
        <f>IFERROR(INDEX(Branch_Master!$C$2:$C$9,MATCH($B486,Branch_Master!$A$2:$A$9,0)),"Not Found")</f>
        <v>Delhi</v>
      </c>
      <c r="P486" s="5">
        <f>IFERROR(INDEX(Targets!$B$2:$B$9,MATCH($B486,Targets!$A$2:$A$9,0)),0)</f>
        <v>2070000</v>
      </c>
      <c r="Q486" s="5" t="str">
        <f t="shared" si="14"/>
        <v>Yes</v>
      </c>
      <c r="R486" s="5" t="str">
        <f t="shared" si="15"/>
        <v>Jun</v>
      </c>
    </row>
    <row r="487" spans="1:18" ht="15" customHeight="1" x14ac:dyDescent="0.3">
      <c r="A487" s="5" t="str">
        <f>Sales_Data!A484</f>
        <v>2025-06-28</v>
      </c>
      <c r="B487" s="5" t="str">
        <f>Sales_Data!B484</f>
        <v>Kolkata Central</v>
      </c>
      <c r="C487" s="5" t="str">
        <f>Sales_Data!C484</f>
        <v>E029</v>
      </c>
      <c r="D487" s="5" t="str">
        <f>IFERROR(INDEX(Employee_Master!$B$2:$B$44,MATCH($C487,Employee_Master!$A$2:$A$44,0)),"Not Found")</f>
        <v>Patrick Shepard</v>
      </c>
      <c r="E487" s="5" t="str">
        <f>IFERROR(INDEX(Employee_Master!$C$2:$C$44,MATCH($C487,Employee_Master!$A$2:$A$44,0)),"Not Found")</f>
        <v>Sales</v>
      </c>
      <c r="F487" s="5" t="str">
        <f>IFERROR(INDEX(Employee_Master!$D$2:$D$44,MATCH($C487,Employee_Master!$A$2:$A$44,0)),"Not Found")</f>
        <v>Lisa Moore</v>
      </c>
      <c r="G487" s="5" t="str">
        <f>IFERROR(INDEX(Employee_Master!$E$2:$E$44,MATCH($C487,Employee_Master!$A$2:$A$44,0)),"Not Found")</f>
        <v>East</v>
      </c>
      <c r="H487" s="5" t="str">
        <f>Sales_Data!D484</f>
        <v>P027 - Cricket Bat</v>
      </c>
      <c r="I487" s="5" t="str">
        <f>IFERROR(INDEX(Product_Master!$B$2:$B$30,MATCH($H487,Product_Master!$A$2:$A$30,0)),"Invalid Product Code")</f>
        <v>Sports</v>
      </c>
      <c r="J487" s="5">
        <f>IFERROR(INDEX(Product_Master!$C$2:$C$30,MATCH($H487,Product_Master!$A$2:$A$30,0)),0)</f>
        <v>822.7</v>
      </c>
      <c r="K487" s="5">
        <f>Sales_Data!E484</f>
        <v>11</v>
      </c>
      <c r="L487" s="5">
        <f>Sales_Data!F484</f>
        <v>8937.5</v>
      </c>
      <c r="M487" s="5">
        <f>Sales_Data!G484</f>
        <v>9901.18</v>
      </c>
      <c r="N487" s="5" t="str">
        <f>IFERROR(INDEX(Branch_Master!$B$2:$B$9,MATCH($B487,Branch_Master!$A$2:$A$9,0)),"Not Found")</f>
        <v>Kolkata</v>
      </c>
      <c r="O487" s="5" t="str">
        <f>IFERROR(INDEX(Branch_Master!$C$2:$C$9,MATCH($B487,Branch_Master!$A$2:$A$9,0)),"Not Found")</f>
        <v>West Bengal</v>
      </c>
      <c r="P487" s="5">
        <f>IFERROR(INDEX(Targets!$B$2:$B$9,MATCH($B487,Targets!$A$2:$A$9,0)),0)</f>
        <v>1910000</v>
      </c>
      <c r="Q487" s="5" t="str">
        <f t="shared" si="14"/>
        <v>No</v>
      </c>
      <c r="R487" s="5" t="str">
        <f t="shared" si="15"/>
        <v>Jun</v>
      </c>
    </row>
    <row r="488" spans="1:18" ht="15" customHeight="1" x14ac:dyDescent="0.3">
      <c r="A488" s="5" t="str">
        <f>Sales_Data!A485</f>
        <v>2025-06-29</v>
      </c>
      <c r="B488" s="5" t="str">
        <f>Sales_Data!B485</f>
        <v>Chennai South</v>
      </c>
      <c r="C488" s="5" t="str">
        <f>Sales_Data!C485</f>
        <v>E032</v>
      </c>
      <c r="D488" s="5" t="str">
        <f>IFERROR(INDEX(Employee_Master!$B$2:$B$44,MATCH($C488,Employee_Master!$A$2:$A$44,0)),"Not Found")</f>
        <v>Victor Allen</v>
      </c>
      <c r="E488" s="5" t="str">
        <f>IFERROR(INDEX(Employee_Master!$C$2:$C$44,MATCH($C488,Employee_Master!$A$2:$A$44,0)),"Not Found")</f>
        <v>Operations</v>
      </c>
      <c r="F488" s="5" t="str">
        <f>IFERROR(INDEX(Employee_Master!$D$2:$D$44,MATCH($C488,Employee_Master!$A$2:$A$44,0)),"Not Found")</f>
        <v>Robert Steele</v>
      </c>
      <c r="G488" s="5" t="str">
        <f>IFERROR(INDEX(Employee_Master!$E$2:$E$44,MATCH($C488,Employee_Master!$A$2:$A$44,0)),"Not Found")</f>
        <v>South</v>
      </c>
      <c r="H488" s="5" t="str">
        <f>Sales_Data!D485</f>
        <v>P020 - Green Tea Pack</v>
      </c>
      <c r="I488" s="5" t="str">
        <f>IFERROR(INDEX(Product_Master!$B$2:$B$30,MATCH($H488,Product_Master!$A$2:$A$30,0)),"Invalid Product Code")</f>
        <v>Grocery</v>
      </c>
      <c r="J488" s="5">
        <f>IFERROR(INDEX(Product_Master!$C$2:$C$30,MATCH($H488,Product_Master!$A$2:$A$30,0)),0)</f>
        <v>305.39</v>
      </c>
      <c r="K488" s="5">
        <f>Sales_Data!E485</f>
        <v>11</v>
      </c>
      <c r="L488" s="5">
        <f>Sales_Data!F485</f>
        <v>3493.94</v>
      </c>
      <c r="M488" s="5">
        <f>Sales_Data!G485</f>
        <v>3603.04</v>
      </c>
      <c r="N488" s="5" t="str">
        <f>IFERROR(INDEX(Branch_Master!$B$2:$B$9,MATCH($B488,Branch_Master!$A$2:$A$9,0)),"Not Found")</f>
        <v>Chennai</v>
      </c>
      <c r="O488" s="5" t="str">
        <f>IFERROR(INDEX(Branch_Master!$C$2:$C$9,MATCH($B488,Branch_Master!$A$2:$A$9,0)),"Not Found")</f>
        <v>Tamil Nadu</v>
      </c>
      <c r="P488" s="5">
        <f>IFERROR(INDEX(Targets!$B$2:$B$9,MATCH($B488,Targets!$A$2:$A$9,0)),0)</f>
        <v>1910000</v>
      </c>
      <c r="Q488" s="5" t="str">
        <f t="shared" si="14"/>
        <v>No</v>
      </c>
      <c r="R488" s="5" t="str">
        <f t="shared" si="15"/>
        <v>Jun</v>
      </c>
    </row>
    <row r="489" spans="1:18" ht="15" customHeight="1" x14ac:dyDescent="0.3">
      <c r="A489" s="5" t="str">
        <f>Sales_Data!A486</f>
        <v>2025-06-29</v>
      </c>
      <c r="B489" s="5" t="str">
        <f>Sales_Data!B486</f>
        <v>Bangalore North</v>
      </c>
      <c r="C489" s="5" t="str">
        <f>Sales_Data!C486</f>
        <v>E040</v>
      </c>
      <c r="D489" s="5" t="str">
        <f>IFERROR(INDEX(Employee_Master!$B$2:$B$44,MATCH($C489,Employee_Master!$A$2:$A$44,0)),"Not Found")</f>
        <v>Bonnie Cox</v>
      </c>
      <c r="E489" s="5" t="str">
        <f>IFERROR(INDEX(Employee_Master!$C$2:$C$44,MATCH($C489,Employee_Master!$A$2:$A$44,0)),"Not Found")</f>
        <v>Customer Support</v>
      </c>
      <c r="F489" s="5" t="str">
        <f>IFERROR(INDEX(Employee_Master!$D$2:$D$44,MATCH($C489,Employee_Master!$A$2:$A$44,0)),"Not Found")</f>
        <v>Jose Soto</v>
      </c>
      <c r="G489" s="5" t="str">
        <f>IFERROR(INDEX(Employee_Master!$E$2:$E$44,MATCH($C489,Employee_Master!$A$2:$A$44,0)),"Not Found")</f>
        <v>South</v>
      </c>
      <c r="H489" s="5" t="str">
        <f>Sales_Data!D486</f>
        <v>P023 - Sunscreen SPF50</v>
      </c>
      <c r="I489" s="5" t="str">
        <f>IFERROR(INDEX(Product_Master!$B$2:$B$30,MATCH($H489,Product_Master!$A$2:$A$30,0)),"Invalid Product Code")</f>
        <v>Beauty</v>
      </c>
      <c r="J489" s="5">
        <f>IFERROR(INDEX(Product_Master!$C$2:$C$30,MATCH($H489,Product_Master!$A$2:$A$30,0)),0)</f>
        <v>818.95</v>
      </c>
      <c r="K489" s="5">
        <f>Sales_Data!E486</f>
        <v>6</v>
      </c>
      <c r="L489" s="5">
        <f>Sales_Data!F486</f>
        <v>4434.45</v>
      </c>
      <c r="M489" s="5">
        <f>Sales_Data!G486</f>
        <v>4883.28</v>
      </c>
      <c r="N489" s="5" t="str">
        <f>IFERROR(INDEX(Branch_Master!$B$2:$B$9,MATCH($B489,Branch_Master!$A$2:$A$9,0)),"Not Found")</f>
        <v>Bangalore</v>
      </c>
      <c r="O489" s="5" t="str">
        <f>IFERROR(INDEX(Branch_Master!$C$2:$C$9,MATCH($B489,Branch_Master!$A$2:$A$9,0)),"Not Found")</f>
        <v>Karnataka</v>
      </c>
      <c r="P489" s="5">
        <f>IFERROR(INDEX(Targets!$B$2:$B$9,MATCH($B489,Targets!$A$2:$A$9,0)),0)</f>
        <v>900000</v>
      </c>
      <c r="Q489" s="5" t="str">
        <f t="shared" si="14"/>
        <v>No</v>
      </c>
      <c r="R489" s="5" t="str">
        <f t="shared" si="15"/>
        <v>Jun</v>
      </c>
    </row>
    <row r="490" spans="1:18" ht="15" customHeight="1" x14ac:dyDescent="0.3">
      <c r="A490" s="5" t="str">
        <f>Sales_Data!A487</f>
        <v>2025-06-30</v>
      </c>
      <c r="B490" s="5" t="str">
        <f>Sales_Data!B487</f>
        <v>Ahmedabad West</v>
      </c>
      <c r="C490" s="5" t="str">
        <f>Sales_Data!C487</f>
        <v>E002</v>
      </c>
      <c r="D490" s="5" t="str">
        <f>IFERROR(INDEX(Employee_Master!$B$2:$B$44,MATCH($C490,Employee_Master!$A$2:$A$44,0)),"Not Found")</f>
        <v>Jeremiah Kirby</v>
      </c>
      <c r="E490" s="5" t="str">
        <f>IFERROR(INDEX(Employee_Master!$C$2:$C$44,MATCH($C490,Employee_Master!$A$2:$A$44,0)),"Not Found")</f>
        <v>Marketing</v>
      </c>
      <c r="F490" s="5" t="str">
        <f>IFERROR(INDEX(Employee_Master!$D$2:$D$44,MATCH($C490,Employee_Master!$A$2:$A$44,0)),"Not Found")</f>
        <v>Joseph Brown</v>
      </c>
      <c r="G490" s="5" t="str">
        <f>IFERROR(INDEX(Employee_Master!$E$2:$E$44,MATCH($C490,Employee_Master!$A$2:$A$44,0)),"Not Found")</f>
        <v>West</v>
      </c>
      <c r="H490" s="5" t="str">
        <f>Sales_Data!D487</f>
        <v>P026 - Yoga Mat</v>
      </c>
      <c r="I490" s="5" t="str">
        <f>IFERROR(INDEX(Product_Master!$B$2:$B$30,MATCH($H490,Product_Master!$A$2:$A$30,0)),"Invalid Product Code")</f>
        <v>Sports</v>
      </c>
      <c r="J490" s="5">
        <f>IFERROR(INDEX(Product_Master!$C$2:$C$30,MATCH($H490,Product_Master!$A$2:$A$30,0)),0)</f>
        <v>518.76</v>
      </c>
      <c r="K490" s="5">
        <f>Sales_Data!E487</f>
        <v>5</v>
      </c>
      <c r="L490" s="5">
        <f>Sales_Data!F487</f>
        <v>2818.23</v>
      </c>
      <c r="M490" s="5">
        <f>Sales_Data!G487</f>
        <v>2831.94</v>
      </c>
      <c r="N490" s="5" t="str">
        <f>IFERROR(INDEX(Branch_Master!$B$2:$B$9,MATCH($B490,Branch_Master!$A$2:$A$9,0)),"Not Found")</f>
        <v>Ahmedabad</v>
      </c>
      <c r="O490" s="5" t="str">
        <f>IFERROR(INDEX(Branch_Master!$C$2:$C$9,MATCH($B490,Branch_Master!$A$2:$A$9,0)),"Not Found")</f>
        <v>Gujarat</v>
      </c>
      <c r="P490" s="5">
        <f>IFERROR(INDEX(Targets!$B$2:$B$9,MATCH($B490,Targets!$A$2:$A$9,0)),0)</f>
        <v>1590000</v>
      </c>
      <c r="Q490" s="5" t="str">
        <f t="shared" si="14"/>
        <v>No</v>
      </c>
      <c r="R490" s="5" t="str">
        <f t="shared" si="15"/>
        <v>Jun</v>
      </c>
    </row>
    <row r="491" spans="1:18" ht="15" customHeight="1" x14ac:dyDescent="0.3">
      <c r="A491" s="5" t="str">
        <f>Sales_Data!A488</f>
        <v>2025-07-01</v>
      </c>
      <c r="B491" s="5" t="str">
        <f>Sales_Data!B488</f>
        <v>Ahmedabad West</v>
      </c>
      <c r="C491" s="5" t="str">
        <f>Sales_Data!C488</f>
        <v>E002</v>
      </c>
      <c r="D491" s="5" t="str">
        <f>IFERROR(INDEX(Employee_Master!$B$2:$B$44,MATCH($C491,Employee_Master!$A$2:$A$44,0)),"Not Found")</f>
        <v>Jeremiah Kirby</v>
      </c>
      <c r="E491" s="5" t="str">
        <f>IFERROR(INDEX(Employee_Master!$C$2:$C$44,MATCH($C491,Employee_Master!$A$2:$A$44,0)),"Not Found")</f>
        <v>Marketing</v>
      </c>
      <c r="F491" s="5" t="str">
        <f>IFERROR(INDEX(Employee_Master!$D$2:$D$44,MATCH($C491,Employee_Master!$A$2:$A$44,0)),"Not Found")</f>
        <v>Joseph Brown</v>
      </c>
      <c r="G491" s="5" t="str">
        <f>IFERROR(INDEX(Employee_Master!$E$2:$E$44,MATCH($C491,Employee_Master!$A$2:$A$44,0)),"Not Found")</f>
        <v>West</v>
      </c>
      <c r="H491" s="5" t="str">
        <f>Sales_Data!D488</f>
        <v>P029 - Dumbbell Set 10kg</v>
      </c>
      <c r="I491" s="5" t="str">
        <f>IFERROR(INDEX(Product_Master!$B$2:$B$30,MATCH($H491,Product_Master!$A$2:$A$30,0)),"Invalid Product Code")</f>
        <v>Sports</v>
      </c>
      <c r="J491" s="5">
        <f>IFERROR(INDEX(Product_Master!$C$2:$C$30,MATCH($H491,Product_Master!$A$2:$A$30,0)),0)</f>
        <v>435</v>
      </c>
      <c r="K491" s="5">
        <f>Sales_Data!E488</f>
        <v>12</v>
      </c>
      <c r="L491" s="5">
        <f>Sales_Data!F488</f>
        <v>4804.21</v>
      </c>
      <c r="M491" s="5">
        <f>Sales_Data!G488</f>
        <v>4655.4799999999996</v>
      </c>
      <c r="N491" s="5" t="str">
        <f>IFERROR(INDEX(Branch_Master!$B$2:$B$9,MATCH($B491,Branch_Master!$A$2:$A$9,0)),"Not Found")</f>
        <v>Ahmedabad</v>
      </c>
      <c r="O491" s="5" t="str">
        <f>IFERROR(INDEX(Branch_Master!$C$2:$C$9,MATCH($B491,Branch_Master!$A$2:$A$9,0)),"Not Found")</f>
        <v>Gujarat</v>
      </c>
      <c r="P491" s="5">
        <f>IFERROR(INDEX(Targets!$B$2:$B$9,MATCH($B491,Targets!$A$2:$A$9,0)),0)</f>
        <v>1590000</v>
      </c>
      <c r="Q491" s="5" t="str">
        <f t="shared" si="14"/>
        <v>Yes</v>
      </c>
      <c r="R491" s="5" t="str">
        <f t="shared" si="15"/>
        <v>Jul</v>
      </c>
    </row>
    <row r="492" spans="1:18" ht="15" customHeight="1" x14ac:dyDescent="0.3">
      <c r="A492" s="5" t="str">
        <f>Sales_Data!A489</f>
        <v>2025-07-01</v>
      </c>
      <c r="B492" s="5" t="str">
        <f>Sales_Data!B489</f>
        <v>Hyderabad Hitech</v>
      </c>
      <c r="C492" s="5" t="str">
        <f>Sales_Data!C489</f>
        <v>E020</v>
      </c>
      <c r="D492" s="5" t="str">
        <f>IFERROR(INDEX(Employee_Master!$B$2:$B$44,MATCH($C492,Employee_Master!$A$2:$A$44,0)),"Not Found")</f>
        <v>Christine Long</v>
      </c>
      <c r="E492" s="5" t="str">
        <f>IFERROR(INDEX(Employee_Master!$C$2:$C$44,MATCH($C492,Employee_Master!$A$2:$A$44,0)),"Not Found")</f>
        <v>Operations</v>
      </c>
      <c r="F492" s="5" t="str">
        <f>IFERROR(INDEX(Employee_Master!$D$2:$D$44,MATCH($C492,Employee_Master!$A$2:$A$44,0)),"Not Found")</f>
        <v>Anna Turner</v>
      </c>
      <c r="G492" s="5" t="str">
        <f>IFERROR(INDEX(Employee_Master!$E$2:$E$44,MATCH($C492,Employee_Master!$A$2:$A$44,0)),"Not Found")</f>
        <v>South</v>
      </c>
      <c r="H492" s="5" t="str">
        <f>Sales_Data!D489</f>
        <v>P011 - Winter Jacket</v>
      </c>
      <c r="I492" s="5" t="str">
        <f>IFERROR(INDEX(Product_Master!$B$2:$B$30,MATCH($H492,Product_Master!$A$2:$A$30,0)),"Invalid Product Code")</f>
        <v>Apparel</v>
      </c>
      <c r="J492" s="5">
        <f>IFERROR(INDEX(Product_Master!$C$2:$C$30,MATCH($H492,Product_Master!$A$2:$A$30,0)),0)</f>
        <v>264.97000000000003</v>
      </c>
      <c r="K492" s="5">
        <f>Sales_Data!E489</f>
        <v>8</v>
      </c>
      <c r="L492" s="5">
        <f>Sales_Data!F489</f>
        <v>2223.5500000000002</v>
      </c>
      <c r="M492" s="5">
        <f>Sales_Data!G489</f>
        <v>2335.06</v>
      </c>
      <c r="N492" s="5" t="str">
        <f>IFERROR(INDEX(Branch_Master!$B$2:$B$9,MATCH($B492,Branch_Master!$A$2:$A$9,0)),"Not Found")</f>
        <v>Hyderabad</v>
      </c>
      <c r="O492" s="5" t="str">
        <f>IFERROR(INDEX(Branch_Master!$C$2:$C$9,MATCH($B492,Branch_Master!$A$2:$A$9,0)),"Not Found")</f>
        <v>Telangana</v>
      </c>
      <c r="P492" s="5">
        <f>IFERROR(INDEX(Targets!$B$2:$B$9,MATCH($B492,Targets!$A$2:$A$9,0)),0)</f>
        <v>1210000</v>
      </c>
      <c r="Q492" s="5" t="str">
        <f t="shared" si="14"/>
        <v>No</v>
      </c>
      <c r="R492" s="5" t="str">
        <f t="shared" si="15"/>
        <v>Jul</v>
      </c>
    </row>
    <row r="493" spans="1:18" ht="15" customHeight="1" x14ac:dyDescent="0.3">
      <c r="A493" s="5" t="str">
        <f>Sales_Data!A490</f>
        <v>2025-07-01</v>
      </c>
      <c r="B493" s="5" t="str">
        <f>Sales_Data!B490</f>
        <v>Chennai South</v>
      </c>
      <c r="C493" s="5" t="str">
        <f>Sales_Data!C490</f>
        <v>E032</v>
      </c>
      <c r="D493" s="5" t="str">
        <f>IFERROR(INDEX(Employee_Master!$B$2:$B$44,MATCH($C493,Employee_Master!$A$2:$A$44,0)),"Not Found")</f>
        <v>Victor Allen</v>
      </c>
      <c r="E493" s="5" t="str">
        <f>IFERROR(INDEX(Employee_Master!$C$2:$C$44,MATCH($C493,Employee_Master!$A$2:$A$44,0)),"Not Found")</f>
        <v>Operations</v>
      </c>
      <c r="F493" s="5" t="str">
        <f>IFERROR(INDEX(Employee_Master!$D$2:$D$44,MATCH($C493,Employee_Master!$A$2:$A$44,0)),"Not Found")</f>
        <v>Robert Steele</v>
      </c>
      <c r="G493" s="5" t="str">
        <f>IFERROR(INDEX(Employee_Master!$E$2:$E$44,MATCH($C493,Employee_Master!$A$2:$A$44,0)),"Not Found")</f>
        <v>South</v>
      </c>
      <c r="H493" s="5" t="str">
        <f>Sales_Data!D490</f>
        <v>P006 - Laptop Stand</v>
      </c>
      <c r="I493" s="5" t="str">
        <f>IFERROR(INDEX(Product_Master!$B$2:$B$30,MATCH($H493,Product_Master!$A$2:$A$30,0)),"Invalid Product Code")</f>
        <v>Electronics</v>
      </c>
      <c r="J493" s="5">
        <f>IFERROR(INDEX(Product_Master!$C$2:$C$30,MATCH($H493,Product_Master!$A$2:$A$30,0)),0)</f>
        <v>393.96</v>
      </c>
      <c r="K493" s="5">
        <f>Sales_Data!E490</f>
        <v>7</v>
      </c>
      <c r="L493" s="5">
        <f>Sales_Data!F490</f>
        <v>2991.17</v>
      </c>
      <c r="M493" s="5">
        <f>Sales_Data!G490</f>
        <v>2515.2399999999998</v>
      </c>
      <c r="N493" s="5" t="str">
        <f>IFERROR(INDEX(Branch_Master!$B$2:$B$9,MATCH($B493,Branch_Master!$A$2:$A$9,0)),"Not Found")</f>
        <v>Chennai</v>
      </c>
      <c r="O493" s="5" t="str">
        <f>IFERROR(INDEX(Branch_Master!$C$2:$C$9,MATCH($B493,Branch_Master!$A$2:$A$9,0)),"Not Found")</f>
        <v>Tamil Nadu</v>
      </c>
      <c r="P493" s="5">
        <f>IFERROR(INDEX(Targets!$B$2:$B$9,MATCH($B493,Targets!$A$2:$A$9,0)),0)</f>
        <v>1910000</v>
      </c>
      <c r="Q493" s="5" t="str">
        <f t="shared" si="14"/>
        <v>Yes</v>
      </c>
      <c r="R493" s="5" t="str">
        <f t="shared" si="15"/>
        <v>Jul</v>
      </c>
    </row>
    <row r="494" spans="1:18" ht="15" customHeight="1" x14ac:dyDescent="0.3">
      <c r="A494" s="5" t="str">
        <f>Sales_Data!A491</f>
        <v>2025-07-01</v>
      </c>
      <c r="B494" s="5" t="str">
        <f>Sales_Data!B491</f>
        <v>Bangalore North</v>
      </c>
      <c r="C494" s="5" t="str">
        <f>Sales_Data!C491</f>
        <v>E006</v>
      </c>
      <c r="D494" s="5" t="str">
        <f>IFERROR(INDEX(Employee_Master!$B$2:$B$44,MATCH($C494,Employee_Master!$A$2:$A$44,0)),"Not Found")</f>
        <v>Dylan Jones</v>
      </c>
      <c r="E494" s="5" t="str">
        <f>IFERROR(INDEX(Employee_Master!$C$2:$C$44,MATCH($C494,Employee_Master!$A$2:$A$44,0)),"Not Found")</f>
        <v>Sales</v>
      </c>
      <c r="F494" s="5" t="str">
        <f>IFERROR(INDEX(Employee_Master!$D$2:$D$44,MATCH($C494,Employee_Master!$A$2:$A$44,0)),"Not Found")</f>
        <v>Jose Soto</v>
      </c>
      <c r="G494" s="5" t="str">
        <f>IFERROR(INDEX(Employee_Master!$E$2:$E$44,MATCH($C494,Employee_Master!$A$2:$A$44,0)),"Not Found")</f>
        <v>South</v>
      </c>
      <c r="H494" s="5" t="str">
        <f>Sales_Data!D491</f>
        <v>P008 - Denim Jeans</v>
      </c>
      <c r="I494" s="5" t="str">
        <f>IFERROR(INDEX(Product_Master!$B$2:$B$30,MATCH($H494,Product_Master!$A$2:$A$30,0)),"Invalid Product Code")</f>
        <v>Apparel</v>
      </c>
      <c r="J494" s="5">
        <f>IFERROR(INDEX(Product_Master!$C$2:$C$30,MATCH($H494,Product_Master!$A$2:$A$30,0)),0)</f>
        <v>614.48</v>
      </c>
      <c r="K494" s="5">
        <f>Sales_Data!E491</f>
        <v>12</v>
      </c>
      <c r="L494" s="5">
        <f>Sales_Data!F491</f>
        <v>7175.08</v>
      </c>
      <c r="M494" s="5">
        <f>Sales_Data!G491</f>
        <v>8410.32</v>
      </c>
      <c r="N494" s="5" t="str">
        <f>IFERROR(INDEX(Branch_Master!$B$2:$B$9,MATCH($B494,Branch_Master!$A$2:$A$9,0)),"Not Found")</f>
        <v>Bangalore</v>
      </c>
      <c r="O494" s="5" t="str">
        <f>IFERROR(INDEX(Branch_Master!$C$2:$C$9,MATCH($B494,Branch_Master!$A$2:$A$9,0)),"Not Found")</f>
        <v>Karnataka</v>
      </c>
      <c r="P494" s="5">
        <f>IFERROR(INDEX(Targets!$B$2:$B$9,MATCH($B494,Targets!$A$2:$A$9,0)),0)</f>
        <v>900000</v>
      </c>
      <c r="Q494" s="5" t="str">
        <f t="shared" si="14"/>
        <v>No</v>
      </c>
      <c r="R494" s="5" t="str">
        <f t="shared" si="15"/>
        <v>Jul</v>
      </c>
    </row>
    <row r="495" spans="1:18" ht="15" customHeight="1" x14ac:dyDescent="0.3">
      <c r="A495" s="5" t="str">
        <f>Sales_Data!A492</f>
        <v>2025-07-02</v>
      </c>
      <c r="B495" s="5" t="str">
        <f>Sales_Data!B492</f>
        <v>Chennai South</v>
      </c>
      <c r="C495" s="5" t="str">
        <f>Sales_Data!C492</f>
        <v>E015</v>
      </c>
      <c r="D495" s="5" t="str">
        <f>IFERROR(INDEX(Employee_Master!$B$2:$B$44,MATCH($C495,Employee_Master!$A$2:$A$44,0)),"Not Found")</f>
        <v>Cassandra Hansen</v>
      </c>
      <c r="E495" s="5" t="str">
        <f>IFERROR(INDEX(Employee_Master!$C$2:$C$44,MATCH($C495,Employee_Master!$A$2:$A$44,0)),"Not Found")</f>
        <v>Customer Support</v>
      </c>
      <c r="F495" s="5" t="str">
        <f>IFERROR(INDEX(Employee_Master!$D$2:$D$44,MATCH($C495,Employee_Master!$A$2:$A$44,0)),"Not Found")</f>
        <v>Robert Steele</v>
      </c>
      <c r="G495" s="5" t="str">
        <f>IFERROR(INDEX(Employee_Master!$E$2:$E$44,MATCH($C495,Employee_Master!$A$2:$A$44,0)),"Not Found")</f>
        <v>South</v>
      </c>
      <c r="H495" s="5" t="str">
        <f>Sales_Data!D492</f>
        <v>P008 - Denim Jeans</v>
      </c>
      <c r="I495" s="5" t="str">
        <f>IFERROR(INDEX(Product_Master!$B$2:$B$30,MATCH($H495,Product_Master!$A$2:$A$30,0)),"Invalid Product Code")</f>
        <v>Apparel</v>
      </c>
      <c r="J495" s="5">
        <f>IFERROR(INDEX(Product_Master!$C$2:$C$30,MATCH($H495,Product_Master!$A$2:$A$30,0)),0)</f>
        <v>614.48</v>
      </c>
      <c r="K495" s="5">
        <f>Sales_Data!E492</f>
        <v>3</v>
      </c>
      <c r="L495" s="5">
        <f>Sales_Data!F492</f>
        <v>1739.65</v>
      </c>
      <c r="M495" s="5">
        <f>Sales_Data!G492</f>
        <v>1677.12</v>
      </c>
      <c r="N495" s="5" t="str">
        <f>IFERROR(INDEX(Branch_Master!$B$2:$B$9,MATCH($B495,Branch_Master!$A$2:$A$9,0)),"Not Found")</f>
        <v>Chennai</v>
      </c>
      <c r="O495" s="5" t="str">
        <f>IFERROR(INDEX(Branch_Master!$C$2:$C$9,MATCH($B495,Branch_Master!$A$2:$A$9,0)),"Not Found")</f>
        <v>Tamil Nadu</v>
      </c>
      <c r="P495" s="5">
        <f>IFERROR(INDEX(Targets!$B$2:$B$9,MATCH($B495,Targets!$A$2:$A$9,0)),0)</f>
        <v>1910000</v>
      </c>
      <c r="Q495" s="5" t="str">
        <f t="shared" si="14"/>
        <v>Yes</v>
      </c>
      <c r="R495" s="5" t="str">
        <f t="shared" si="15"/>
        <v>Jul</v>
      </c>
    </row>
    <row r="496" spans="1:18" ht="15" customHeight="1" x14ac:dyDescent="0.3">
      <c r="A496" s="5" t="str">
        <f>Sales_Data!A493</f>
        <v>2025-07-02</v>
      </c>
      <c r="B496" s="5" t="str">
        <f>Sales_Data!B493</f>
        <v>Hyderabad Hitech</v>
      </c>
      <c r="C496" s="5" t="str">
        <f>Sales_Data!C493</f>
        <v>E011</v>
      </c>
      <c r="D496" s="5" t="str">
        <f>IFERROR(INDEX(Employee_Master!$B$2:$B$44,MATCH($C496,Employee_Master!$A$2:$A$44,0)),"Not Found")</f>
        <v>Mark Osborne</v>
      </c>
      <c r="E496" s="5" t="str">
        <f>IFERROR(INDEX(Employee_Master!$C$2:$C$44,MATCH($C496,Employee_Master!$A$2:$A$44,0)),"Not Found")</f>
        <v>Marketing</v>
      </c>
      <c r="F496" s="5" t="str">
        <f>IFERROR(INDEX(Employee_Master!$D$2:$D$44,MATCH($C496,Employee_Master!$A$2:$A$44,0)),"Not Found")</f>
        <v>Anna Turner</v>
      </c>
      <c r="G496" s="5" t="str">
        <f>IFERROR(INDEX(Employee_Master!$E$2:$E$44,MATCH($C496,Employee_Master!$A$2:$A$44,0)),"Not Found")</f>
        <v>South</v>
      </c>
      <c r="H496" s="5" t="str">
        <f>Sales_Data!D493</f>
        <v>P010 - Running Shoes</v>
      </c>
      <c r="I496" s="5" t="str">
        <f>IFERROR(INDEX(Product_Master!$B$2:$B$30,MATCH($H496,Product_Master!$A$2:$A$30,0)),"Invalid Product Code")</f>
        <v>Apparel</v>
      </c>
      <c r="J496" s="5">
        <f>IFERROR(INDEX(Product_Master!$C$2:$C$30,MATCH($H496,Product_Master!$A$2:$A$30,0)),0)</f>
        <v>233.71</v>
      </c>
      <c r="K496" s="5">
        <f>Sales_Data!E493</f>
        <v>1</v>
      </c>
      <c r="L496" s="5">
        <f>Sales_Data!F493</f>
        <v>231.6</v>
      </c>
      <c r="M496" s="5">
        <f>Sales_Data!G493</f>
        <v>220.65</v>
      </c>
      <c r="N496" s="5" t="str">
        <f>IFERROR(INDEX(Branch_Master!$B$2:$B$9,MATCH($B496,Branch_Master!$A$2:$A$9,0)),"Not Found")</f>
        <v>Hyderabad</v>
      </c>
      <c r="O496" s="5" t="str">
        <f>IFERROR(INDEX(Branch_Master!$C$2:$C$9,MATCH($B496,Branch_Master!$A$2:$A$9,0)),"Not Found")</f>
        <v>Telangana</v>
      </c>
      <c r="P496" s="5">
        <f>IFERROR(INDEX(Targets!$B$2:$B$9,MATCH($B496,Targets!$A$2:$A$9,0)),0)</f>
        <v>1210000</v>
      </c>
      <c r="Q496" s="5" t="str">
        <f t="shared" si="14"/>
        <v>Yes</v>
      </c>
      <c r="R496" s="5" t="str">
        <f t="shared" si="15"/>
        <v>Jul</v>
      </c>
    </row>
    <row r="497" spans="1:18" ht="15" customHeight="1" x14ac:dyDescent="0.3">
      <c r="A497" s="5" t="str">
        <f>Sales_Data!A494</f>
        <v>2025-07-02</v>
      </c>
      <c r="B497" s="5" t="str">
        <f>Sales_Data!B494</f>
        <v>Kolkata Central</v>
      </c>
      <c r="C497" s="5" t="str">
        <f>Sales_Data!C494</f>
        <v>E024</v>
      </c>
      <c r="D497" s="5" t="str">
        <f>IFERROR(INDEX(Employee_Master!$B$2:$B$44,MATCH($C497,Employee_Master!$A$2:$A$44,0)),"Not Found")</f>
        <v>Kevin Sanchez</v>
      </c>
      <c r="E497" s="5" t="str">
        <f>IFERROR(INDEX(Employee_Master!$C$2:$C$44,MATCH($C497,Employee_Master!$A$2:$A$44,0)),"Not Found")</f>
        <v>Sales</v>
      </c>
      <c r="F497" s="5" t="str">
        <f>IFERROR(INDEX(Employee_Master!$D$2:$D$44,MATCH($C497,Employee_Master!$A$2:$A$44,0)),"Not Found")</f>
        <v>Lisa Moore</v>
      </c>
      <c r="G497" s="5" t="str">
        <f>IFERROR(INDEX(Employee_Master!$E$2:$E$44,MATCH($C497,Employee_Master!$A$2:$A$44,0)),"Not Found")</f>
        <v>East</v>
      </c>
      <c r="H497" s="5" t="str">
        <f>Sales_Data!D494</f>
        <v>P025 - Lipstick Set</v>
      </c>
      <c r="I497" s="5" t="str">
        <f>IFERROR(INDEX(Product_Master!$B$2:$B$30,MATCH($H497,Product_Master!$A$2:$A$30,0)),"Invalid Product Code")</f>
        <v>Beauty</v>
      </c>
      <c r="J497" s="5">
        <f>IFERROR(INDEX(Product_Master!$C$2:$C$30,MATCH($H497,Product_Master!$A$2:$A$30,0)),0)</f>
        <v>765.9</v>
      </c>
      <c r="K497" s="5">
        <f>Sales_Data!E494</f>
        <v>6</v>
      </c>
      <c r="L497" s="5">
        <f>Sales_Data!F494</f>
        <v>4142.01</v>
      </c>
      <c r="M497" s="5">
        <f>Sales_Data!G494</f>
        <v>4569.9799999999996</v>
      </c>
      <c r="N497" s="5" t="str">
        <f>IFERROR(INDEX(Branch_Master!$B$2:$B$9,MATCH($B497,Branch_Master!$A$2:$A$9,0)),"Not Found")</f>
        <v>Kolkata</v>
      </c>
      <c r="O497" s="5" t="str">
        <f>IFERROR(INDEX(Branch_Master!$C$2:$C$9,MATCH($B497,Branch_Master!$A$2:$A$9,0)),"Not Found")</f>
        <v>West Bengal</v>
      </c>
      <c r="P497" s="5">
        <f>IFERROR(INDEX(Targets!$B$2:$B$9,MATCH($B497,Targets!$A$2:$A$9,0)),0)</f>
        <v>1910000</v>
      </c>
      <c r="Q497" s="5" t="str">
        <f t="shared" si="14"/>
        <v>No</v>
      </c>
      <c r="R497" s="5" t="str">
        <f t="shared" si="15"/>
        <v>Jul</v>
      </c>
    </row>
    <row r="498" spans="1:18" ht="15" customHeight="1" x14ac:dyDescent="0.3">
      <c r="A498" s="5" t="str">
        <f>Sales_Data!A495</f>
        <v>2025-07-03</v>
      </c>
      <c r="B498" s="5" t="str">
        <f>Sales_Data!B495</f>
        <v>Pune East</v>
      </c>
      <c r="C498" s="5" t="str">
        <f>Sales_Data!C495</f>
        <v>E034</v>
      </c>
      <c r="D498" s="5" t="str">
        <f>IFERROR(INDEX(Employee_Master!$B$2:$B$44,MATCH($C498,Employee_Master!$A$2:$A$44,0)),"Not Found")</f>
        <v>Elaine Thompson</v>
      </c>
      <c r="E498" s="5" t="str">
        <f>IFERROR(INDEX(Employee_Master!$C$2:$C$44,MATCH($C498,Employee_Master!$A$2:$A$44,0)),"Not Found")</f>
        <v>Marketing</v>
      </c>
      <c r="F498" s="5" t="str">
        <f>IFERROR(INDEX(Employee_Master!$D$2:$D$44,MATCH($C498,Employee_Master!$A$2:$A$44,0)),"Not Found")</f>
        <v>Jordan Matthews</v>
      </c>
      <c r="G498" s="5" t="str">
        <f>IFERROR(INDEX(Employee_Master!$E$2:$E$44,MATCH($C498,Employee_Master!$A$2:$A$44,0)),"Not Found")</f>
        <v>West</v>
      </c>
      <c r="H498" s="5" t="str">
        <f>Sales_Data!D495</f>
        <v>P019 - Organic Honey</v>
      </c>
      <c r="I498" s="5" t="str">
        <f>IFERROR(INDEX(Product_Master!$B$2:$B$30,MATCH($H498,Product_Master!$A$2:$A$30,0)),"Invalid Product Code")</f>
        <v>Grocery</v>
      </c>
      <c r="J498" s="5">
        <f>IFERROR(INDEX(Product_Master!$C$2:$C$30,MATCH($H498,Product_Master!$A$2:$A$30,0)),0)</f>
        <v>482.15</v>
      </c>
      <c r="K498" s="5">
        <f>Sales_Data!E495</f>
        <v>2</v>
      </c>
      <c r="L498" s="5">
        <f>Sales_Data!F495</f>
        <v>960.88</v>
      </c>
      <c r="M498" s="5">
        <f>Sales_Data!G495</f>
        <v>967.93</v>
      </c>
      <c r="N498" s="5" t="str">
        <f>IFERROR(INDEX(Branch_Master!$B$2:$B$9,MATCH($B498,Branch_Master!$A$2:$A$9,0)),"Not Found")</f>
        <v>Pune</v>
      </c>
      <c r="O498" s="5" t="str">
        <f>IFERROR(INDEX(Branch_Master!$C$2:$C$9,MATCH($B498,Branch_Master!$A$2:$A$9,0)),"Not Found")</f>
        <v>Maharashtra</v>
      </c>
      <c r="P498" s="5">
        <f>IFERROR(INDEX(Targets!$B$2:$B$9,MATCH($B498,Targets!$A$2:$A$9,0)),0)</f>
        <v>1250000</v>
      </c>
      <c r="Q498" s="5" t="str">
        <f t="shared" si="14"/>
        <v>No</v>
      </c>
      <c r="R498" s="5" t="str">
        <f t="shared" si="15"/>
        <v>Jul</v>
      </c>
    </row>
    <row r="499" spans="1:18" ht="15" customHeight="1" x14ac:dyDescent="0.3">
      <c r="A499" s="5" t="str">
        <f>Sales_Data!A496</f>
        <v>2025-07-03</v>
      </c>
      <c r="B499" s="5" t="str">
        <f>Sales_Data!B496</f>
        <v>Mumbai Central</v>
      </c>
      <c r="C499" s="5" t="str">
        <f>Sales_Data!C496</f>
        <v>E033</v>
      </c>
      <c r="D499" s="5" t="str">
        <f>IFERROR(INDEX(Employee_Master!$B$2:$B$44,MATCH($C499,Employee_Master!$A$2:$A$44,0)),"Not Found")</f>
        <v>Dawn Colon</v>
      </c>
      <c r="E499" s="5" t="str">
        <f>IFERROR(INDEX(Employee_Master!$C$2:$C$44,MATCH($C499,Employee_Master!$A$2:$A$44,0)),"Not Found")</f>
        <v>Customer Support</v>
      </c>
      <c r="F499" s="5" t="str">
        <f>IFERROR(INDEX(Employee_Master!$D$2:$D$44,MATCH($C499,Employee_Master!$A$2:$A$44,0)),"Not Found")</f>
        <v>Justin Glass</v>
      </c>
      <c r="G499" s="5" t="str">
        <f>IFERROR(INDEX(Employee_Master!$E$2:$E$44,MATCH($C499,Employee_Master!$A$2:$A$44,0)),"Not Found")</f>
        <v>West</v>
      </c>
      <c r="H499" s="5" t="str">
        <f>Sales_Data!D496</f>
        <v>P012 - Non-Stick Pan</v>
      </c>
      <c r="I499" s="5" t="str">
        <f>IFERROR(INDEX(Product_Master!$B$2:$B$30,MATCH($H499,Product_Master!$A$2:$A$30,0)),"Invalid Product Code")</f>
        <v>Home &amp; Kitchen</v>
      </c>
      <c r="J499" s="5">
        <f>IFERROR(INDEX(Product_Master!$C$2:$C$30,MATCH($H499,Product_Master!$A$2:$A$30,0)),0)</f>
        <v>353.18</v>
      </c>
      <c r="K499" s="5">
        <f>Sales_Data!E496</f>
        <v>7</v>
      </c>
      <c r="L499" s="5">
        <f>Sales_Data!F496</f>
        <v>2550.0100000000002</v>
      </c>
      <c r="M499" s="5">
        <f>Sales_Data!G496</f>
        <v>2211.64</v>
      </c>
      <c r="N499" s="5" t="str">
        <f>IFERROR(INDEX(Branch_Master!$B$2:$B$9,MATCH($B499,Branch_Master!$A$2:$A$9,0)),"Not Found")</f>
        <v>Mumbai</v>
      </c>
      <c r="O499" s="5" t="str">
        <f>IFERROR(INDEX(Branch_Master!$C$2:$C$9,MATCH($B499,Branch_Master!$A$2:$A$9,0)),"Not Found")</f>
        <v>Maharashtra</v>
      </c>
      <c r="P499" s="5">
        <f>IFERROR(INDEX(Targets!$B$2:$B$9,MATCH($B499,Targets!$A$2:$A$9,0)),0)</f>
        <v>900000</v>
      </c>
      <c r="Q499" s="5" t="str">
        <f t="shared" si="14"/>
        <v>Yes</v>
      </c>
      <c r="R499" s="5" t="str">
        <f t="shared" si="15"/>
        <v>Jul</v>
      </c>
    </row>
    <row r="500" spans="1:18" ht="15" customHeight="1" x14ac:dyDescent="0.3">
      <c r="A500" s="5" t="str">
        <f>Sales_Data!A497</f>
        <v>2025-07-03</v>
      </c>
      <c r="B500" s="5" t="str">
        <f>Sales_Data!B497</f>
        <v>Mumbai Central</v>
      </c>
      <c r="C500" s="5" t="str">
        <f>Sales_Data!C497</f>
        <v>E033</v>
      </c>
      <c r="D500" s="5" t="str">
        <f>IFERROR(INDEX(Employee_Master!$B$2:$B$44,MATCH($C500,Employee_Master!$A$2:$A$44,0)),"Not Found")</f>
        <v>Dawn Colon</v>
      </c>
      <c r="E500" s="5" t="str">
        <f>IFERROR(INDEX(Employee_Master!$C$2:$C$44,MATCH($C500,Employee_Master!$A$2:$A$44,0)),"Not Found")</f>
        <v>Customer Support</v>
      </c>
      <c r="F500" s="5" t="str">
        <f>IFERROR(INDEX(Employee_Master!$D$2:$D$44,MATCH($C500,Employee_Master!$A$2:$A$44,0)),"Not Found")</f>
        <v>Justin Glass</v>
      </c>
      <c r="G500" s="5" t="str">
        <f>IFERROR(INDEX(Employee_Master!$E$2:$E$44,MATCH($C500,Employee_Master!$A$2:$A$44,0)),"Not Found")</f>
        <v>West</v>
      </c>
      <c r="H500" s="5" t="str">
        <f>Sales_Data!D497</f>
        <v>P010 - Running Shoes</v>
      </c>
      <c r="I500" s="5" t="str">
        <f>IFERROR(INDEX(Product_Master!$B$2:$B$30,MATCH($H500,Product_Master!$A$2:$A$30,0)),"Invalid Product Code")</f>
        <v>Apparel</v>
      </c>
      <c r="J500" s="5">
        <f>IFERROR(INDEX(Product_Master!$C$2:$C$30,MATCH($H500,Product_Master!$A$2:$A$30,0)),0)</f>
        <v>233.71</v>
      </c>
      <c r="K500" s="5">
        <f>Sales_Data!E497</f>
        <v>2</v>
      </c>
      <c r="L500" s="5">
        <f>Sales_Data!F497</f>
        <v>468.75</v>
      </c>
      <c r="M500" s="5">
        <f>Sales_Data!G497</f>
        <v>398.78</v>
      </c>
      <c r="N500" s="5" t="str">
        <f>IFERROR(INDEX(Branch_Master!$B$2:$B$9,MATCH($B500,Branch_Master!$A$2:$A$9,0)),"Not Found")</f>
        <v>Mumbai</v>
      </c>
      <c r="O500" s="5" t="str">
        <f>IFERROR(INDEX(Branch_Master!$C$2:$C$9,MATCH($B500,Branch_Master!$A$2:$A$9,0)),"Not Found")</f>
        <v>Maharashtra</v>
      </c>
      <c r="P500" s="5">
        <f>IFERROR(INDEX(Targets!$B$2:$B$9,MATCH($B500,Targets!$A$2:$A$9,0)),0)</f>
        <v>900000</v>
      </c>
      <c r="Q500" s="5" t="str">
        <f t="shared" si="14"/>
        <v>Yes</v>
      </c>
      <c r="R500" s="5" t="str">
        <f t="shared" si="15"/>
        <v>Jul</v>
      </c>
    </row>
    <row r="501" spans="1:18" ht="15" customHeight="1" x14ac:dyDescent="0.3">
      <c r="A501" s="5" t="str">
        <f>Sales_Data!A498</f>
        <v>2025-07-04</v>
      </c>
      <c r="B501" s="5" t="str">
        <f>Sales_Data!B498</f>
        <v>Bangalore North</v>
      </c>
      <c r="C501" s="5" t="str">
        <f>Sales_Data!C498</f>
        <v>E004</v>
      </c>
      <c r="D501" s="5" t="str">
        <f>IFERROR(INDEX(Employee_Master!$B$2:$B$44,MATCH($C501,Employee_Master!$A$2:$A$44,0)),"Not Found")</f>
        <v>Judith Ramirez</v>
      </c>
      <c r="E501" s="5" t="str">
        <f>IFERROR(INDEX(Employee_Master!$C$2:$C$44,MATCH($C501,Employee_Master!$A$2:$A$44,0)),"Not Found")</f>
        <v>Sales</v>
      </c>
      <c r="F501" s="5" t="str">
        <f>IFERROR(INDEX(Employee_Master!$D$2:$D$44,MATCH($C501,Employee_Master!$A$2:$A$44,0)),"Not Found")</f>
        <v>Jose Soto</v>
      </c>
      <c r="G501" s="5" t="str">
        <f>IFERROR(INDEX(Employee_Master!$E$2:$E$44,MATCH($C501,Employee_Master!$A$2:$A$44,0)),"Not Found")</f>
        <v>South</v>
      </c>
      <c r="H501" s="5" t="str">
        <f>Sales_Data!D498</f>
        <v>P024 - Hair Serum</v>
      </c>
      <c r="I501" s="5" t="str">
        <f>IFERROR(INDEX(Product_Master!$B$2:$B$30,MATCH($H501,Product_Master!$A$2:$A$30,0)),"Invalid Product Code")</f>
        <v>Beauty</v>
      </c>
      <c r="J501" s="5">
        <f>IFERROR(INDEX(Product_Master!$C$2:$C$30,MATCH($H501,Product_Master!$A$2:$A$30,0)),0)</f>
        <v>1457.31</v>
      </c>
      <c r="K501" s="5">
        <f>Sales_Data!E498</f>
        <v>2</v>
      </c>
      <c r="L501" s="5">
        <f>Sales_Data!F498</f>
        <v>2635.05</v>
      </c>
      <c r="M501" s="5">
        <f>Sales_Data!G498</f>
        <v>2759.05</v>
      </c>
      <c r="N501" s="5" t="str">
        <f>IFERROR(INDEX(Branch_Master!$B$2:$B$9,MATCH($B501,Branch_Master!$A$2:$A$9,0)),"Not Found")</f>
        <v>Bangalore</v>
      </c>
      <c r="O501" s="5" t="str">
        <f>IFERROR(INDEX(Branch_Master!$C$2:$C$9,MATCH($B501,Branch_Master!$A$2:$A$9,0)),"Not Found")</f>
        <v>Karnataka</v>
      </c>
      <c r="P501" s="5">
        <f>IFERROR(INDEX(Targets!$B$2:$B$9,MATCH($B501,Targets!$A$2:$A$9,0)),0)</f>
        <v>900000</v>
      </c>
      <c r="Q501" s="5" t="str">
        <f t="shared" si="14"/>
        <v>No</v>
      </c>
      <c r="R501" s="5" t="str">
        <f t="shared" si="15"/>
        <v>Jul</v>
      </c>
    </row>
    <row r="502" spans="1:18" ht="15" customHeight="1" x14ac:dyDescent="0.3">
      <c r="A502" s="5" t="str">
        <f>Sales_Data!A499</f>
        <v>2025-07-04</v>
      </c>
      <c r="B502" s="5" t="str">
        <f>Sales_Data!B499</f>
        <v>Mumbai Central</v>
      </c>
      <c r="C502" s="5" t="str">
        <f>Sales_Data!C499</f>
        <v>E027</v>
      </c>
      <c r="D502" s="5" t="str">
        <f>IFERROR(INDEX(Employee_Master!$B$2:$B$44,MATCH($C502,Employee_Master!$A$2:$A$44,0)),"Not Found")</f>
        <v>Catherine Moore</v>
      </c>
      <c r="E502" s="5" t="str">
        <f>IFERROR(INDEX(Employee_Master!$C$2:$C$44,MATCH($C502,Employee_Master!$A$2:$A$44,0)),"Not Found")</f>
        <v>Customer Support</v>
      </c>
      <c r="F502" s="5" t="str">
        <f>IFERROR(INDEX(Employee_Master!$D$2:$D$44,MATCH($C502,Employee_Master!$A$2:$A$44,0)),"Not Found")</f>
        <v>Justin Glass</v>
      </c>
      <c r="G502" s="5" t="str">
        <f>IFERROR(INDEX(Employee_Master!$E$2:$E$44,MATCH($C502,Employee_Master!$A$2:$A$44,0)),"Not Found")</f>
        <v>West</v>
      </c>
      <c r="H502" s="5" t="str">
        <f>Sales_Data!D499</f>
        <v>P003 - Bluetooth Speaker</v>
      </c>
      <c r="I502" s="5" t="str">
        <f>IFERROR(INDEX(Product_Master!$B$2:$B$30,MATCH($H502,Product_Master!$A$2:$A$30,0)),"Invalid Product Code")</f>
        <v>Electronics</v>
      </c>
      <c r="J502" s="5">
        <f>IFERROR(INDEX(Product_Master!$C$2:$C$30,MATCH($H502,Product_Master!$A$2:$A$30,0)),0)</f>
        <v>351.01</v>
      </c>
      <c r="K502" s="5">
        <f>Sales_Data!E499</f>
        <v>7</v>
      </c>
      <c r="L502" s="5">
        <f>Sales_Data!F499</f>
        <v>2216.1799999999998</v>
      </c>
      <c r="M502" s="5">
        <f>Sales_Data!G499</f>
        <v>2622.78</v>
      </c>
      <c r="N502" s="5" t="str">
        <f>IFERROR(INDEX(Branch_Master!$B$2:$B$9,MATCH($B502,Branch_Master!$A$2:$A$9,0)),"Not Found")</f>
        <v>Mumbai</v>
      </c>
      <c r="O502" s="5" t="str">
        <f>IFERROR(INDEX(Branch_Master!$C$2:$C$9,MATCH($B502,Branch_Master!$A$2:$A$9,0)),"Not Found")</f>
        <v>Maharashtra</v>
      </c>
      <c r="P502" s="5">
        <f>IFERROR(INDEX(Targets!$B$2:$B$9,MATCH($B502,Targets!$A$2:$A$9,0)),0)</f>
        <v>900000</v>
      </c>
      <c r="Q502" s="5" t="str">
        <f t="shared" si="14"/>
        <v>No</v>
      </c>
      <c r="R502" s="5" t="str">
        <f t="shared" si="15"/>
        <v>Jul</v>
      </c>
    </row>
    <row r="503" spans="1:18" ht="15" customHeight="1" x14ac:dyDescent="0.3">
      <c r="A503" s="5" t="str">
        <f>Sales_Data!A500</f>
        <v>2025-07-04</v>
      </c>
      <c r="B503" s="5" t="str">
        <f>Sales_Data!B500</f>
        <v>Chennai South</v>
      </c>
      <c r="C503" s="5" t="str">
        <f>Sales_Data!C500</f>
        <v>E019</v>
      </c>
      <c r="D503" s="5" t="str">
        <f>IFERROR(INDEX(Employee_Master!$B$2:$B$44,MATCH($C503,Employee_Master!$A$2:$A$44,0)),"Not Found")</f>
        <v>Regina Torres</v>
      </c>
      <c r="E503" s="5" t="str">
        <f>IFERROR(INDEX(Employee_Master!$C$2:$C$44,MATCH($C503,Employee_Master!$A$2:$A$44,0)),"Not Found")</f>
        <v>Operations</v>
      </c>
      <c r="F503" s="5" t="str">
        <f>IFERROR(INDEX(Employee_Master!$D$2:$D$44,MATCH($C503,Employee_Master!$A$2:$A$44,0)),"Not Found")</f>
        <v>Robert Steele</v>
      </c>
      <c r="G503" s="5" t="str">
        <f>IFERROR(INDEX(Employee_Master!$E$2:$E$44,MATCH($C503,Employee_Master!$A$2:$A$44,0)),"Not Found")</f>
        <v>South</v>
      </c>
      <c r="H503" s="5" t="str">
        <f>Sales_Data!D500</f>
        <v>P007 - Cotton T-Shirt</v>
      </c>
      <c r="I503" s="5" t="str">
        <f>IFERROR(INDEX(Product_Master!$B$2:$B$30,MATCH($H503,Product_Master!$A$2:$A$30,0)),"Invalid Product Code")</f>
        <v>Apparel</v>
      </c>
      <c r="J503" s="5">
        <f>IFERROR(INDEX(Product_Master!$C$2:$C$30,MATCH($H503,Product_Master!$A$2:$A$30,0)),0)</f>
        <v>338.44</v>
      </c>
      <c r="K503" s="5">
        <f>Sales_Data!E500</f>
        <v>3</v>
      </c>
      <c r="L503" s="5">
        <f>Sales_Data!F500</f>
        <v>928.3</v>
      </c>
      <c r="M503" s="5">
        <f>Sales_Data!G500</f>
        <v>943.99</v>
      </c>
      <c r="N503" s="5" t="str">
        <f>IFERROR(INDEX(Branch_Master!$B$2:$B$9,MATCH($B503,Branch_Master!$A$2:$A$9,0)),"Not Found")</f>
        <v>Chennai</v>
      </c>
      <c r="O503" s="5" t="str">
        <f>IFERROR(INDEX(Branch_Master!$C$2:$C$9,MATCH($B503,Branch_Master!$A$2:$A$9,0)),"Not Found")</f>
        <v>Tamil Nadu</v>
      </c>
      <c r="P503" s="5">
        <f>IFERROR(INDEX(Targets!$B$2:$B$9,MATCH($B503,Targets!$A$2:$A$9,0)),0)</f>
        <v>1910000</v>
      </c>
      <c r="Q503" s="5" t="str">
        <f t="shared" si="14"/>
        <v>No</v>
      </c>
      <c r="R503" s="5" t="str">
        <f t="shared" si="15"/>
        <v>Jul</v>
      </c>
    </row>
    <row r="504" spans="1:18" ht="15" customHeight="1" x14ac:dyDescent="0.3">
      <c r="A504" s="5" t="str">
        <f>Sales_Data!A501</f>
        <v>2025-07-05</v>
      </c>
      <c r="B504" s="5" t="str">
        <f>Sales_Data!B501</f>
        <v>Kolkata Central</v>
      </c>
      <c r="C504" s="5" t="str">
        <f>Sales_Data!C501</f>
        <v>E024</v>
      </c>
      <c r="D504" s="5" t="str">
        <f>IFERROR(INDEX(Employee_Master!$B$2:$B$44,MATCH($C504,Employee_Master!$A$2:$A$44,0)),"Not Found")</f>
        <v>Kevin Sanchez</v>
      </c>
      <c r="E504" s="5" t="str">
        <f>IFERROR(INDEX(Employee_Master!$C$2:$C$44,MATCH($C504,Employee_Master!$A$2:$A$44,0)),"Not Found")</f>
        <v>Sales</v>
      </c>
      <c r="F504" s="5" t="str">
        <f>IFERROR(INDEX(Employee_Master!$D$2:$D$44,MATCH($C504,Employee_Master!$A$2:$A$44,0)),"Not Found")</f>
        <v>Lisa Moore</v>
      </c>
      <c r="G504" s="5" t="str">
        <f>IFERROR(INDEX(Employee_Master!$E$2:$E$44,MATCH($C504,Employee_Master!$A$2:$A$44,0)),"Not Found")</f>
        <v>East</v>
      </c>
      <c r="H504" s="5" t="str">
        <f>Sales_Data!D501</f>
        <v>P010 - Running Shoes</v>
      </c>
      <c r="I504" s="5" t="str">
        <f>IFERROR(INDEX(Product_Master!$B$2:$B$30,MATCH($H504,Product_Master!$A$2:$A$30,0)),"Invalid Product Code")</f>
        <v>Apparel</v>
      </c>
      <c r="J504" s="5">
        <f>IFERROR(INDEX(Product_Master!$C$2:$C$30,MATCH($H504,Product_Master!$A$2:$A$30,0)),0)</f>
        <v>233.71</v>
      </c>
      <c r="K504" s="5">
        <f>Sales_Data!E501</f>
        <v>1</v>
      </c>
      <c r="L504" s="5">
        <f>Sales_Data!F501</f>
        <v>232.51</v>
      </c>
      <c r="M504" s="5">
        <f>Sales_Data!G501</f>
        <v>231.54</v>
      </c>
      <c r="N504" s="5" t="str">
        <f>IFERROR(INDEX(Branch_Master!$B$2:$B$9,MATCH($B504,Branch_Master!$A$2:$A$9,0)),"Not Found")</f>
        <v>Kolkata</v>
      </c>
      <c r="O504" s="5" t="str">
        <f>IFERROR(INDEX(Branch_Master!$C$2:$C$9,MATCH($B504,Branch_Master!$A$2:$A$9,0)),"Not Found")</f>
        <v>West Bengal</v>
      </c>
      <c r="P504" s="5">
        <f>IFERROR(INDEX(Targets!$B$2:$B$9,MATCH($B504,Targets!$A$2:$A$9,0)),0)</f>
        <v>1910000</v>
      </c>
      <c r="Q504" s="5" t="str">
        <f t="shared" si="14"/>
        <v>Yes</v>
      </c>
      <c r="R504" s="5" t="str">
        <f t="shared" si="15"/>
        <v>Jul</v>
      </c>
    </row>
    <row r="505" spans="1:18" ht="15" customHeight="1" x14ac:dyDescent="0.3">
      <c r="A505" s="5" t="str">
        <f>Sales_Data!A502</f>
        <v>2025-07-05</v>
      </c>
      <c r="B505" s="5" t="str">
        <f>Sales_Data!B502</f>
        <v>Hyderabad Hitech</v>
      </c>
      <c r="C505" s="5" t="str">
        <f>Sales_Data!C502</f>
        <v>E014</v>
      </c>
      <c r="D505" s="5" t="str">
        <f>IFERROR(INDEX(Employee_Master!$B$2:$B$44,MATCH($C505,Employee_Master!$A$2:$A$44,0)),"Not Found")</f>
        <v>Brian Brown</v>
      </c>
      <c r="E505" s="5" t="str">
        <f>IFERROR(INDEX(Employee_Master!$C$2:$C$44,MATCH($C505,Employee_Master!$A$2:$A$44,0)),"Not Found")</f>
        <v>Marketing</v>
      </c>
      <c r="F505" s="5" t="str">
        <f>IFERROR(INDEX(Employee_Master!$D$2:$D$44,MATCH($C505,Employee_Master!$A$2:$A$44,0)),"Not Found")</f>
        <v>Anna Turner</v>
      </c>
      <c r="G505" s="5" t="str">
        <f>IFERROR(INDEX(Employee_Master!$E$2:$E$44,MATCH($C505,Employee_Master!$A$2:$A$44,0)),"Not Found")</f>
        <v>South</v>
      </c>
      <c r="H505" s="5" t="str">
        <f>Sales_Data!D502</f>
        <v>P006 - Laptop Stand</v>
      </c>
      <c r="I505" s="5" t="str">
        <f>IFERROR(INDEX(Product_Master!$B$2:$B$30,MATCH($H505,Product_Master!$A$2:$A$30,0)),"Invalid Product Code")</f>
        <v>Electronics</v>
      </c>
      <c r="J505" s="5">
        <f>IFERROR(INDEX(Product_Master!$C$2:$C$30,MATCH($H505,Product_Master!$A$2:$A$30,0)),0)</f>
        <v>393.96</v>
      </c>
      <c r="K505" s="5">
        <f>Sales_Data!E502</f>
        <v>7</v>
      </c>
      <c r="L505" s="5">
        <f>Sales_Data!F502</f>
        <v>2846.26</v>
      </c>
      <c r="M505" s="5">
        <f>Sales_Data!G502</f>
        <v>2584.17</v>
      </c>
      <c r="N505" s="5" t="str">
        <f>IFERROR(INDEX(Branch_Master!$B$2:$B$9,MATCH($B505,Branch_Master!$A$2:$A$9,0)),"Not Found")</f>
        <v>Hyderabad</v>
      </c>
      <c r="O505" s="5" t="str">
        <f>IFERROR(INDEX(Branch_Master!$C$2:$C$9,MATCH($B505,Branch_Master!$A$2:$A$9,0)),"Not Found")</f>
        <v>Telangana</v>
      </c>
      <c r="P505" s="5">
        <f>IFERROR(INDEX(Targets!$B$2:$B$9,MATCH($B505,Targets!$A$2:$A$9,0)),0)</f>
        <v>1210000</v>
      </c>
      <c r="Q505" s="5" t="str">
        <f t="shared" si="14"/>
        <v>Yes</v>
      </c>
      <c r="R505" s="5" t="str">
        <f t="shared" si="15"/>
        <v>Jul</v>
      </c>
    </row>
    <row r="506" spans="1:18" ht="15" customHeight="1" x14ac:dyDescent="0.3">
      <c r="A506" s="5" t="str">
        <f>Sales_Data!A503</f>
        <v>2025-07-05</v>
      </c>
      <c r="B506" s="5" t="str">
        <f>Sales_Data!B503</f>
        <v>Chennai South</v>
      </c>
      <c r="C506" s="5" t="str">
        <f>Sales_Data!C503</f>
        <v>E019</v>
      </c>
      <c r="D506" s="5" t="str">
        <f>IFERROR(INDEX(Employee_Master!$B$2:$B$44,MATCH($C506,Employee_Master!$A$2:$A$44,0)),"Not Found")</f>
        <v>Regina Torres</v>
      </c>
      <c r="E506" s="5" t="str">
        <f>IFERROR(INDEX(Employee_Master!$C$2:$C$44,MATCH($C506,Employee_Master!$A$2:$A$44,0)),"Not Found")</f>
        <v>Operations</v>
      </c>
      <c r="F506" s="5" t="str">
        <f>IFERROR(INDEX(Employee_Master!$D$2:$D$44,MATCH($C506,Employee_Master!$A$2:$A$44,0)),"Not Found")</f>
        <v>Robert Steele</v>
      </c>
      <c r="G506" s="5" t="str">
        <f>IFERROR(INDEX(Employee_Master!$E$2:$E$44,MATCH($C506,Employee_Master!$A$2:$A$44,0)),"Not Found")</f>
        <v>South</v>
      </c>
      <c r="H506" s="5" t="str">
        <f>Sales_Data!D503</f>
        <v>P015 - Water Bottle</v>
      </c>
      <c r="I506" s="5" t="str">
        <f>IFERROR(INDEX(Product_Master!$B$2:$B$30,MATCH($H506,Product_Master!$A$2:$A$30,0)),"Invalid Product Code")</f>
        <v>Home &amp; Kitchen</v>
      </c>
      <c r="J506" s="5">
        <f>IFERROR(INDEX(Product_Master!$C$2:$C$30,MATCH($H506,Product_Master!$A$2:$A$30,0)),0)</f>
        <v>197.57</v>
      </c>
      <c r="K506" s="5">
        <f>Sales_Data!E503</f>
        <v>9</v>
      </c>
      <c r="L506" s="5">
        <f>Sales_Data!F503</f>
        <v>1804.91</v>
      </c>
      <c r="M506" s="5">
        <f>Sales_Data!G503</f>
        <v>2043.57</v>
      </c>
      <c r="N506" s="5" t="str">
        <f>IFERROR(INDEX(Branch_Master!$B$2:$B$9,MATCH($B506,Branch_Master!$A$2:$A$9,0)),"Not Found")</f>
        <v>Chennai</v>
      </c>
      <c r="O506" s="5" t="str">
        <f>IFERROR(INDEX(Branch_Master!$C$2:$C$9,MATCH($B506,Branch_Master!$A$2:$A$9,0)),"Not Found")</f>
        <v>Tamil Nadu</v>
      </c>
      <c r="P506" s="5">
        <f>IFERROR(INDEX(Targets!$B$2:$B$9,MATCH($B506,Targets!$A$2:$A$9,0)),0)</f>
        <v>1910000</v>
      </c>
      <c r="Q506" s="5" t="str">
        <f t="shared" si="14"/>
        <v>No</v>
      </c>
      <c r="R506" s="5" t="str">
        <f t="shared" si="15"/>
        <v>Jul</v>
      </c>
    </row>
    <row r="507" spans="1:18" ht="15" customHeight="1" x14ac:dyDescent="0.3">
      <c r="A507" s="5" t="str">
        <f>Sales_Data!A504</f>
        <v>2025-07-05</v>
      </c>
      <c r="B507" s="5" t="str">
        <f>Sales_Data!B504</f>
        <v>Chennai South</v>
      </c>
      <c r="C507" s="5" t="str">
        <f>Sales_Data!C504</f>
        <v>E015</v>
      </c>
      <c r="D507" s="5" t="str">
        <f>IFERROR(INDEX(Employee_Master!$B$2:$B$44,MATCH($C507,Employee_Master!$A$2:$A$44,0)),"Not Found")</f>
        <v>Cassandra Hansen</v>
      </c>
      <c r="E507" s="5" t="str">
        <f>IFERROR(INDEX(Employee_Master!$C$2:$C$44,MATCH($C507,Employee_Master!$A$2:$A$44,0)),"Not Found")</f>
        <v>Customer Support</v>
      </c>
      <c r="F507" s="5" t="str">
        <f>IFERROR(INDEX(Employee_Master!$D$2:$D$44,MATCH($C507,Employee_Master!$A$2:$A$44,0)),"Not Found")</f>
        <v>Robert Steele</v>
      </c>
      <c r="G507" s="5" t="str">
        <f>IFERROR(INDEX(Employee_Master!$E$2:$E$44,MATCH($C507,Employee_Master!$A$2:$A$44,0)),"Not Found")</f>
        <v>South</v>
      </c>
      <c r="H507" s="5" t="str">
        <f>Sales_Data!D504</f>
        <v>P027 - Cricket Bat</v>
      </c>
      <c r="I507" s="5" t="str">
        <f>IFERROR(INDEX(Product_Master!$B$2:$B$30,MATCH($H507,Product_Master!$A$2:$A$30,0)),"Invalid Product Code")</f>
        <v>Sports</v>
      </c>
      <c r="J507" s="5">
        <f>IFERROR(INDEX(Product_Master!$C$2:$C$30,MATCH($H507,Product_Master!$A$2:$A$30,0)),0)</f>
        <v>822.7</v>
      </c>
      <c r="K507" s="5">
        <f>Sales_Data!E504</f>
        <v>8</v>
      </c>
      <c r="L507" s="5">
        <f>Sales_Data!F504</f>
        <v>6786.75</v>
      </c>
      <c r="M507" s="5">
        <f>Sales_Data!G504</f>
        <v>7490.53</v>
      </c>
      <c r="N507" s="5" t="str">
        <f>IFERROR(INDEX(Branch_Master!$B$2:$B$9,MATCH($B507,Branch_Master!$A$2:$A$9,0)),"Not Found")</f>
        <v>Chennai</v>
      </c>
      <c r="O507" s="5" t="str">
        <f>IFERROR(INDEX(Branch_Master!$C$2:$C$9,MATCH($B507,Branch_Master!$A$2:$A$9,0)),"Not Found")</f>
        <v>Tamil Nadu</v>
      </c>
      <c r="P507" s="5">
        <f>IFERROR(INDEX(Targets!$B$2:$B$9,MATCH($B507,Targets!$A$2:$A$9,0)),0)</f>
        <v>1910000</v>
      </c>
      <c r="Q507" s="5" t="str">
        <f t="shared" si="14"/>
        <v>No</v>
      </c>
      <c r="R507" s="5" t="str">
        <f t="shared" si="15"/>
        <v>Jul</v>
      </c>
    </row>
    <row r="508" spans="1:18" ht="15" customHeight="1" x14ac:dyDescent="0.3">
      <c r="A508" s="5" t="str">
        <f>Sales_Data!A505</f>
        <v>2025-07-06</v>
      </c>
      <c r="B508" s="5" t="str">
        <f>Sales_Data!B505</f>
        <v>Mumbai Central</v>
      </c>
      <c r="C508" s="5" t="str">
        <f>Sales_Data!C505</f>
        <v>E021</v>
      </c>
      <c r="D508" s="5" t="str">
        <f>IFERROR(INDEX(Employee_Master!$B$2:$B$44,MATCH($C508,Employee_Master!$A$2:$A$44,0)),"Not Found")</f>
        <v>Maria Garcia</v>
      </c>
      <c r="E508" s="5" t="str">
        <f>IFERROR(INDEX(Employee_Master!$C$2:$C$44,MATCH($C508,Employee_Master!$A$2:$A$44,0)),"Not Found")</f>
        <v>Sales</v>
      </c>
      <c r="F508" s="5" t="str">
        <f>IFERROR(INDEX(Employee_Master!$D$2:$D$44,MATCH($C508,Employee_Master!$A$2:$A$44,0)),"Not Found")</f>
        <v>Justin Glass</v>
      </c>
      <c r="G508" s="5" t="str">
        <f>IFERROR(INDEX(Employee_Master!$E$2:$E$44,MATCH($C508,Employee_Master!$A$2:$A$44,0)),"Not Found")</f>
        <v>West</v>
      </c>
      <c r="H508" s="5" t="str">
        <f>Sales_Data!D505</f>
        <v>P001 - Wireless Earbuds</v>
      </c>
      <c r="I508" s="5" t="str">
        <f>IFERROR(INDEX(Product_Master!$B$2:$B$30,MATCH($H508,Product_Master!$A$2:$A$30,0)),"Invalid Product Code")</f>
        <v>Electronics</v>
      </c>
      <c r="J508" s="5">
        <f>IFERROR(INDEX(Product_Master!$C$2:$C$30,MATCH($H508,Product_Master!$A$2:$A$30,0)),0)</f>
        <v>1676.76</v>
      </c>
      <c r="K508" s="5">
        <f>Sales_Data!E505</f>
        <v>12</v>
      </c>
      <c r="L508" s="5">
        <f>Sales_Data!F505</f>
        <v>20484.21</v>
      </c>
      <c r="M508" s="5">
        <f>Sales_Data!G505</f>
        <v>21312.11</v>
      </c>
      <c r="N508" s="5" t="str">
        <f>IFERROR(INDEX(Branch_Master!$B$2:$B$9,MATCH($B508,Branch_Master!$A$2:$A$9,0)),"Not Found")</f>
        <v>Mumbai</v>
      </c>
      <c r="O508" s="5" t="str">
        <f>IFERROR(INDEX(Branch_Master!$C$2:$C$9,MATCH($B508,Branch_Master!$A$2:$A$9,0)),"Not Found")</f>
        <v>Maharashtra</v>
      </c>
      <c r="P508" s="5">
        <f>IFERROR(INDEX(Targets!$B$2:$B$9,MATCH($B508,Targets!$A$2:$A$9,0)),0)</f>
        <v>900000</v>
      </c>
      <c r="Q508" s="5" t="str">
        <f t="shared" si="14"/>
        <v>No</v>
      </c>
      <c r="R508" s="5" t="str">
        <f t="shared" si="15"/>
        <v>Jul</v>
      </c>
    </row>
    <row r="509" spans="1:18" ht="15" customHeight="1" x14ac:dyDescent="0.3">
      <c r="A509" s="5" t="str">
        <f>Sales_Data!A506</f>
        <v>2025-07-06</v>
      </c>
      <c r="B509" s="5" t="str">
        <f>Sales_Data!B506</f>
        <v>Chennai South</v>
      </c>
      <c r="C509" s="5" t="str">
        <f>Sales_Data!C506</f>
        <v>E019</v>
      </c>
      <c r="D509" s="5" t="str">
        <f>IFERROR(INDEX(Employee_Master!$B$2:$B$44,MATCH($C509,Employee_Master!$A$2:$A$44,0)),"Not Found")</f>
        <v>Regina Torres</v>
      </c>
      <c r="E509" s="5" t="str">
        <f>IFERROR(INDEX(Employee_Master!$C$2:$C$44,MATCH($C509,Employee_Master!$A$2:$A$44,0)),"Not Found")</f>
        <v>Operations</v>
      </c>
      <c r="F509" s="5" t="str">
        <f>IFERROR(INDEX(Employee_Master!$D$2:$D$44,MATCH($C509,Employee_Master!$A$2:$A$44,0)),"Not Found")</f>
        <v>Robert Steele</v>
      </c>
      <c r="G509" s="5" t="str">
        <f>IFERROR(INDEX(Employee_Master!$E$2:$E$44,MATCH($C509,Employee_Master!$A$2:$A$44,0)),"Not Found")</f>
        <v>South</v>
      </c>
      <c r="H509" s="5" t="str">
        <f>Sales_Data!D506</f>
        <v>P019 - Organic Honey</v>
      </c>
      <c r="I509" s="5" t="str">
        <f>IFERROR(INDEX(Product_Master!$B$2:$B$30,MATCH($H509,Product_Master!$A$2:$A$30,0)),"Invalid Product Code")</f>
        <v>Grocery</v>
      </c>
      <c r="J509" s="5">
        <f>IFERROR(INDEX(Product_Master!$C$2:$C$30,MATCH($H509,Product_Master!$A$2:$A$30,0)),0)</f>
        <v>482.15</v>
      </c>
      <c r="K509" s="5">
        <f>Sales_Data!E506</f>
        <v>3</v>
      </c>
      <c r="L509" s="5">
        <f>Sales_Data!F506</f>
        <v>1379.53</v>
      </c>
      <c r="M509" s="5">
        <f>Sales_Data!G506</f>
        <v>1278.5</v>
      </c>
      <c r="N509" s="5" t="str">
        <f>IFERROR(INDEX(Branch_Master!$B$2:$B$9,MATCH($B509,Branch_Master!$A$2:$A$9,0)),"Not Found")</f>
        <v>Chennai</v>
      </c>
      <c r="O509" s="5" t="str">
        <f>IFERROR(INDEX(Branch_Master!$C$2:$C$9,MATCH($B509,Branch_Master!$A$2:$A$9,0)),"Not Found")</f>
        <v>Tamil Nadu</v>
      </c>
      <c r="P509" s="5">
        <f>IFERROR(INDEX(Targets!$B$2:$B$9,MATCH($B509,Targets!$A$2:$A$9,0)),0)</f>
        <v>1910000</v>
      </c>
      <c r="Q509" s="5" t="str">
        <f t="shared" si="14"/>
        <v>Yes</v>
      </c>
      <c r="R509" s="5" t="str">
        <f t="shared" si="15"/>
        <v>Jul</v>
      </c>
    </row>
    <row r="510" spans="1:18" ht="15" customHeight="1" x14ac:dyDescent="0.3">
      <c r="A510" s="5" t="str">
        <f>Sales_Data!A507</f>
        <v>2025-07-07</v>
      </c>
      <c r="B510" s="5" t="str">
        <f>Sales_Data!B507</f>
        <v>Pune East</v>
      </c>
      <c r="C510" s="5" t="str">
        <f>Sales_Data!C507</f>
        <v>E034</v>
      </c>
      <c r="D510" s="5" t="str">
        <f>IFERROR(INDEX(Employee_Master!$B$2:$B$44,MATCH($C510,Employee_Master!$A$2:$A$44,0)),"Not Found")</f>
        <v>Elaine Thompson</v>
      </c>
      <c r="E510" s="5" t="str">
        <f>IFERROR(INDEX(Employee_Master!$C$2:$C$44,MATCH($C510,Employee_Master!$A$2:$A$44,0)),"Not Found")</f>
        <v>Marketing</v>
      </c>
      <c r="F510" s="5" t="str">
        <f>IFERROR(INDEX(Employee_Master!$D$2:$D$44,MATCH($C510,Employee_Master!$A$2:$A$44,0)),"Not Found")</f>
        <v>Jordan Matthews</v>
      </c>
      <c r="G510" s="5" t="str">
        <f>IFERROR(INDEX(Employee_Master!$E$2:$E$44,MATCH($C510,Employee_Master!$A$2:$A$44,0)),"Not Found")</f>
        <v>West</v>
      </c>
      <c r="H510" s="5" t="str">
        <f>Sales_Data!D507</f>
        <v>P010 - Running Shoes</v>
      </c>
      <c r="I510" s="5" t="str">
        <f>IFERROR(INDEX(Product_Master!$B$2:$B$30,MATCH($H510,Product_Master!$A$2:$A$30,0)),"Invalid Product Code")</f>
        <v>Apparel</v>
      </c>
      <c r="J510" s="5">
        <f>IFERROR(INDEX(Product_Master!$C$2:$C$30,MATCH($H510,Product_Master!$A$2:$A$30,0)),0)</f>
        <v>233.71</v>
      </c>
      <c r="K510" s="5">
        <f>Sales_Data!E507</f>
        <v>2</v>
      </c>
      <c r="L510" s="5">
        <f>Sales_Data!F507</f>
        <v>463.28</v>
      </c>
      <c r="M510" s="5">
        <f>Sales_Data!G507</f>
        <v>468.22</v>
      </c>
      <c r="N510" s="5" t="str">
        <f>IFERROR(INDEX(Branch_Master!$B$2:$B$9,MATCH($B510,Branch_Master!$A$2:$A$9,0)),"Not Found")</f>
        <v>Pune</v>
      </c>
      <c r="O510" s="5" t="str">
        <f>IFERROR(INDEX(Branch_Master!$C$2:$C$9,MATCH($B510,Branch_Master!$A$2:$A$9,0)),"Not Found")</f>
        <v>Maharashtra</v>
      </c>
      <c r="P510" s="5">
        <f>IFERROR(INDEX(Targets!$B$2:$B$9,MATCH($B510,Targets!$A$2:$A$9,0)),0)</f>
        <v>1250000</v>
      </c>
      <c r="Q510" s="5" t="str">
        <f t="shared" si="14"/>
        <v>No</v>
      </c>
      <c r="R510" s="5" t="str">
        <f t="shared" si="15"/>
        <v>Jul</v>
      </c>
    </row>
    <row r="511" spans="1:18" ht="15" customHeight="1" x14ac:dyDescent="0.3">
      <c r="A511" s="5" t="str">
        <f>Sales_Data!A508</f>
        <v>2025-07-07</v>
      </c>
      <c r="B511" s="5" t="str">
        <f>Sales_Data!B508</f>
        <v>Hyderabad Hitech</v>
      </c>
      <c r="C511" s="5" t="str">
        <f>Sales_Data!C508</f>
        <v>E014</v>
      </c>
      <c r="D511" s="5" t="str">
        <f>IFERROR(INDEX(Employee_Master!$B$2:$B$44,MATCH($C511,Employee_Master!$A$2:$A$44,0)),"Not Found")</f>
        <v>Brian Brown</v>
      </c>
      <c r="E511" s="5" t="str">
        <f>IFERROR(INDEX(Employee_Master!$C$2:$C$44,MATCH($C511,Employee_Master!$A$2:$A$44,0)),"Not Found")</f>
        <v>Marketing</v>
      </c>
      <c r="F511" s="5" t="str">
        <f>IFERROR(INDEX(Employee_Master!$D$2:$D$44,MATCH($C511,Employee_Master!$A$2:$A$44,0)),"Not Found")</f>
        <v>Anna Turner</v>
      </c>
      <c r="G511" s="5" t="str">
        <f>IFERROR(INDEX(Employee_Master!$E$2:$E$44,MATCH($C511,Employee_Master!$A$2:$A$44,0)),"Not Found")</f>
        <v>South</v>
      </c>
      <c r="H511" s="5" t="str">
        <f>Sales_Data!D508</f>
        <v>P001 - Wireless Earbuds</v>
      </c>
      <c r="I511" s="5" t="str">
        <f>IFERROR(INDEX(Product_Master!$B$2:$B$30,MATCH($H511,Product_Master!$A$2:$A$30,0)),"Invalid Product Code")</f>
        <v>Electronics</v>
      </c>
      <c r="J511" s="5">
        <f>IFERROR(INDEX(Product_Master!$C$2:$C$30,MATCH($H511,Product_Master!$A$2:$A$30,0)),0)</f>
        <v>1676.76</v>
      </c>
      <c r="K511" s="5">
        <f>Sales_Data!E508</f>
        <v>2</v>
      </c>
      <c r="L511" s="5">
        <f>Sales_Data!F508</f>
        <v>3664.36</v>
      </c>
      <c r="M511" s="5">
        <f>Sales_Data!G508</f>
        <v>3606.66</v>
      </c>
      <c r="N511" s="5" t="str">
        <f>IFERROR(INDEX(Branch_Master!$B$2:$B$9,MATCH($B511,Branch_Master!$A$2:$A$9,0)),"Not Found")</f>
        <v>Hyderabad</v>
      </c>
      <c r="O511" s="5" t="str">
        <f>IFERROR(INDEX(Branch_Master!$C$2:$C$9,MATCH($B511,Branch_Master!$A$2:$A$9,0)),"Not Found")</f>
        <v>Telangana</v>
      </c>
      <c r="P511" s="5">
        <f>IFERROR(INDEX(Targets!$B$2:$B$9,MATCH($B511,Targets!$A$2:$A$9,0)),0)</f>
        <v>1210000</v>
      </c>
      <c r="Q511" s="5" t="str">
        <f t="shared" si="14"/>
        <v>Yes</v>
      </c>
      <c r="R511" s="5" t="str">
        <f t="shared" si="15"/>
        <v>Jul</v>
      </c>
    </row>
    <row r="512" spans="1:18" ht="15" customHeight="1" x14ac:dyDescent="0.3">
      <c r="A512" s="5" t="str">
        <f>Sales_Data!A509</f>
        <v>2025-07-07</v>
      </c>
      <c r="B512" s="5" t="str">
        <f>Sales_Data!B509</f>
        <v>Pune East</v>
      </c>
      <c r="C512" s="5" t="str">
        <f>Sales_Data!C509</f>
        <v>E034</v>
      </c>
      <c r="D512" s="5" t="str">
        <f>IFERROR(INDEX(Employee_Master!$B$2:$B$44,MATCH($C512,Employee_Master!$A$2:$A$44,0)),"Not Found")</f>
        <v>Elaine Thompson</v>
      </c>
      <c r="E512" s="5" t="str">
        <f>IFERROR(INDEX(Employee_Master!$C$2:$C$44,MATCH($C512,Employee_Master!$A$2:$A$44,0)),"Not Found")</f>
        <v>Marketing</v>
      </c>
      <c r="F512" s="5" t="str">
        <f>IFERROR(INDEX(Employee_Master!$D$2:$D$44,MATCH($C512,Employee_Master!$A$2:$A$44,0)),"Not Found")</f>
        <v>Jordan Matthews</v>
      </c>
      <c r="G512" s="5" t="str">
        <f>IFERROR(INDEX(Employee_Master!$E$2:$E$44,MATCH($C512,Employee_Master!$A$2:$A$44,0)),"Not Found")</f>
        <v>West</v>
      </c>
      <c r="H512" s="5" t="str">
        <f>Sales_Data!D509</f>
        <v>P009 - Formal Shirt</v>
      </c>
      <c r="I512" s="5" t="str">
        <f>IFERROR(INDEX(Product_Master!$B$2:$B$30,MATCH($H512,Product_Master!$A$2:$A$30,0)),"Invalid Product Code")</f>
        <v>Apparel</v>
      </c>
      <c r="J512" s="5">
        <f>IFERROR(INDEX(Product_Master!$C$2:$C$30,MATCH($H512,Product_Master!$A$2:$A$30,0)),0)</f>
        <v>661.65</v>
      </c>
      <c r="K512" s="5">
        <f>Sales_Data!E509</f>
        <v>6</v>
      </c>
      <c r="L512" s="5">
        <f>Sales_Data!F509</f>
        <v>3942.6</v>
      </c>
      <c r="M512" s="5">
        <f>Sales_Data!G509</f>
        <v>4042.48</v>
      </c>
      <c r="N512" s="5" t="str">
        <f>IFERROR(INDEX(Branch_Master!$B$2:$B$9,MATCH($B512,Branch_Master!$A$2:$A$9,0)),"Not Found")</f>
        <v>Pune</v>
      </c>
      <c r="O512" s="5" t="str">
        <f>IFERROR(INDEX(Branch_Master!$C$2:$C$9,MATCH($B512,Branch_Master!$A$2:$A$9,0)),"Not Found")</f>
        <v>Maharashtra</v>
      </c>
      <c r="P512" s="5">
        <f>IFERROR(INDEX(Targets!$B$2:$B$9,MATCH($B512,Targets!$A$2:$A$9,0)),0)</f>
        <v>1250000</v>
      </c>
      <c r="Q512" s="5" t="str">
        <f t="shared" si="14"/>
        <v>No</v>
      </c>
      <c r="R512" s="5" t="str">
        <f t="shared" si="15"/>
        <v>Jul</v>
      </c>
    </row>
    <row r="513" spans="1:18" ht="15" customHeight="1" x14ac:dyDescent="0.3">
      <c r="A513" s="5" t="str">
        <f>Sales_Data!A510</f>
        <v>2025-07-08</v>
      </c>
      <c r="B513" s="5" t="str">
        <f>Sales_Data!B510</f>
        <v>Mumbai Central</v>
      </c>
      <c r="C513" s="5" t="str">
        <f>Sales_Data!C510</f>
        <v>E027</v>
      </c>
      <c r="D513" s="5" t="str">
        <f>IFERROR(INDEX(Employee_Master!$B$2:$B$44,MATCH($C513,Employee_Master!$A$2:$A$44,0)),"Not Found")</f>
        <v>Catherine Moore</v>
      </c>
      <c r="E513" s="5" t="str">
        <f>IFERROR(INDEX(Employee_Master!$C$2:$C$44,MATCH($C513,Employee_Master!$A$2:$A$44,0)),"Not Found")</f>
        <v>Customer Support</v>
      </c>
      <c r="F513" s="5" t="str">
        <f>IFERROR(INDEX(Employee_Master!$D$2:$D$44,MATCH($C513,Employee_Master!$A$2:$A$44,0)),"Not Found")</f>
        <v>Justin Glass</v>
      </c>
      <c r="G513" s="5" t="str">
        <f>IFERROR(INDEX(Employee_Master!$E$2:$E$44,MATCH($C513,Employee_Master!$A$2:$A$44,0)),"Not Found")</f>
        <v>West</v>
      </c>
      <c r="H513" s="5" t="str">
        <f>Sales_Data!D510</f>
        <v>P022 - Face Wash</v>
      </c>
      <c r="I513" s="5" t="str">
        <f>IFERROR(INDEX(Product_Master!$B$2:$B$30,MATCH($H513,Product_Master!$A$2:$A$30,0)),"Invalid Product Code")</f>
        <v>Beauty</v>
      </c>
      <c r="J513" s="5">
        <f>IFERROR(INDEX(Product_Master!$C$2:$C$30,MATCH($H513,Product_Master!$A$2:$A$30,0)),0)</f>
        <v>396.75</v>
      </c>
      <c r="K513" s="5">
        <f>Sales_Data!E510</f>
        <v>1</v>
      </c>
      <c r="L513" s="5">
        <f>Sales_Data!F510</f>
        <v>383.71</v>
      </c>
      <c r="M513" s="5">
        <f>Sales_Data!G510</f>
        <v>395.73</v>
      </c>
      <c r="N513" s="5" t="str">
        <f>IFERROR(INDEX(Branch_Master!$B$2:$B$9,MATCH($B513,Branch_Master!$A$2:$A$9,0)),"Not Found")</f>
        <v>Mumbai</v>
      </c>
      <c r="O513" s="5" t="str">
        <f>IFERROR(INDEX(Branch_Master!$C$2:$C$9,MATCH($B513,Branch_Master!$A$2:$A$9,0)),"Not Found")</f>
        <v>Maharashtra</v>
      </c>
      <c r="P513" s="5">
        <f>IFERROR(INDEX(Targets!$B$2:$B$9,MATCH($B513,Targets!$A$2:$A$9,0)),0)</f>
        <v>900000</v>
      </c>
      <c r="Q513" s="5" t="str">
        <f t="shared" si="14"/>
        <v>No</v>
      </c>
      <c r="R513" s="5" t="str">
        <f t="shared" si="15"/>
        <v>Jul</v>
      </c>
    </row>
    <row r="514" spans="1:18" ht="15" customHeight="1" x14ac:dyDescent="0.3">
      <c r="A514" s="5" t="str">
        <f>Sales_Data!A511</f>
        <v>2025-07-08</v>
      </c>
      <c r="B514" s="5" t="str">
        <f>Sales_Data!B511</f>
        <v>Delhi NCR</v>
      </c>
      <c r="C514" s="5" t="str">
        <f>Sales_Data!C511</f>
        <v>E031</v>
      </c>
      <c r="D514" s="5" t="str">
        <f>IFERROR(INDEX(Employee_Master!$B$2:$B$44,MATCH($C514,Employee_Master!$A$2:$A$44,0)),"Not Found")</f>
        <v>Jennifer Garcia</v>
      </c>
      <c r="E514" s="5" t="str">
        <f>IFERROR(INDEX(Employee_Master!$C$2:$C$44,MATCH($C514,Employee_Master!$A$2:$A$44,0)),"Not Found")</f>
        <v>Sales</v>
      </c>
      <c r="F514" s="5" t="str">
        <f>IFERROR(INDEX(Employee_Master!$D$2:$D$44,MATCH($C514,Employee_Master!$A$2:$A$44,0)),"Not Found")</f>
        <v>William Oconnell</v>
      </c>
      <c r="G514" s="5" t="str">
        <f>IFERROR(INDEX(Employee_Master!$E$2:$E$44,MATCH($C514,Employee_Master!$A$2:$A$44,0)),"Not Found")</f>
        <v>North</v>
      </c>
      <c r="H514" s="5" t="str">
        <f>Sales_Data!D511</f>
        <v>P004 - Power Bank</v>
      </c>
      <c r="I514" s="5" t="str">
        <f>IFERROR(INDEX(Product_Master!$B$2:$B$30,MATCH($H514,Product_Master!$A$2:$A$30,0)),"Invalid Product Code")</f>
        <v>Electronics</v>
      </c>
      <c r="J514" s="5">
        <f>IFERROR(INDEX(Product_Master!$C$2:$C$30,MATCH($H514,Product_Master!$A$2:$A$30,0)),0)</f>
        <v>76.91</v>
      </c>
      <c r="K514" s="5">
        <f>Sales_Data!E511</f>
        <v>12</v>
      </c>
      <c r="L514" s="5">
        <f>Sales_Data!F511</f>
        <v>979.57</v>
      </c>
      <c r="M514" s="5">
        <f>Sales_Data!G511</f>
        <v>952.88</v>
      </c>
      <c r="N514" s="5" t="str">
        <f>IFERROR(INDEX(Branch_Master!$B$2:$B$9,MATCH($B514,Branch_Master!$A$2:$A$9,0)),"Not Found")</f>
        <v>New Delhi</v>
      </c>
      <c r="O514" s="5" t="str">
        <f>IFERROR(INDEX(Branch_Master!$C$2:$C$9,MATCH($B514,Branch_Master!$A$2:$A$9,0)),"Not Found")</f>
        <v>Delhi</v>
      </c>
      <c r="P514" s="5">
        <f>IFERROR(INDEX(Targets!$B$2:$B$9,MATCH($B514,Targets!$A$2:$A$9,0)),0)</f>
        <v>2070000</v>
      </c>
      <c r="Q514" s="5" t="str">
        <f t="shared" si="14"/>
        <v>Yes</v>
      </c>
      <c r="R514" s="5" t="str">
        <f t="shared" si="15"/>
        <v>Jul</v>
      </c>
    </row>
    <row r="515" spans="1:18" ht="15" customHeight="1" x14ac:dyDescent="0.3">
      <c r="A515" s="5" t="str">
        <f>Sales_Data!A512</f>
        <v>2025-07-08</v>
      </c>
      <c r="B515" s="5" t="str">
        <f>Sales_Data!B512</f>
        <v>Mumbai Central</v>
      </c>
      <c r="C515" s="5" t="str">
        <f>Sales_Data!C512</f>
        <v>E009</v>
      </c>
      <c r="D515" s="5" t="str">
        <f>IFERROR(INDEX(Employee_Master!$B$2:$B$44,MATCH($C515,Employee_Master!$A$2:$A$44,0)),"Not Found")</f>
        <v>Daniel Kent</v>
      </c>
      <c r="E515" s="5" t="str">
        <f>IFERROR(INDEX(Employee_Master!$C$2:$C$44,MATCH($C515,Employee_Master!$A$2:$A$44,0)),"Not Found")</f>
        <v>Sales</v>
      </c>
      <c r="F515" s="5" t="str">
        <f>IFERROR(INDEX(Employee_Master!$D$2:$D$44,MATCH($C515,Employee_Master!$A$2:$A$44,0)),"Not Found")</f>
        <v>Justin Glass</v>
      </c>
      <c r="G515" s="5" t="str">
        <f>IFERROR(INDEX(Employee_Master!$E$2:$E$44,MATCH($C515,Employee_Master!$A$2:$A$44,0)),"Not Found")</f>
        <v>West</v>
      </c>
      <c r="H515" s="5" t="str">
        <f>Sales_Data!D512</f>
        <v>P025 - Lipstick Set</v>
      </c>
      <c r="I515" s="5" t="str">
        <f>IFERROR(INDEX(Product_Master!$B$2:$B$30,MATCH($H515,Product_Master!$A$2:$A$30,0)),"Invalid Product Code")</f>
        <v>Beauty</v>
      </c>
      <c r="J515" s="5">
        <f>IFERROR(INDEX(Product_Master!$C$2:$C$30,MATCH($H515,Product_Master!$A$2:$A$30,0)),0)</f>
        <v>765.9</v>
      </c>
      <c r="K515" s="5">
        <f>Sales_Data!E512</f>
        <v>7</v>
      </c>
      <c r="L515" s="5">
        <f>Sales_Data!F512</f>
        <v>5600.99</v>
      </c>
      <c r="M515" s="5">
        <f>Sales_Data!G512</f>
        <v>5847.98</v>
      </c>
      <c r="N515" s="5" t="str">
        <f>IFERROR(INDEX(Branch_Master!$B$2:$B$9,MATCH($B515,Branch_Master!$A$2:$A$9,0)),"Not Found")</f>
        <v>Mumbai</v>
      </c>
      <c r="O515" s="5" t="str">
        <f>IFERROR(INDEX(Branch_Master!$C$2:$C$9,MATCH($B515,Branch_Master!$A$2:$A$9,0)),"Not Found")</f>
        <v>Maharashtra</v>
      </c>
      <c r="P515" s="5">
        <f>IFERROR(INDEX(Targets!$B$2:$B$9,MATCH($B515,Targets!$A$2:$A$9,0)),0)</f>
        <v>900000</v>
      </c>
      <c r="Q515" s="5" t="str">
        <f t="shared" si="14"/>
        <v>No</v>
      </c>
      <c r="R515" s="5" t="str">
        <f t="shared" si="15"/>
        <v>Jul</v>
      </c>
    </row>
    <row r="516" spans="1:18" ht="15" customHeight="1" x14ac:dyDescent="0.3">
      <c r="A516" s="5" t="str">
        <f>Sales_Data!A513</f>
        <v>2025-07-08</v>
      </c>
      <c r="B516" s="5" t="str">
        <f>Sales_Data!B513</f>
        <v>Pune East</v>
      </c>
      <c r="C516" s="5" t="str">
        <f>Sales_Data!C513</f>
        <v>E023</v>
      </c>
      <c r="D516" s="5" t="str">
        <f>IFERROR(INDEX(Employee_Master!$B$2:$B$44,MATCH($C516,Employee_Master!$A$2:$A$44,0)),"Not Found")</f>
        <v>Edward Jones</v>
      </c>
      <c r="E516" s="5" t="str">
        <f>IFERROR(INDEX(Employee_Master!$C$2:$C$44,MATCH($C516,Employee_Master!$A$2:$A$44,0)),"Not Found")</f>
        <v>Operations</v>
      </c>
      <c r="F516" s="5" t="str">
        <f>IFERROR(INDEX(Employee_Master!$D$2:$D$44,MATCH($C516,Employee_Master!$A$2:$A$44,0)),"Not Found")</f>
        <v>Jordan Matthews</v>
      </c>
      <c r="G516" s="5" t="str">
        <f>IFERROR(INDEX(Employee_Master!$E$2:$E$44,MATCH($C516,Employee_Master!$A$2:$A$44,0)),"Not Found")</f>
        <v>West</v>
      </c>
      <c r="H516" s="5" t="str">
        <f>Sales_Data!D513</f>
        <v>P016 - Dinner Set</v>
      </c>
      <c r="I516" s="5" t="str">
        <f>IFERROR(INDEX(Product_Master!$B$2:$B$30,MATCH($H516,Product_Master!$A$2:$A$30,0)),"Invalid Product Code")</f>
        <v>Home &amp; Kitchen</v>
      </c>
      <c r="J516" s="5">
        <f>IFERROR(INDEX(Product_Master!$C$2:$C$30,MATCH($H516,Product_Master!$A$2:$A$30,0)),0)</f>
        <v>225.06</v>
      </c>
      <c r="K516" s="5">
        <f>Sales_Data!E513</f>
        <v>10</v>
      </c>
      <c r="L516" s="5">
        <f>Sales_Data!F513</f>
        <v>2139.41</v>
      </c>
      <c r="M516" s="5">
        <f>Sales_Data!G513</f>
        <v>2114.16</v>
      </c>
      <c r="N516" s="5" t="str">
        <f>IFERROR(INDEX(Branch_Master!$B$2:$B$9,MATCH($B516,Branch_Master!$A$2:$A$9,0)),"Not Found")</f>
        <v>Pune</v>
      </c>
      <c r="O516" s="5" t="str">
        <f>IFERROR(INDEX(Branch_Master!$C$2:$C$9,MATCH($B516,Branch_Master!$A$2:$A$9,0)),"Not Found")</f>
        <v>Maharashtra</v>
      </c>
      <c r="P516" s="5">
        <f>IFERROR(INDEX(Targets!$B$2:$B$9,MATCH($B516,Targets!$A$2:$A$9,0)),0)</f>
        <v>1250000</v>
      </c>
      <c r="Q516" s="5" t="str">
        <f t="shared" si="14"/>
        <v>Yes</v>
      </c>
      <c r="R516" s="5" t="str">
        <f t="shared" si="15"/>
        <v>Jul</v>
      </c>
    </row>
    <row r="517" spans="1:18" ht="15" customHeight="1" x14ac:dyDescent="0.3">
      <c r="A517" s="5" t="str">
        <f>Sales_Data!A514</f>
        <v>2025-07-09</v>
      </c>
      <c r="B517" s="5" t="str">
        <f>Sales_Data!B514</f>
        <v>Pune East</v>
      </c>
      <c r="C517" s="5" t="str">
        <f>Sales_Data!C514</f>
        <v>E022</v>
      </c>
      <c r="D517" s="5" t="str">
        <f>IFERROR(INDEX(Employee_Master!$B$2:$B$44,MATCH($C517,Employee_Master!$A$2:$A$44,0)),"Not Found")</f>
        <v>Cindy Green PhD</v>
      </c>
      <c r="E517" s="5" t="str">
        <f>IFERROR(INDEX(Employee_Master!$C$2:$C$44,MATCH($C517,Employee_Master!$A$2:$A$44,0)),"Not Found")</f>
        <v>Customer Support</v>
      </c>
      <c r="F517" s="5" t="str">
        <f>IFERROR(INDEX(Employee_Master!$D$2:$D$44,MATCH($C517,Employee_Master!$A$2:$A$44,0)),"Not Found")</f>
        <v>Jordan Matthews</v>
      </c>
      <c r="G517" s="5" t="str">
        <f>IFERROR(INDEX(Employee_Master!$E$2:$E$44,MATCH($C517,Employee_Master!$A$2:$A$44,0)),"Not Found")</f>
        <v>West</v>
      </c>
      <c r="H517" s="5" t="str">
        <f>Sales_Data!D514</f>
        <v>P005 - LED Monitor</v>
      </c>
      <c r="I517" s="5" t="str">
        <f>IFERROR(INDEX(Product_Master!$B$2:$B$30,MATCH($H517,Product_Master!$A$2:$A$30,0)),"Invalid Product Code")</f>
        <v>Electronics</v>
      </c>
      <c r="J517" s="5">
        <f>IFERROR(INDEX(Product_Master!$C$2:$C$30,MATCH($H517,Product_Master!$A$2:$A$30,0)),0)</f>
        <v>489.9</v>
      </c>
      <c r="K517" s="5">
        <f>Sales_Data!E514</f>
        <v>8</v>
      </c>
      <c r="L517" s="5">
        <f>Sales_Data!F514</f>
        <v>4057.48</v>
      </c>
      <c r="M517" s="5">
        <f>Sales_Data!G514</f>
        <v>3632.51</v>
      </c>
      <c r="N517" s="5" t="str">
        <f>IFERROR(INDEX(Branch_Master!$B$2:$B$9,MATCH($B517,Branch_Master!$A$2:$A$9,0)),"Not Found")</f>
        <v>Pune</v>
      </c>
      <c r="O517" s="5" t="str">
        <f>IFERROR(INDEX(Branch_Master!$C$2:$C$9,MATCH($B517,Branch_Master!$A$2:$A$9,0)),"Not Found")</f>
        <v>Maharashtra</v>
      </c>
      <c r="P517" s="5">
        <f>IFERROR(INDEX(Targets!$B$2:$B$9,MATCH($B517,Targets!$A$2:$A$9,0)),0)</f>
        <v>1250000</v>
      </c>
      <c r="Q517" s="5" t="str">
        <f t="shared" ref="Q517:Q580" si="16">IF(L517&gt;=M517,"Yes","No")</f>
        <v>Yes</v>
      </c>
      <c r="R517" s="5" t="str">
        <f t="shared" ref="R517:R580" si="17">TEXT(A517,"MMM")</f>
        <v>Jul</v>
      </c>
    </row>
    <row r="518" spans="1:18" ht="15" customHeight="1" x14ac:dyDescent="0.3">
      <c r="A518" s="5" t="str">
        <f>Sales_Data!A515</f>
        <v>2025-07-09</v>
      </c>
      <c r="B518" s="5" t="str">
        <f>Sales_Data!B515</f>
        <v>Delhi NCR</v>
      </c>
      <c r="C518" s="5" t="str">
        <f>Sales_Data!C515</f>
        <v>E013</v>
      </c>
      <c r="D518" s="5" t="str">
        <f>IFERROR(INDEX(Employee_Master!$B$2:$B$44,MATCH($C518,Employee_Master!$A$2:$A$44,0)),"Not Found")</f>
        <v>Norma Wilson</v>
      </c>
      <c r="E518" s="5" t="str">
        <f>IFERROR(INDEX(Employee_Master!$C$2:$C$44,MATCH($C518,Employee_Master!$A$2:$A$44,0)),"Not Found")</f>
        <v>Customer Support</v>
      </c>
      <c r="F518" s="5" t="str">
        <f>IFERROR(INDEX(Employee_Master!$D$2:$D$44,MATCH($C518,Employee_Master!$A$2:$A$44,0)),"Not Found")</f>
        <v>William Oconnell</v>
      </c>
      <c r="G518" s="5" t="str">
        <f>IFERROR(INDEX(Employee_Master!$E$2:$E$44,MATCH($C518,Employee_Master!$A$2:$A$44,0)),"Not Found")</f>
        <v>North</v>
      </c>
      <c r="H518" s="5" t="str">
        <f>Sales_Data!D515</f>
        <v>P003 - Bluetooth Speaker</v>
      </c>
      <c r="I518" s="5" t="str">
        <f>IFERROR(INDEX(Product_Master!$B$2:$B$30,MATCH($H518,Product_Master!$A$2:$A$30,0)),"Invalid Product Code")</f>
        <v>Electronics</v>
      </c>
      <c r="J518" s="5">
        <f>IFERROR(INDEX(Product_Master!$C$2:$C$30,MATCH($H518,Product_Master!$A$2:$A$30,0)),0)</f>
        <v>351.01</v>
      </c>
      <c r="K518" s="5">
        <f>Sales_Data!E515</f>
        <v>7</v>
      </c>
      <c r="L518" s="5">
        <f>Sales_Data!F515</f>
        <v>2702.77</v>
      </c>
      <c r="M518" s="5">
        <f>Sales_Data!G515</f>
        <v>2397.44</v>
      </c>
      <c r="N518" s="5" t="str">
        <f>IFERROR(INDEX(Branch_Master!$B$2:$B$9,MATCH($B518,Branch_Master!$A$2:$A$9,0)),"Not Found")</f>
        <v>New Delhi</v>
      </c>
      <c r="O518" s="5" t="str">
        <f>IFERROR(INDEX(Branch_Master!$C$2:$C$9,MATCH($B518,Branch_Master!$A$2:$A$9,0)),"Not Found")</f>
        <v>Delhi</v>
      </c>
      <c r="P518" s="5">
        <f>IFERROR(INDEX(Targets!$B$2:$B$9,MATCH($B518,Targets!$A$2:$A$9,0)),0)</f>
        <v>2070000</v>
      </c>
      <c r="Q518" s="5" t="str">
        <f t="shared" si="16"/>
        <v>Yes</v>
      </c>
      <c r="R518" s="5" t="str">
        <f t="shared" si="17"/>
        <v>Jul</v>
      </c>
    </row>
    <row r="519" spans="1:18" ht="15" customHeight="1" x14ac:dyDescent="0.3">
      <c r="A519" s="5" t="str">
        <f>Sales_Data!A516</f>
        <v>2025-07-09</v>
      </c>
      <c r="B519" s="5" t="str">
        <f>Sales_Data!B516</f>
        <v>Delhi NCR</v>
      </c>
      <c r="C519" s="5" t="str">
        <f>Sales_Data!C516</f>
        <v>E013</v>
      </c>
      <c r="D519" s="5" t="str">
        <f>IFERROR(INDEX(Employee_Master!$B$2:$B$44,MATCH($C519,Employee_Master!$A$2:$A$44,0)),"Not Found")</f>
        <v>Norma Wilson</v>
      </c>
      <c r="E519" s="5" t="str">
        <f>IFERROR(INDEX(Employee_Master!$C$2:$C$44,MATCH($C519,Employee_Master!$A$2:$A$44,0)),"Not Found")</f>
        <v>Customer Support</v>
      </c>
      <c r="F519" s="5" t="str">
        <f>IFERROR(INDEX(Employee_Master!$D$2:$D$44,MATCH($C519,Employee_Master!$A$2:$A$44,0)),"Not Found")</f>
        <v>William Oconnell</v>
      </c>
      <c r="G519" s="5" t="str">
        <f>IFERROR(INDEX(Employee_Master!$E$2:$E$44,MATCH($C519,Employee_Master!$A$2:$A$44,0)),"Not Found")</f>
        <v>North</v>
      </c>
      <c r="H519" s="5" t="str">
        <f>Sales_Data!D516</f>
        <v>P004 - Power Bank</v>
      </c>
      <c r="I519" s="5" t="str">
        <f>IFERROR(INDEX(Product_Master!$B$2:$B$30,MATCH($H519,Product_Master!$A$2:$A$30,0)),"Invalid Product Code")</f>
        <v>Electronics</v>
      </c>
      <c r="J519" s="5">
        <f>IFERROR(INDEX(Product_Master!$C$2:$C$30,MATCH($H519,Product_Master!$A$2:$A$30,0)),0)</f>
        <v>76.91</v>
      </c>
      <c r="K519" s="5">
        <f>Sales_Data!E516</f>
        <v>6</v>
      </c>
      <c r="L519" s="5">
        <f>Sales_Data!F516</f>
        <v>453.43</v>
      </c>
      <c r="M519" s="5">
        <f>Sales_Data!G516</f>
        <v>469.92</v>
      </c>
      <c r="N519" s="5" t="str">
        <f>IFERROR(INDEX(Branch_Master!$B$2:$B$9,MATCH($B519,Branch_Master!$A$2:$A$9,0)),"Not Found")</f>
        <v>New Delhi</v>
      </c>
      <c r="O519" s="5" t="str">
        <f>IFERROR(INDEX(Branch_Master!$C$2:$C$9,MATCH($B519,Branch_Master!$A$2:$A$9,0)),"Not Found")</f>
        <v>Delhi</v>
      </c>
      <c r="P519" s="5">
        <f>IFERROR(INDEX(Targets!$B$2:$B$9,MATCH($B519,Targets!$A$2:$A$9,0)),0)</f>
        <v>2070000</v>
      </c>
      <c r="Q519" s="5" t="str">
        <f t="shared" si="16"/>
        <v>No</v>
      </c>
      <c r="R519" s="5" t="str">
        <f t="shared" si="17"/>
        <v>Jul</v>
      </c>
    </row>
    <row r="520" spans="1:18" ht="15" customHeight="1" x14ac:dyDescent="0.3">
      <c r="A520" s="5" t="str">
        <f>Sales_Data!A517</f>
        <v>2025-07-09</v>
      </c>
      <c r="B520" s="5" t="str">
        <f>Sales_Data!B517</f>
        <v>Ahmedabad West</v>
      </c>
      <c r="C520" s="5" t="str">
        <f>Sales_Data!C517</f>
        <v>E005</v>
      </c>
      <c r="D520" s="5" t="str">
        <f>IFERROR(INDEX(Employee_Master!$B$2:$B$44,MATCH($C520,Employee_Master!$A$2:$A$44,0)),"Not Found")</f>
        <v>Dr. Sara Zimmerman MD</v>
      </c>
      <c r="E520" s="5" t="str">
        <f>IFERROR(INDEX(Employee_Master!$C$2:$C$44,MATCH($C520,Employee_Master!$A$2:$A$44,0)),"Not Found")</f>
        <v>Operations</v>
      </c>
      <c r="F520" s="5" t="str">
        <f>IFERROR(INDEX(Employee_Master!$D$2:$D$44,MATCH($C520,Employee_Master!$A$2:$A$44,0)),"Not Found")</f>
        <v>Joseph Brown</v>
      </c>
      <c r="G520" s="5" t="str">
        <f>IFERROR(INDEX(Employee_Master!$E$2:$E$44,MATCH($C520,Employee_Master!$A$2:$A$44,0)),"Not Found")</f>
        <v>West</v>
      </c>
      <c r="H520" s="5" t="str">
        <f>Sales_Data!D517</f>
        <v>P028 - Football</v>
      </c>
      <c r="I520" s="5" t="str">
        <f>IFERROR(INDEX(Product_Master!$B$2:$B$30,MATCH($H520,Product_Master!$A$2:$A$30,0)),"Invalid Product Code")</f>
        <v>Sports</v>
      </c>
      <c r="J520" s="5">
        <f>IFERROR(INDEX(Product_Master!$C$2:$C$30,MATCH($H520,Product_Master!$A$2:$A$30,0)),0)</f>
        <v>314.25</v>
      </c>
      <c r="K520" s="5">
        <f>Sales_Data!E517</f>
        <v>2</v>
      </c>
      <c r="L520" s="5">
        <f>Sales_Data!F517</f>
        <v>642.75</v>
      </c>
      <c r="M520" s="5">
        <f>Sales_Data!G517</f>
        <v>719.56</v>
      </c>
      <c r="N520" s="5" t="str">
        <f>IFERROR(INDEX(Branch_Master!$B$2:$B$9,MATCH($B520,Branch_Master!$A$2:$A$9,0)),"Not Found")</f>
        <v>Ahmedabad</v>
      </c>
      <c r="O520" s="5" t="str">
        <f>IFERROR(INDEX(Branch_Master!$C$2:$C$9,MATCH($B520,Branch_Master!$A$2:$A$9,0)),"Not Found")</f>
        <v>Gujarat</v>
      </c>
      <c r="P520" s="5">
        <f>IFERROR(INDEX(Targets!$B$2:$B$9,MATCH($B520,Targets!$A$2:$A$9,0)),0)</f>
        <v>1590000</v>
      </c>
      <c r="Q520" s="5" t="str">
        <f t="shared" si="16"/>
        <v>No</v>
      </c>
      <c r="R520" s="5" t="str">
        <f t="shared" si="17"/>
        <v>Jul</v>
      </c>
    </row>
    <row r="521" spans="1:18" ht="15" customHeight="1" x14ac:dyDescent="0.3">
      <c r="A521" s="5" t="str">
        <f>Sales_Data!A518</f>
        <v>2025-07-09</v>
      </c>
      <c r="B521" s="5" t="str">
        <f>Sales_Data!B518</f>
        <v>Chennai South</v>
      </c>
      <c r="C521" s="5" t="str">
        <f>Sales_Data!C518</f>
        <v>E019</v>
      </c>
      <c r="D521" s="5" t="str">
        <f>IFERROR(INDEX(Employee_Master!$B$2:$B$44,MATCH($C521,Employee_Master!$A$2:$A$44,0)),"Not Found")</f>
        <v>Regina Torres</v>
      </c>
      <c r="E521" s="5" t="str">
        <f>IFERROR(INDEX(Employee_Master!$C$2:$C$44,MATCH($C521,Employee_Master!$A$2:$A$44,0)),"Not Found")</f>
        <v>Operations</v>
      </c>
      <c r="F521" s="5" t="str">
        <f>IFERROR(INDEX(Employee_Master!$D$2:$D$44,MATCH($C521,Employee_Master!$A$2:$A$44,0)),"Not Found")</f>
        <v>Robert Steele</v>
      </c>
      <c r="G521" s="5" t="str">
        <f>IFERROR(INDEX(Employee_Master!$E$2:$E$44,MATCH($C521,Employee_Master!$A$2:$A$44,0)),"Not Found")</f>
        <v>South</v>
      </c>
      <c r="H521" s="5" t="str">
        <f>Sales_Data!D518</f>
        <v>P021 - Assorted Spices Kit</v>
      </c>
      <c r="I521" s="5" t="str">
        <f>IFERROR(INDEX(Product_Master!$B$2:$B$30,MATCH($H521,Product_Master!$A$2:$A$30,0)),"Invalid Product Code")</f>
        <v>Grocery</v>
      </c>
      <c r="J521" s="5">
        <f>IFERROR(INDEX(Product_Master!$C$2:$C$30,MATCH($H521,Product_Master!$A$2:$A$30,0)),0)</f>
        <v>1060.97</v>
      </c>
      <c r="K521" s="5">
        <f>Sales_Data!E518</f>
        <v>11</v>
      </c>
      <c r="L521" s="5">
        <f>Sales_Data!F518</f>
        <v>11553.49</v>
      </c>
      <c r="M521" s="5">
        <f>Sales_Data!G518</f>
        <v>11012.99</v>
      </c>
      <c r="N521" s="5" t="str">
        <f>IFERROR(INDEX(Branch_Master!$B$2:$B$9,MATCH($B521,Branch_Master!$A$2:$A$9,0)),"Not Found")</f>
        <v>Chennai</v>
      </c>
      <c r="O521" s="5" t="str">
        <f>IFERROR(INDEX(Branch_Master!$C$2:$C$9,MATCH($B521,Branch_Master!$A$2:$A$9,0)),"Not Found")</f>
        <v>Tamil Nadu</v>
      </c>
      <c r="P521" s="5">
        <f>IFERROR(INDEX(Targets!$B$2:$B$9,MATCH($B521,Targets!$A$2:$A$9,0)),0)</f>
        <v>1910000</v>
      </c>
      <c r="Q521" s="5" t="str">
        <f t="shared" si="16"/>
        <v>Yes</v>
      </c>
      <c r="R521" s="5" t="str">
        <f t="shared" si="17"/>
        <v>Jul</v>
      </c>
    </row>
    <row r="522" spans="1:18" ht="15" customHeight="1" x14ac:dyDescent="0.3">
      <c r="A522" s="5" t="str">
        <f>Sales_Data!A519</f>
        <v>2025-07-10</v>
      </c>
      <c r="B522" s="5" t="str">
        <f>Sales_Data!B519</f>
        <v>Mumbai Central</v>
      </c>
      <c r="C522" s="5" t="str">
        <f>Sales_Data!C519</f>
        <v>E033</v>
      </c>
      <c r="D522" s="5" t="str">
        <f>IFERROR(INDEX(Employee_Master!$B$2:$B$44,MATCH($C522,Employee_Master!$A$2:$A$44,0)),"Not Found")</f>
        <v>Dawn Colon</v>
      </c>
      <c r="E522" s="5" t="str">
        <f>IFERROR(INDEX(Employee_Master!$C$2:$C$44,MATCH($C522,Employee_Master!$A$2:$A$44,0)),"Not Found")</f>
        <v>Customer Support</v>
      </c>
      <c r="F522" s="5" t="str">
        <f>IFERROR(INDEX(Employee_Master!$D$2:$D$44,MATCH($C522,Employee_Master!$A$2:$A$44,0)),"Not Found")</f>
        <v>Justin Glass</v>
      </c>
      <c r="G522" s="5" t="str">
        <f>IFERROR(INDEX(Employee_Master!$E$2:$E$44,MATCH($C522,Employee_Master!$A$2:$A$44,0)),"Not Found")</f>
        <v>West</v>
      </c>
      <c r="H522" s="5" t="str">
        <f>Sales_Data!D519</f>
        <v>P025 - Lipstick Set</v>
      </c>
      <c r="I522" s="5" t="str">
        <f>IFERROR(INDEX(Product_Master!$B$2:$B$30,MATCH($H522,Product_Master!$A$2:$A$30,0)),"Invalid Product Code")</f>
        <v>Beauty</v>
      </c>
      <c r="J522" s="5">
        <f>IFERROR(INDEX(Product_Master!$C$2:$C$30,MATCH($H522,Product_Master!$A$2:$A$30,0)),0)</f>
        <v>765.9</v>
      </c>
      <c r="K522" s="5">
        <f>Sales_Data!E519</f>
        <v>3</v>
      </c>
      <c r="L522" s="5">
        <f>Sales_Data!F519</f>
        <v>2247.54</v>
      </c>
      <c r="M522" s="5">
        <f>Sales_Data!G519</f>
        <v>2248.04</v>
      </c>
      <c r="N522" s="5" t="str">
        <f>IFERROR(INDEX(Branch_Master!$B$2:$B$9,MATCH($B522,Branch_Master!$A$2:$A$9,0)),"Not Found")</f>
        <v>Mumbai</v>
      </c>
      <c r="O522" s="5" t="str">
        <f>IFERROR(INDEX(Branch_Master!$C$2:$C$9,MATCH($B522,Branch_Master!$A$2:$A$9,0)),"Not Found")</f>
        <v>Maharashtra</v>
      </c>
      <c r="P522" s="5">
        <f>IFERROR(INDEX(Targets!$B$2:$B$9,MATCH($B522,Targets!$A$2:$A$9,0)),0)</f>
        <v>900000</v>
      </c>
      <c r="Q522" s="5" t="str">
        <f t="shared" si="16"/>
        <v>No</v>
      </c>
      <c r="R522" s="5" t="str">
        <f t="shared" si="17"/>
        <v>Jul</v>
      </c>
    </row>
    <row r="523" spans="1:18" ht="15" customHeight="1" x14ac:dyDescent="0.3">
      <c r="A523" s="5" t="str">
        <f>Sales_Data!A520</f>
        <v>2025-07-10</v>
      </c>
      <c r="B523" s="5" t="str">
        <f>Sales_Data!B520</f>
        <v>Ahmedabad West</v>
      </c>
      <c r="C523" s="5" t="str">
        <f>Sales_Data!C520</f>
        <v>E001</v>
      </c>
      <c r="D523" s="5" t="str">
        <f>IFERROR(INDEX(Employee_Master!$B$2:$B$44,MATCH($C523,Employee_Master!$A$2:$A$44,0)),"Not Found")</f>
        <v>David Johnson</v>
      </c>
      <c r="E523" s="5" t="str">
        <f>IFERROR(INDEX(Employee_Master!$C$2:$C$44,MATCH($C523,Employee_Master!$A$2:$A$44,0)),"Not Found")</f>
        <v>Customer Support</v>
      </c>
      <c r="F523" s="5" t="str">
        <f>IFERROR(INDEX(Employee_Master!$D$2:$D$44,MATCH($C523,Employee_Master!$A$2:$A$44,0)),"Not Found")</f>
        <v>Joseph Brown</v>
      </c>
      <c r="G523" s="5" t="str">
        <f>IFERROR(INDEX(Employee_Master!$E$2:$E$44,MATCH($C523,Employee_Master!$A$2:$A$44,0)),"Not Found")</f>
        <v>West</v>
      </c>
      <c r="H523" s="5" t="str">
        <f>Sales_Data!D520</f>
        <v>P016 - Dinner Set</v>
      </c>
      <c r="I523" s="5" t="str">
        <f>IFERROR(INDEX(Product_Master!$B$2:$B$30,MATCH($H523,Product_Master!$A$2:$A$30,0)),"Invalid Product Code")</f>
        <v>Home &amp; Kitchen</v>
      </c>
      <c r="J523" s="5">
        <f>IFERROR(INDEX(Product_Master!$C$2:$C$30,MATCH($H523,Product_Master!$A$2:$A$30,0)),0)</f>
        <v>225.06</v>
      </c>
      <c r="K523" s="5">
        <f>Sales_Data!E520</f>
        <v>7</v>
      </c>
      <c r="L523" s="5">
        <f>Sales_Data!F520</f>
        <v>1426.63</v>
      </c>
      <c r="M523" s="5">
        <f>Sales_Data!G520</f>
        <v>1703.54</v>
      </c>
      <c r="N523" s="5" t="str">
        <f>IFERROR(INDEX(Branch_Master!$B$2:$B$9,MATCH($B523,Branch_Master!$A$2:$A$9,0)),"Not Found")</f>
        <v>Ahmedabad</v>
      </c>
      <c r="O523" s="5" t="str">
        <f>IFERROR(INDEX(Branch_Master!$C$2:$C$9,MATCH($B523,Branch_Master!$A$2:$A$9,0)),"Not Found")</f>
        <v>Gujarat</v>
      </c>
      <c r="P523" s="5">
        <f>IFERROR(INDEX(Targets!$B$2:$B$9,MATCH($B523,Targets!$A$2:$A$9,0)),0)</f>
        <v>1590000</v>
      </c>
      <c r="Q523" s="5" t="str">
        <f t="shared" si="16"/>
        <v>No</v>
      </c>
      <c r="R523" s="5" t="str">
        <f t="shared" si="17"/>
        <v>Jul</v>
      </c>
    </row>
    <row r="524" spans="1:18" ht="15" customHeight="1" x14ac:dyDescent="0.3">
      <c r="A524" s="5" t="str">
        <f>Sales_Data!A521</f>
        <v>2025-07-11</v>
      </c>
      <c r="B524" s="5" t="str">
        <f>Sales_Data!B521</f>
        <v>Chennai South</v>
      </c>
      <c r="C524" s="5" t="str">
        <f>Sales_Data!C521</f>
        <v>E015</v>
      </c>
      <c r="D524" s="5" t="str">
        <f>IFERROR(INDEX(Employee_Master!$B$2:$B$44,MATCH($C524,Employee_Master!$A$2:$A$44,0)),"Not Found")</f>
        <v>Cassandra Hansen</v>
      </c>
      <c r="E524" s="5" t="str">
        <f>IFERROR(INDEX(Employee_Master!$C$2:$C$44,MATCH($C524,Employee_Master!$A$2:$A$44,0)),"Not Found")</f>
        <v>Customer Support</v>
      </c>
      <c r="F524" s="5" t="str">
        <f>IFERROR(INDEX(Employee_Master!$D$2:$D$44,MATCH($C524,Employee_Master!$A$2:$A$44,0)),"Not Found")</f>
        <v>Robert Steele</v>
      </c>
      <c r="G524" s="5" t="str">
        <f>IFERROR(INDEX(Employee_Master!$E$2:$E$44,MATCH($C524,Employee_Master!$A$2:$A$44,0)),"Not Found")</f>
        <v>South</v>
      </c>
      <c r="H524" s="5" t="str">
        <f>Sales_Data!D521</f>
        <v>P023 - Sunscreen SPF50</v>
      </c>
      <c r="I524" s="5" t="str">
        <f>IFERROR(INDEX(Product_Master!$B$2:$B$30,MATCH($H524,Product_Master!$A$2:$A$30,0)),"Invalid Product Code")</f>
        <v>Beauty</v>
      </c>
      <c r="J524" s="5">
        <f>IFERROR(INDEX(Product_Master!$C$2:$C$30,MATCH($H524,Product_Master!$A$2:$A$30,0)),0)</f>
        <v>818.95</v>
      </c>
      <c r="K524" s="5">
        <f>Sales_Data!E521</f>
        <v>1</v>
      </c>
      <c r="L524" s="5">
        <f>Sales_Data!F521</f>
        <v>800.85</v>
      </c>
      <c r="M524" s="5">
        <f>Sales_Data!G521</f>
        <v>899.29</v>
      </c>
      <c r="N524" s="5" t="str">
        <f>IFERROR(INDEX(Branch_Master!$B$2:$B$9,MATCH($B524,Branch_Master!$A$2:$A$9,0)),"Not Found")</f>
        <v>Chennai</v>
      </c>
      <c r="O524" s="5" t="str">
        <f>IFERROR(INDEX(Branch_Master!$C$2:$C$9,MATCH($B524,Branch_Master!$A$2:$A$9,0)),"Not Found")</f>
        <v>Tamil Nadu</v>
      </c>
      <c r="P524" s="5">
        <f>IFERROR(INDEX(Targets!$B$2:$B$9,MATCH($B524,Targets!$A$2:$A$9,0)),0)</f>
        <v>1910000</v>
      </c>
      <c r="Q524" s="5" t="str">
        <f t="shared" si="16"/>
        <v>No</v>
      </c>
      <c r="R524" s="5" t="str">
        <f t="shared" si="17"/>
        <v>Jul</v>
      </c>
    </row>
    <row r="525" spans="1:18" ht="15" customHeight="1" x14ac:dyDescent="0.3">
      <c r="A525" s="5" t="str">
        <f>Sales_Data!A522</f>
        <v>2025-07-11</v>
      </c>
      <c r="B525" s="5" t="str">
        <f>Sales_Data!B522</f>
        <v>Kolkata Central</v>
      </c>
      <c r="C525" s="5" t="str">
        <f>Sales_Data!C522</f>
        <v>E028</v>
      </c>
      <c r="D525" s="5" t="str">
        <f>IFERROR(INDEX(Employee_Master!$B$2:$B$44,MATCH($C525,Employee_Master!$A$2:$A$44,0)),"Not Found")</f>
        <v>Sabrina Wright</v>
      </c>
      <c r="E525" s="5" t="str">
        <f>IFERROR(INDEX(Employee_Master!$C$2:$C$44,MATCH($C525,Employee_Master!$A$2:$A$44,0)),"Not Found")</f>
        <v>Customer Support</v>
      </c>
      <c r="F525" s="5" t="str">
        <f>IFERROR(INDEX(Employee_Master!$D$2:$D$44,MATCH($C525,Employee_Master!$A$2:$A$44,0)),"Not Found")</f>
        <v>Lisa Moore</v>
      </c>
      <c r="G525" s="5" t="str">
        <f>IFERROR(INDEX(Employee_Master!$E$2:$E$44,MATCH($C525,Employee_Master!$A$2:$A$44,0)),"Not Found")</f>
        <v>East</v>
      </c>
      <c r="H525" s="5" t="str">
        <f>Sales_Data!D522</f>
        <v>P015 - Water Bottle</v>
      </c>
      <c r="I525" s="5" t="str">
        <f>IFERROR(INDEX(Product_Master!$B$2:$B$30,MATCH($H525,Product_Master!$A$2:$A$30,0)),"Invalid Product Code")</f>
        <v>Home &amp; Kitchen</v>
      </c>
      <c r="J525" s="5">
        <f>IFERROR(INDEX(Product_Master!$C$2:$C$30,MATCH($H525,Product_Master!$A$2:$A$30,0)),0)</f>
        <v>197.57</v>
      </c>
      <c r="K525" s="5">
        <f>Sales_Data!E522</f>
        <v>3</v>
      </c>
      <c r="L525" s="5">
        <f>Sales_Data!F522</f>
        <v>593.48</v>
      </c>
      <c r="M525" s="5">
        <f>Sales_Data!G522</f>
        <v>671.24</v>
      </c>
      <c r="N525" s="5" t="str">
        <f>IFERROR(INDEX(Branch_Master!$B$2:$B$9,MATCH($B525,Branch_Master!$A$2:$A$9,0)),"Not Found")</f>
        <v>Kolkata</v>
      </c>
      <c r="O525" s="5" t="str">
        <f>IFERROR(INDEX(Branch_Master!$C$2:$C$9,MATCH($B525,Branch_Master!$A$2:$A$9,0)),"Not Found")</f>
        <v>West Bengal</v>
      </c>
      <c r="P525" s="5">
        <f>IFERROR(INDEX(Targets!$B$2:$B$9,MATCH($B525,Targets!$A$2:$A$9,0)),0)</f>
        <v>1910000</v>
      </c>
      <c r="Q525" s="5" t="str">
        <f t="shared" si="16"/>
        <v>No</v>
      </c>
      <c r="R525" s="5" t="str">
        <f t="shared" si="17"/>
        <v>Jul</v>
      </c>
    </row>
    <row r="526" spans="1:18" ht="15" customHeight="1" x14ac:dyDescent="0.3">
      <c r="A526" s="5" t="str">
        <f>Sales_Data!A523</f>
        <v>2025-07-12</v>
      </c>
      <c r="B526" s="5" t="str">
        <f>Sales_Data!B523</f>
        <v>Kolkata Central</v>
      </c>
      <c r="C526" s="5" t="str">
        <f>Sales_Data!C523</f>
        <v>E018</v>
      </c>
      <c r="D526" s="5" t="str">
        <f>IFERROR(INDEX(Employee_Master!$B$2:$B$44,MATCH($C526,Employee_Master!$A$2:$A$44,0)),"Not Found")</f>
        <v>Daniel Nelson</v>
      </c>
      <c r="E526" s="5" t="str">
        <f>IFERROR(INDEX(Employee_Master!$C$2:$C$44,MATCH($C526,Employee_Master!$A$2:$A$44,0)),"Not Found")</f>
        <v>Sales</v>
      </c>
      <c r="F526" s="5" t="str">
        <f>IFERROR(INDEX(Employee_Master!$D$2:$D$44,MATCH($C526,Employee_Master!$A$2:$A$44,0)),"Not Found")</f>
        <v>Lisa Moore</v>
      </c>
      <c r="G526" s="5" t="str">
        <f>IFERROR(INDEX(Employee_Master!$E$2:$E$44,MATCH($C526,Employee_Master!$A$2:$A$44,0)),"Not Found")</f>
        <v>East</v>
      </c>
      <c r="H526" s="5" t="str">
        <f>Sales_Data!D523</f>
        <v>P024 - Hair Serum</v>
      </c>
      <c r="I526" s="5" t="str">
        <f>IFERROR(INDEX(Product_Master!$B$2:$B$30,MATCH($H526,Product_Master!$A$2:$A$30,0)),"Invalid Product Code")</f>
        <v>Beauty</v>
      </c>
      <c r="J526" s="5">
        <f>IFERROR(INDEX(Product_Master!$C$2:$C$30,MATCH($H526,Product_Master!$A$2:$A$30,0)),0)</f>
        <v>1457.31</v>
      </c>
      <c r="K526" s="5">
        <f>Sales_Data!E523</f>
        <v>4</v>
      </c>
      <c r="L526" s="5">
        <f>Sales_Data!F523</f>
        <v>5591.71</v>
      </c>
      <c r="M526" s="5">
        <f>Sales_Data!G523</f>
        <v>6220.97</v>
      </c>
      <c r="N526" s="5" t="str">
        <f>IFERROR(INDEX(Branch_Master!$B$2:$B$9,MATCH($B526,Branch_Master!$A$2:$A$9,0)),"Not Found")</f>
        <v>Kolkata</v>
      </c>
      <c r="O526" s="5" t="str">
        <f>IFERROR(INDEX(Branch_Master!$C$2:$C$9,MATCH($B526,Branch_Master!$A$2:$A$9,0)),"Not Found")</f>
        <v>West Bengal</v>
      </c>
      <c r="P526" s="5">
        <f>IFERROR(INDEX(Targets!$B$2:$B$9,MATCH($B526,Targets!$A$2:$A$9,0)),0)</f>
        <v>1910000</v>
      </c>
      <c r="Q526" s="5" t="str">
        <f t="shared" si="16"/>
        <v>No</v>
      </c>
      <c r="R526" s="5" t="str">
        <f t="shared" si="17"/>
        <v>Jul</v>
      </c>
    </row>
    <row r="527" spans="1:18" ht="15" customHeight="1" x14ac:dyDescent="0.3">
      <c r="A527" s="5" t="str">
        <f>Sales_Data!A524</f>
        <v>2025-07-12</v>
      </c>
      <c r="B527" s="5" t="str">
        <f>Sales_Data!B524</f>
        <v>Delhi NCR</v>
      </c>
      <c r="C527" s="5" t="str">
        <f>Sales_Data!C524</f>
        <v>E031</v>
      </c>
      <c r="D527" s="5" t="str">
        <f>IFERROR(INDEX(Employee_Master!$B$2:$B$44,MATCH($C527,Employee_Master!$A$2:$A$44,0)),"Not Found")</f>
        <v>Jennifer Garcia</v>
      </c>
      <c r="E527" s="5" t="str">
        <f>IFERROR(INDEX(Employee_Master!$C$2:$C$44,MATCH($C527,Employee_Master!$A$2:$A$44,0)),"Not Found")</f>
        <v>Sales</v>
      </c>
      <c r="F527" s="5" t="str">
        <f>IFERROR(INDEX(Employee_Master!$D$2:$D$44,MATCH($C527,Employee_Master!$A$2:$A$44,0)),"Not Found")</f>
        <v>William Oconnell</v>
      </c>
      <c r="G527" s="5" t="str">
        <f>IFERROR(INDEX(Employee_Master!$E$2:$E$44,MATCH($C527,Employee_Master!$A$2:$A$44,0)),"Not Found")</f>
        <v>North</v>
      </c>
      <c r="H527" s="5" t="str">
        <f>Sales_Data!D524</f>
        <v>P011 - Winter Jacket</v>
      </c>
      <c r="I527" s="5" t="str">
        <f>IFERROR(INDEX(Product_Master!$B$2:$B$30,MATCH($H527,Product_Master!$A$2:$A$30,0)),"Invalid Product Code")</f>
        <v>Apparel</v>
      </c>
      <c r="J527" s="5">
        <f>IFERROR(INDEX(Product_Master!$C$2:$C$30,MATCH($H527,Product_Master!$A$2:$A$30,0)),0)</f>
        <v>264.97000000000003</v>
      </c>
      <c r="K527" s="5">
        <f>Sales_Data!E524</f>
        <v>11</v>
      </c>
      <c r="L527" s="5">
        <f>Sales_Data!F524</f>
        <v>3195.84</v>
      </c>
      <c r="M527" s="5">
        <f>Sales_Data!G524</f>
        <v>2564</v>
      </c>
      <c r="N527" s="5" t="str">
        <f>IFERROR(INDEX(Branch_Master!$B$2:$B$9,MATCH($B527,Branch_Master!$A$2:$A$9,0)),"Not Found")</f>
        <v>New Delhi</v>
      </c>
      <c r="O527" s="5" t="str">
        <f>IFERROR(INDEX(Branch_Master!$C$2:$C$9,MATCH($B527,Branch_Master!$A$2:$A$9,0)),"Not Found")</f>
        <v>Delhi</v>
      </c>
      <c r="P527" s="5">
        <f>IFERROR(INDEX(Targets!$B$2:$B$9,MATCH($B527,Targets!$A$2:$A$9,0)),0)</f>
        <v>2070000</v>
      </c>
      <c r="Q527" s="5" t="str">
        <f t="shared" si="16"/>
        <v>Yes</v>
      </c>
      <c r="R527" s="5" t="str">
        <f t="shared" si="17"/>
        <v>Jul</v>
      </c>
    </row>
    <row r="528" spans="1:18" ht="15" customHeight="1" x14ac:dyDescent="0.3">
      <c r="A528" s="5" t="str">
        <f>Sales_Data!A525</f>
        <v>2025-07-12</v>
      </c>
      <c r="B528" s="5" t="str">
        <f>Sales_Data!B525</f>
        <v>Mumbai Central</v>
      </c>
      <c r="C528" s="5" t="str">
        <f>Sales_Data!C525</f>
        <v>E009</v>
      </c>
      <c r="D528" s="5" t="str">
        <f>IFERROR(INDEX(Employee_Master!$B$2:$B$44,MATCH($C528,Employee_Master!$A$2:$A$44,0)),"Not Found")</f>
        <v>Daniel Kent</v>
      </c>
      <c r="E528" s="5" t="str">
        <f>IFERROR(INDEX(Employee_Master!$C$2:$C$44,MATCH($C528,Employee_Master!$A$2:$A$44,0)),"Not Found")</f>
        <v>Sales</v>
      </c>
      <c r="F528" s="5" t="str">
        <f>IFERROR(INDEX(Employee_Master!$D$2:$D$44,MATCH($C528,Employee_Master!$A$2:$A$44,0)),"Not Found")</f>
        <v>Justin Glass</v>
      </c>
      <c r="G528" s="5" t="str">
        <f>IFERROR(INDEX(Employee_Master!$E$2:$E$44,MATCH($C528,Employee_Master!$A$2:$A$44,0)),"Not Found")</f>
        <v>West</v>
      </c>
      <c r="H528" s="5" t="str">
        <f>Sales_Data!D525</f>
        <v>P009 - Formal Shirt</v>
      </c>
      <c r="I528" s="5" t="str">
        <f>IFERROR(INDEX(Product_Master!$B$2:$B$30,MATCH($H528,Product_Master!$A$2:$A$30,0)),"Invalid Product Code")</f>
        <v>Apparel</v>
      </c>
      <c r="J528" s="5">
        <f>IFERROR(INDEX(Product_Master!$C$2:$C$30,MATCH($H528,Product_Master!$A$2:$A$30,0)),0)</f>
        <v>661.65</v>
      </c>
      <c r="K528" s="5">
        <f>Sales_Data!E525</f>
        <v>5</v>
      </c>
      <c r="L528" s="5">
        <f>Sales_Data!F525</f>
        <v>3159.84</v>
      </c>
      <c r="M528" s="5">
        <f>Sales_Data!G525</f>
        <v>3150.3</v>
      </c>
      <c r="N528" s="5" t="str">
        <f>IFERROR(INDEX(Branch_Master!$B$2:$B$9,MATCH($B528,Branch_Master!$A$2:$A$9,0)),"Not Found")</f>
        <v>Mumbai</v>
      </c>
      <c r="O528" s="5" t="str">
        <f>IFERROR(INDEX(Branch_Master!$C$2:$C$9,MATCH($B528,Branch_Master!$A$2:$A$9,0)),"Not Found")</f>
        <v>Maharashtra</v>
      </c>
      <c r="P528" s="5">
        <f>IFERROR(INDEX(Targets!$B$2:$B$9,MATCH($B528,Targets!$A$2:$A$9,0)),0)</f>
        <v>900000</v>
      </c>
      <c r="Q528" s="5" t="str">
        <f t="shared" si="16"/>
        <v>Yes</v>
      </c>
      <c r="R528" s="5" t="str">
        <f t="shared" si="17"/>
        <v>Jul</v>
      </c>
    </row>
    <row r="529" spans="1:18" ht="15" customHeight="1" x14ac:dyDescent="0.3">
      <c r="A529" s="5" t="str">
        <f>Sales_Data!A526</f>
        <v>2025-07-13</v>
      </c>
      <c r="B529" s="5" t="str">
        <f>Sales_Data!B526</f>
        <v>Pune East</v>
      </c>
      <c r="C529" s="5" t="str">
        <f>Sales_Data!C526</f>
        <v>E023</v>
      </c>
      <c r="D529" s="5" t="str">
        <f>IFERROR(INDEX(Employee_Master!$B$2:$B$44,MATCH($C529,Employee_Master!$A$2:$A$44,0)),"Not Found")</f>
        <v>Edward Jones</v>
      </c>
      <c r="E529" s="5" t="str">
        <f>IFERROR(INDEX(Employee_Master!$C$2:$C$44,MATCH($C529,Employee_Master!$A$2:$A$44,0)),"Not Found")</f>
        <v>Operations</v>
      </c>
      <c r="F529" s="5" t="str">
        <f>IFERROR(INDEX(Employee_Master!$D$2:$D$44,MATCH($C529,Employee_Master!$A$2:$A$44,0)),"Not Found")</f>
        <v>Jordan Matthews</v>
      </c>
      <c r="G529" s="5" t="str">
        <f>IFERROR(INDEX(Employee_Master!$E$2:$E$44,MATCH($C529,Employee_Master!$A$2:$A$44,0)),"Not Found")</f>
        <v>West</v>
      </c>
      <c r="H529" s="5" t="str">
        <f>Sales_Data!D526</f>
        <v>P020 - Green Tea Pack</v>
      </c>
      <c r="I529" s="5" t="str">
        <f>IFERROR(INDEX(Product_Master!$B$2:$B$30,MATCH($H529,Product_Master!$A$2:$A$30,0)),"Invalid Product Code")</f>
        <v>Grocery</v>
      </c>
      <c r="J529" s="5">
        <f>IFERROR(INDEX(Product_Master!$C$2:$C$30,MATCH($H529,Product_Master!$A$2:$A$30,0)),0)</f>
        <v>305.39</v>
      </c>
      <c r="K529" s="5">
        <f>Sales_Data!E526</f>
        <v>1</v>
      </c>
      <c r="L529" s="5">
        <f>Sales_Data!F526</f>
        <v>275.31</v>
      </c>
      <c r="M529" s="5">
        <f>Sales_Data!G526</f>
        <v>329.06</v>
      </c>
      <c r="N529" s="5" t="str">
        <f>IFERROR(INDEX(Branch_Master!$B$2:$B$9,MATCH($B529,Branch_Master!$A$2:$A$9,0)),"Not Found")</f>
        <v>Pune</v>
      </c>
      <c r="O529" s="5" t="str">
        <f>IFERROR(INDEX(Branch_Master!$C$2:$C$9,MATCH($B529,Branch_Master!$A$2:$A$9,0)),"Not Found")</f>
        <v>Maharashtra</v>
      </c>
      <c r="P529" s="5">
        <f>IFERROR(INDEX(Targets!$B$2:$B$9,MATCH($B529,Targets!$A$2:$A$9,0)),0)</f>
        <v>1250000</v>
      </c>
      <c r="Q529" s="5" t="str">
        <f t="shared" si="16"/>
        <v>No</v>
      </c>
      <c r="R529" s="5" t="str">
        <f t="shared" si="17"/>
        <v>Jul</v>
      </c>
    </row>
    <row r="530" spans="1:18" ht="15" customHeight="1" x14ac:dyDescent="0.3">
      <c r="A530" s="5" t="str">
        <f>Sales_Data!A527</f>
        <v>2025-07-13</v>
      </c>
      <c r="B530" s="5" t="str">
        <f>Sales_Data!B527</f>
        <v>Pune East</v>
      </c>
      <c r="C530" s="5" t="str">
        <f>Sales_Data!C527</f>
        <v>E023</v>
      </c>
      <c r="D530" s="5" t="str">
        <f>IFERROR(INDEX(Employee_Master!$B$2:$B$44,MATCH($C530,Employee_Master!$A$2:$A$44,0)),"Not Found")</f>
        <v>Edward Jones</v>
      </c>
      <c r="E530" s="5" t="str">
        <f>IFERROR(INDEX(Employee_Master!$C$2:$C$44,MATCH($C530,Employee_Master!$A$2:$A$44,0)),"Not Found")</f>
        <v>Operations</v>
      </c>
      <c r="F530" s="5" t="str">
        <f>IFERROR(INDEX(Employee_Master!$D$2:$D$44,MATCH($C530,Employee_Master!$A$2:$A$44,0)),"Not Found")</f>
        <v>Jordan Matthews</v>
      </c>
      <c r="G530" s="5" t="str">
        <f>IFERROR(INDEX(Employee_Master!$E$2:$E$44,MATCH($C530,Employee_Master!$A$2:$A$44,0)),"Not Found")</f>
        <v>West</v>
      </c>
      <c r="H530" s="5" t="str">
        <f>Sales_Data!D527</f>
        <v>P001 - Wireless Earbuds</v>
      </c>
      <c r="I530" s="5" t="str">
        <f>IFERROR(INDEX(Product_Master!$B$2:$B$30,MATCH($H530,Product_Master!$A$2:$A$30,0)),"Invalid Product Code")</f>
        <v>Electronics</v>
      </c>
      <c r="J530" s="5">
        <f>IFERROR(INDEX(Product_Master!$C$2:$C$30,MATCH($H530,Product_Master!$A$2:$A$30,0)),0)</f>
        <v>1676.76</v>
      </c>
      <c r="K530" s="5">
        <f>Sales_Data!E527</f>
        <v>8</v>
      </c>
      <c r="L530" s="5">
        <f>Sales_Data!F527</f>
        <v>12897.43</v>
      </c>
      <c r="M530" s="5">
        <f>Sales_Data!G527</f>
        <v>15376.51</v>
      </c>
      <c r="N530" s="5" t="str">
        <f>IFERROR(INDEX(Branch_Master!$B$2:$B$9,MATCH($B530,Branch_Master!$A$2:$A$9,0)),"Not Found")</f>
        <v>Pune</v>
      </c>
      <c r="O530" s="5" t="str">
        <f>IFERROR(INDEX(Branch_Master!$C$2:$C$9,MATCH($B530,Branch_Master!$A$2:$A$9,0)),"Not Found")</f>
        <v>Maharashtra</v>
      </c>
      <c r="P530" s="5">
        <f>IFERROR(INDEX(Targets!$B$2:$B$9,MATCH($B530,Targets!$A$2:$A$9,0)),0)</f>
        <v>1250000</v>
      </c>
      <c r="Q530" s="5" t="str">
        <f t="shared" si="16"/>
        <v>No</v>
      </c>
      <c r="R530" s="5" t="str">
        <f t="shared" si="17"/>
        <v>Jul</v>
      </c>
    </row>
    <row r="531" spans="1:18" ht="15" customHeight="1" x14ac:dyDescent="0.3">
      <c r="A531" s="5" t="str">
        <f>Sales_Data!A528</f>
        <v>2025-07-13</v>
      </c>
      <c r="B531" s="5" t="str">
        <f>Sales_Data!B528</f>
        <v>Ahmedabad West</v>
      </c>
      <c r="C531" s="5" t="str">
        <f>Sales_Data!C528</f>
        <v>E002</v>
      </c>
      <c r="D531" s="5" t="str">
        <f>IFERROR(INDEX(Employee_Master!$B$2:$B$44,MATCH($C531,Employee_Master!$A$2:$A$44,0)),"Not Found")</f>
        <v>Jeremiah Kirby</v>
      </c>
      <c r="E531" s="5" t="str">
        <f>IFERROR(INDEX(Employee_Master!$C$2:$C$44,MATCH($C531,Employee_Master!$A$2:$A$44,0)),"Not Found")</f>
        <v>Marketing</v>
      </c>
      <c r="F531" s="5" t="str">
        <f>IFERROR(INDEX(Employee_Master!$D$2:$D$44,MATCH($C531,Employee_Master!$A$2:$A$44,0)),"Not Found")</f>
        <v>Joseph Brown</v>
      </c>
      <c r="G531" s="5" t="str">
        <f>IFERROR(INDEX(Employee_Master!$E$2:$E$44,MATCH($C531,Employee_Master!$A$2:$A$44,0)),"Not Found")</f>
        <v>West</v>
      </c>
      <c r="H531" s="5" t="str">
        <f>Sales_Data!D528</f>
        <v>P010 - Running Shoes</v>
      </c>
      <c r="I531" s="5" t="str">
        <f>IFERROR(INDEX(Product_Master!$B$2:$B$30,MATCH($H531,Product_Master!$A$2:$A$30,0)),"Invalid Product Code")</f>
        <v>Apparel</v>
      </c>
      <c r="J531" s="5">
        <f>IFERROR(INDEX(Product_Master!$C$2:$C$30,MATCH($H531,Product_Master!$A$2:$A$30,0)),0)</f>
        <v>233.71</v>
      </c>
      <c r="K531" s="5">
        <f>Sales_Data!E528</f>
        <v>10</v>
      </c>
      <c r="L531" s="5">
        <f>Sales_Data!F528</f>
        <v>2156.36</v>
      </c>
      <c r="M531" s="5">
        <f>Sales_Data!G528</f>
        <v>2527.6799999999998</v>
      </c>
      <c r="N531" s="5" t="str">
        <f>IFERROR(INDEX(Branch_Master!$B$2:$B$9,MATCH($B531,Branch_Master!$A$2:$A$9,0)),"Not Found")</f>
        <v>Ahmedabad</v>
      </c>
      <c r="O531" s="5" t="str">
        <f>IFERROR(INDEX(Branch_Master!$C$2:$C$9,MATCH($B531,Branch_Master!$A$2:$A$9,0)),"Not Found")</f>
        <v>Gujarat</v>
      </c>
      <c r="P531" s="5">
        <f>IFERROR(INDEX(Targets!$B$2:$B$9,MATCH($B531,Targets!$A$2:$A$9,0)),0)</f>
        <v>1590000</v>
      </c>
      <c r="Q531" s="5" t="str">
        <f t="shared" si="16"/>
        <v>No</v>
      </c>
      <c r="R531" s="5" t="str">
        <f t="shared" si="17"/>
        <v>Jul</v>
      </c>
    </row>
    <row r="532" spans="1:18" ht="15" customHeight="1" x14ac:dyDescent="0.3">
      <c r="A532" s="5" t="str">
        <f>Sales_Data!A529</f>
        <v>2025-07-13</v>
      </c>
      <c r="B532" s="5" t="str">
        <f>Sales_Data!B529</f>
        <v>Pune East</v>
      </c>
      <c r="C532" s="5" t="str">
        <f>Sales_Data!C529</f>
        <v>E023</v>
      </c>
      <c r="D532" s="5" t="str">
        <f>IFERROR(INDEX(Employee_Master!$B$2:$B$44,MATCH($C532,Employee_Master!$A$2:$A$44,0)),"Not Found")</f>
        <v>Edward Jones</v>
      </c>
      <c r="E532" s="5" t="str">
        <f>IFERROR(INDEX(Employee_Master!$C$2:$C$44,MATCH($C532,Employee_Master!$A$2:$A$44,0)),"Not Found")</f>
        <v>Operations</v>
      </c>
      <c r="F532" s="5" t="str">
        <f>IFERROR(INDEX(Employee_Master!$D$2:$D$44,MATCH($C532,Employee_Master!$A$2:$A$44,0)),"Not Found")</f>
        <v>Jordan Matthews</v>
      </c>
      <c r="G532" s="5" t="str">
        <f>IFERROR(INDEX(Employee_Master!$E$2:$E$44,MATCH($C532,Employee_Master!$A$2:$A$44,0)),"Not Found")</f>
        <v>West</v>
      </c>
      <c r="H532" s="5" t="str">
        <f>Sales_Data!D529</f>
        <v>P018 - Cooking Oil 1L</v>
      </c>
      <c r="I532" s="5" t="str">
        <f>IFERROR(INDEX(Product_Master!$B$2:$B$30,MATCH($H532,Product_Master!$A$2:$A$30,0)),"Invalid Product Code")</f>
        <v>Grocery</v>
      </c>
      <c r="J532" s="5">
        <f>IFERROR(INDEX(Product_Master!$C$2:$C$30,MATCH($H532,Product_Master!$A$2:$A$30,0)),0)</f>
        <v>1483.63</v>
      </c>
      <c r="K532" s="5">
        <f>Sales_Data!E529</f>
        <v>11</v>
      </c>
      <c r="L532" s="5">
        <f>Sales_Data!F529</f>
        <v>14767.41</v>
      </c>
      <c r="M532" s="5">
        <f>Sales_Data!G529</f>
        <v>15644.54</v>
      </c>
      <c r="N532" s="5" t="str">
        <f>IFERROR(INDEX(Branch_Master!$B$2:$B$9,MATCH($B532,Branch_Master!$A$2:$A$9,0)),"Not Found")</f>
        <v>Pune</v>
      </c>
      <c r="O532" s="5" t="str">
        <f>IFERROR(INDEX(Branch_Master!$C$2:$C$9,MATCH($B532,Branch_Master!$A$2:$A$9,0)),"Not Found")</f>
        <v>Maharashtra</v>
      </c>
      <c r="P532" s="5">
        <f>IFERROR(INDEX(Targets!$B$2:$B$9,MATCH($B532,Targets!$A$2:$A$9,0)),0)</f>
        <v>1250000</v>
      </c>
      <c r="Q532" s="5" t="str">
        <f t="shared" si="16"/>
        <v>No</v>
      </c>
      <c r="R532" s="5" t="str">
        <f t="shared" si="17"/>
        <v>Jul</v>
      </c>
    </row>
    <row r="533" spans="1:18" ht="15" customHeight="1" x14ac:dyDescent="0.3">
      <c r="A533" s="5" t="str">
        <f>Sales_Data!A530</f>
        <v>2025-07-13</v>
      </c>
      <c r="B533" s="5" t="str">
        <f>Sales_Data!B530</f>
        <v>Hyderabad Hitech</v>
      </c>
      <c r="C533" s="5" t="str">
        <f>Sales_Data!C530</f>
        <v>E030</v>
      </c>
      <c r="D533" s="5" t="str">
        <f>IFERROR(INDEX(Employee_Master!$B$2:$B$44,MATCH($C533,Employee_Master!$A$2:$A$44,0)),"Not Found")</f>
        <v>Travis Khan</v>
      </c>
      <c r="E533" s="5" t="str">
        <f>IFERROR(INDEX(Employee_Master!$C$2:$C$44,MATCH($C533,Employee_Master!$A$2:$A$44,0)),"Not Found")</f>
        <v>Operations</v>
      </c>
      <c r="F533" s="5" t="str">
        <f>IFERROR(INDEX(Employee_Master!$D$2:$D$44,MATCH($C533,Employee_Master!$A$2:$A$44,0)),"Not Found")</f>
        <v>Anna Turner</v>
      </c>
      <c r="G533" s="5" t="str">
        <f>IFERROR(INDEX(Employee_Master!$E$2:$E$44,MATCH($C533,Employee_Master!$A$2:$A$44,0)),"Not Found")</f>
        <v>South</v>
      </c>
      <c r="H533" s="5" t="str">
        <f>Sales_Data!D530</f>
        <v>P016 - Dinner Set</v>
      </c>
      <c r="I533" s="5" t="str">
        <f>IFERROR(INDEX(Product_Master!$B$2:$B$30,MATCH($H533,Product_Master!$A$2:$A$30,0)),"Invalid Product Code")</f>
        <v>Home &amp; Kitchen</v>
      </c>
      <c r="J533" s="5">
        <f>IFERROR(INDEX(Product_Master!$C$2:$C$30,MATCH($H533,Product_Master!$A$2:$A$30,0)),0)</f>
        <v>225.06</v>
      </c>
      <c r="K533" s="5">
        <f>Sales_Data!E530</f>
        <v>3</v>
      </c>
      <c r="L533" s="5">
        <f>Sales_Data!F530</f>
        <v>705.22</v>
      </c>
      <c r="M533" s="5">
        <f>Sales_Data!G530</f>
        <v>692.78</v>
      </c>
      <c r="N533" s="5" t="str">
        <f>IFERROR(INDEX(Branch_Master!$B$2:$B$9,MATCH($B533,Branch_Master!$A$2:$A$9,0)),"Not Found")</f>
        <v>Hyderabad</v>
      </c>
      <c r="O533" s="5" t="str">
        <f>IFERROR(INDEX(Branch_Master!$C$2:$C$9,MATCH($B533,Branch_Master!$A$2:$A$9,0)),"Not Found")</f>
        <v>Telangana</v>
      </c>
      <c r="P533" s="5">
        <f>IFERROR(INDEX(Targets!$B$2:$B$9,MATCH($B533,Targets!$A$2:$A$9,0)),0)</f>
        <v>1210000</v>
      </c>
      <c r="Q533" s="5" t="str">
        <f t="shared" si="16"/>
        <v>Yes</v>
      </c>
      <c r="R533" s="5" t="str">
        <f t="shared" si="17"/>
        <v>Jul</v>
      </c>
    </row>
    <row r="534" spans="1:18" ht="15" customHeight="1" x14ac:dyDescent="0.3">
      <c r="A534" s="5" t="str">
        <f>Sales_Data!A531</f>
        <v>2025-07-13</v>
      </c>
      <c r="B534" s="5" t="str">
        <f>Sales_Data!B531</f>
        <v>Mumbai Central</v>
      </c>
      <c r="C534" s="5" t="str">
        <f>Sales_Data!C531</f>
        <v>E033</v>
      </c>
      <c r="D534" s="5" t="str">
        <f>IFERROR(INDEX(Employee_Master!$B$2:$B$44,MATCH($C534,Employee_Master!$A$2:$A$44,0)),"Not Found")</f>
        <v>Dawn Colon</v>
      </c>
      <c r="E534" s="5" t="str">
        <f>IFERROR(INDEX(Employee_Master!$C$2:$C$44,MATCH($C534,Employee_Master!$A$2:$A$44,0)),"Not Found")</f>
        <v>Customer Support</v>
      </c>
      <c r="F534" s="5" t="str">
        <f>IFERROR(INDEX(Employee_Master!$D$2:$D$44,MATCH($C534,Employee_Master!$A$2:$A$44,0)),"Not Found")</f>
        <v>Justin Glass</v>
      </c>
      <c r="G534" s="5" t="str">
        <f>IFERROR(INDEX(Employee_Master!$E$2:$E$44,MATCH($C534,Employee_Master!$A$2:$A$44,0)),"Not Found")</f>
        <v>West</v>
      </c>
      <c r="H534" s="5" t="str">
        <f>Sales_Data!D531</f>
        <v>P002 - Smart Watch</v>
      </c>
      <c r="I534" s="5" t="str">
        <f>IFERROR(INDEX(Product_Master!$B$2:$B$30,MATCH($H534,Product_Master!$A$2:$A$30,0)),"Invalid Product Code")</f>
        <v>Electronics</v>
      </c>
      <c r="J534" s="5">
        <f>IFERROR(INDEX(Product_Master!$C$2:$C$30,MATCH($H534,Product_Master!$A$2:$A$30,0)),0)</f>
        <v>403.33</v>
      </c>
      <c r="K534" s="5">
        <f>Sales_Data!E531</f>
        <v>9</v>
      </c>
      <c r="L534" s="5">
        <f>Sales_Data!F531</f>
        <v>3932.97</v>
      </c>
      <c r="M534" s="5">
        <f>Sales_Data!G531</f>
        <v>3677.88</v>
      </c>
      <c r="N534" s="5" t="str">
        <f>IFERROR(INDEX(Branch_Master!$B$2:$B$9,MATCH($B534,Branch_Master!$A$2:$A$9,0)),"Not Found")</f>
        <v>Mumbai</v>
      </c>
      <c r="O534" s="5" t="str">
        <f>IFERROR(INDEX(Branch_Master!$C$2:$C$9,MATCH($B534,Branch_Master!$A$2:$A$9,0)),"Not Found")</f>
        <v>Maharashtra</v>
      </c>
      <c r="P534" s="5">
        <f>IFERROR(INDEX(Targets!$B$2:$B$9,MATCH($B534,Targets!$A$2:$A$9,0)),0)</f>
        <v>900000</v>
      </c>
      <c r="Q534" s="5" t="str">
        <f t="shared" si="16"/>
        <v>Yes</v>
      </c>
      <c r="R534" s="5" t="str">
        <f t="shared" si="17"/>
        <v>Jul</v>
      </c>
    </row>
    <row r="535" spans="1:18" ht="15" customHeight="1" x14ac:dyDescent="0.3">
      <c r="A535" s="5" t="str">
        <f>Sales_Data!A532</f>
        <v>2025-07-13</v>
      </c>
      <c r="B535" s="5" t="str">
        <f>Sales_Data!B532</f>
        <v>Chennai South</v>
      </c>
      <c r="C535" s="5" t="str">
        <f>Sales_Data!C532</f>
        <v>E015</v>
      </c>
      <c r="D535" s="5" t="str">
        <f>IFERROR(INDEX(Employee_Master!$B$2:$B$44,MATCH($C535,Employee_Master!$A$2:$A$44,0)),"Not Found")</f>
        <v>Cassandra Hansen</v>
      </c>
      <c r="E535" s="5" t="str">
        <f>IFERROR(INDEX(Employee_Master!$C$2:$C$44,MATCH($C535,Employee_Master!$A$2:$A$44,0)),"Not Found")</f>
        <v>Customer Support</v>
      </c>
      <c r="F535" s="5" t="str">
        <f>IFERROR(INDEX(Employee_Master!$D$2:$D$44,MATCH($C535,Employee_Master!$A$2:$A$44,0)),"Not Found")</f>
        <v>Robert Steele</v>
      </c>
      <c r="G535" s="5" t="str">
        <f>IFERROR(INDEX(Employee_Master!$E$2:$E$44,MATCH($C535,Employee_Master!$A$2:$A$44,0)),"Not Found")</f>
        <v>South</v>
      </c>
      <c r="H535" s="5" t="str">
        <f>Sales_Data!D532</f>
        <v>P006 - Laptop Stand</v>
      </c>
      <c r="I535" s="5" t="str">
        <f>IFERROR(INDEX(Product_Master!$B$2:$B$30,MATCH($H535,Product_Master!$A$2:$A$30,0)),"Invalid Product Code")</f>
        <v>Electronics</v>
      </c>
      <c r="J535" s="5">
        <f>IFERROR(INDEX(Product_Master!$C$2:$C$30,MATCH($H535,Product_Master!$A$2:$A$30,0)),0)</f>
        <v>393.96</v>
      </c>
      <c r="K535" s="5">
        <f>Sales_Data!E532</f>
        <v>8</v>
      </c>
      <c r="L535" s="5">
        <f>Sales_Data!F532</f>
        <v>3271.86</v>
      </c>
      <c r="M535" s="5">
        <f>Sales_Data!G532</f>
        <v>3464.57</v>
      </c>
      <c r="N535" s="5" t="str">
        <f>IFERROR(INDEX(Branch_Master!$B$2:$B$9,MATCH($B535,Branch_Master!$A$2:$A$9,0)),"Not Found")</f>
        <v>Chennai</v>
      </c>
      <c r="O535" s="5" t="str">
        <f>IFERROR(INDEX(Branch_Master!$C$2:$C$9,MATCH($B535,Branch_Master!$A$2:$A$9,0)),"Not Found")</f>
        <v>Tamil Nadu</v>
      </c>
      <c r="P535" s="5">
        <f>IFERROR(INDEX(Targets!$B$2:$B$9,MATCH($B535,Targets!$A$2:$A$9,0)),0)</f>
        <v>1910000</v>
      </c>
      <c r="Q535" s="5" t="str">
        <f t="shared" si="16"/>
        <v>No</v>
      </c>
      <c r="R535" s="5" t="str">
        <f t="shared" si="17"/>
        <v>Jul</v>
      </c>
    </row>
    <row r="536" spans="1:18" ht="15" customHeight="1" x14ac:dyDescent="0.3">
      <c r="A536" s="5" t="str">
        <f>Sales_Data!A533</f>
        <v>2025-07-13</v>
      </c>
      <c r="B536" s="5" t="str">
        <f>Sales_Data!B533</f>
        <v>Mumbai Central</v>
      </c>
      <c r="C536" s="5" t="str">
        <f>Sales_Data!C533</f>
        <v>E012</v>
      </c>
      <c r="D536" s="5" t="str">
        <f>IFERROR(INDEX(Employee_Master!$B$2:$B$44,MATCH($C536,Employee_Master!$A$2:$A$44,0)),"Not Found")</f>
        <v>Brandon Cook</v>
      </c>
      <c r="E536" s="5" t="str">
        <f>IFERROR(INDEX(Employee_Master!$C$2:$C$44,MATCH($C536,Employee_Master!$A$2:$A$44,0)),"Not Found")</f>
        <v>Customer Support</v>
      </c>
      <c r="F536" s="5" t="str">
        <f>IFERROR(INDEX(Employee_Master!$D$2:$D$44,MATCH($C536,Employee_Master!$A$2:$A$44,0)),"Not Found")</f>
        <v>Justin Glass</v>
      </c>
      <c r="G536" s="5" t="str">
        <f>IFERROR(INDEX(Employee_Master!$E$2:$E$44,MATCH($C536,Employee_Master!$A$2:$A$44,0)),"Not Found")</f>
        <v>West</v>
      </c>
      <c r="H536" s="5" t="str">
        <f>Sales_Data!D533</f>
        <v>P014 - Air Fryer</v>
      </c>
      <c r="I536" s="5" t="str">
        <f>IFERROR(INDEX(Product_Master!$B$2:$B$30,MATCH($H536,Product_Master!$A$2:$A$30,0)),"Invalid Product Code")</f>
        <v>Home &amp; Kitchen</v>
      </c>
      <c r="J536" s="5">
        <f>IFERROR(INDEX(Product_Master!$C$2:$C$30,MATCH($H536,Product_Master!$A$2:$A$30,0)),0)</f>
        <v>729.85</v>
      </c>
      <c r="K536" s="5">
        <f>Sales_Data!E533</f>
        <v>6</v>
      </c>
      <c r="L536" s="5">
        <f>Sales_Data!F533</f>
        <v>4157.07</v>
      </c>
      <c r="M536" s="5">
        <f>Sales_Data!G533</f>
        <v>4764.3900000000003</v>
      </c>
      <c r="N536" s="5" t="str">
        <f>IFERROR(INDEX(Branch_Master!$B$2:$B$9,MATCH($B536,Branch_Master!$A$2:$A$9,0)),"Not Found")</f>
        <v>Mumbai</v>
      </c>
      <c r="O536" s="5" t="str">
        <f>IFERROR(INDEX(Branch_Master!$C$2:$C$9,MATCH($B536,Branch_Master!$A$2:$A$9,0)),"Not Found")</f>
        <v>Maharashtra</v>
      </c>
      <c r="P536" s="5">
        <f>IFERROR(INDEX(Targets!$B$2:$B$9,MATCH($B536,Targets!$A$2:$A$9,0)),0)</f>
        <v>900000</v>
      </c>
      <c r="Q536" s="5" t="str">
        <f t="shared" si="16"/>
        <v>No</v>
      </c>
      <c r="R536" s="5" t="str">
        <f t="shared" si="17"/>
        <v>Jul</v>
      </c>
    </row>
    <row r="537" spans="1:18" ht="15" customHeight="1" x14ac:dyDescent="0.3">
      <c r="A537" s="5" t="str">
        <f>Sales_Data!A534</f>
        <v>2025-07-13</v>
      </c>
      <c r="B537" s="5" t="str">
        <f>Sales_Data!B534</f>
        <v>Hyderabad Hitech</v>
      </c>
      <c r="C537" s="5" t="str">
        <f>Sales_Data!C534</f>
        <v>E035</v>
      </c>
      <c r="D537" s="5" t="str">
        <f>IFERROR(INDEX(Employee_Master!$B$2:$B$44,MATCH($C537,Employee_Master!$A$2:$A$44,0)),"Not Found")</f>
        <v>Andrea Perez</v>
      </c>
      <c r="E537" s="5" t="str">
        <f>IFERROR(INDEX(Employee_Master!$C$2:$C$44,MATCH($C537,Employee_Master!$A$2:$A$44,0)),"Not Found")</f>
        <v>Sales</v>
      </c>
      <c r="F537" s="5" t="str">
        <f>IFERROR(INDEX(Employee_Master!$D$2:$D$44,MATCH($C537,Employee_Master!$A$2:$A$44,0)),"Not Found")</f>
        <v>Anna Turner</v>
      </c>
      <c r="G537" s="5" t="str">
        <f>IFERROR(INDEX(Employee_Master!$E$2:$E$44,MATCH($C537,Employee_Master!$A$2:$A$44,0)),"Not Found")</f>
        <v>South</v>
      </c>
      <c r="H537" s="5" t="str">
        <f>Sales_Data!D534</f>
        <v>P023 - Sunscreen SPF50</v>
      </c>
      <c r="I537" s="5" t="str">
        <f>IFERROR(INDEX(Product_Master!$B$2:$B$30,MATCH($H537,Product_Master!$A$2:$A$30,0)),"Invalid Product Code")</f>
        <v>Beauty</v>
      </c>
      <c r="J537" s="5">
        <f>IFERROR(INDEX(Product_Master!$C$2:$C$30,MATCH($H537,Product_Master!$A$2:$A$30,0)),0)</f>
        <v>818.95</v>
      </c>
      <c r="K537" s="5">
        <f>Sales_Data!E534</f>
        <v>8</v>
      </c>
      <c r="L537" s="5">
        <f>Sales_Data!F534</f>
        <v>6543.24</v>
      </c>
      <c r="M537" s="5">
        <f>Sales_Data!G534</f>
        <v>6924.19</v>
      </c>
      <c r="N537" s="5" t="str">
        <f>IFERROR(INDEX(Branch_Master!$B$2:$B$9,MATCH($B537,Branch_Master!$A$2:$A$9,0)),"Not Found")</f>
        <v>Hyderabad</v>
      </c>
      <c r="O537" s="5" t="str">
        <f>IFERROR(INDEX(Branch_Master!$C$2:$C$9,MATCH($B537,Branch_Master!$A$2:$A$9,0)),"Not Found")</f>
        <v>Telangana</v>
      </c>
      <c r="P537" s="5">
        <f>IFERROR(INDEX(Targets!$B$2:$B$9,MATCH($B537,Targets!$A$2:$A$9,0)),0)</f>
        <v>1210000</v>
      </c>
      <c r="Q537" s="5" t="str">
        <f t="shared" si="16"/>
        <v>No</v>
      </c>
      <c r="R537" s="5" t="str">
        <f t="shared" si="17"/>
        <v>Jul</v>
      </c>
    </row>
    <row r="538" spans="1:18" ht="15" customHeight="1" x14ac:dyDescent="0.3">
      <c r="A538" s="5" t="str">
        <f>Sales_Data!A535</f>
        <v>2025-07-14</v>
      </c>
      <c r="B538" s="5" t="str">
        <f>Sales_Data!B535</f>
        <v>Delhi NCR</v>
      </c>
      <c r="C538" s="5" t="str">
        <f>Sales_Data!C535</f>
        <v>E031</v>
      </c>
      <c r="D538" s="5" t="str">
        <f>IFERROR(INDEX(Employee_Master!$B$2:$B$44,MATCH($C538,Employee_Master!$A$2:$A$44,0)),"Not Found")</f>
        <v>Jennifer Garcia</v>
      </c>
      <c r="E538" s="5" t="str">
        <f>IFERROR(INDEX(Employee_Master!$C$2:$C$44,MATCH($C538,Employee_Master!$A$2:$A$44,0)),"Not Found")</f>
        <v>Sales</v>
      </c>
      <c r="F538" s="5" t="str">
        <f>IFERROR(INDEX(Employee_Master!$D$2:$D$44,MATCH($C538,Employee_Master!$A$2:$A$44,0)),"Not Found")</f>
        <v>William Oconnell</v>
      </c>
      <c r="G538" s="5" t="str">
        <f>IFERROR(INDEX(Employee_Master!$E$2:$E$44,MATCH($C538,Employee_Master!$A$2:$A$44,0)),"Not Found")</f>
        <v>North</v>
      </c>
      <c r="H538" s="5" t="str">
        <f>Sales_Data!D535</f>
        <v>P019 - Organic Honey</v>
      </c>
      <c r="I538" s="5" t="str">
        <f>IFERROR(INDEX(Product_Master!$B$2:$B$30,MATCH($H538,Product_Master!$A$2:$A$30,0)),"Invalid Product Code")</f>
        <v>Grocery</v>
      </c>
      <c r="J538" s="5">
        <f>IFERROR(INDEX(Product_Master!$C$2:$C$30,MATCH($H538,Product_Master!$A$2:$A$30,0)),0)</f>
        <v>482.15</v>
      </c>
      <c r="K538" s="5">
        <f>Sales_Data!E535</f>
        <v>1</v>
      </c>
      <c r="L538" s="5">
        <f>Sales_Data!F535</f>
        <v>475.53</v>
      </c>
      <c r="M538" s="5">
        <f>Sales_Data!G535</f>
        <v>454.21</v>
      </c>
      <c r="N538" s="5" t="str">
        <f>IFERROR(INDEX(Branch_Master!$B$2:$B$9,MATCH($B538,Branch_Master!$A$2:$A$9,0)),"Not Found")</f>
        <v>New Delhi</v>
      </c>
      <c r="O538" s="5" t="str">
        <f>IFERROR(INDEX(Branch_Master!$C$2:$C$9,MATCH($B538,Branch_Master!$A$2:$A$9,0)),"Not Found")</f>
        <v>Delhi</v>
      </c>
      <c r="P538" s="5">
        <f>IFERROR(INDEX(Targets!$B$2:$B$9,MATCH($B538,Targets!$A$2:$A$9,0)),0)</f>
        <v>2070000</v>
      </c>
      <c r="Q538" s="5" t="str">
        <f t="shared" si="16"/>
        <v>Yes</v>
      </c>
      <c r="R538" s="5" t="str">
        <f t="shared" si="17"/>
        <v>Jul</v>
      </c>
    </row>
    <row r="539" spans="1:18" ht="15" customHeight="1" x14ac:dyDescent="0.3">
      <c r="A539" s="5" t="str">
        <f>Sales_Data!A536</f>
        <v>2025-07-14</v>
      </c>
      <c r="B539" s="5" t="str">
        <f>Sales_Data!B536</f>
        <v>Kolkata Central</v>
      </c>
      <c r="C539" s="5" t="str">
        <f>Sales_Data!C536</f>
        <v>E018</v>
      </c>
      <c r="D539" s="5" t="str">
        <f>IFERROR(INDEX(Employee_Master!$B$2:$B$44,MATCH($C539,Employee_Master!$A$2:$A$44,0)),"Not Found")</f>
        <v>Daniel Nelson</v>
      </c>
      <c r="E539" s="5" t="str">
        <f>IFERROR(INDEX(Employee_Master!$C$2:$C$44,MATCH($C539,Employee_Master!$A$2:$A$44,0)),"Not Found")</f>
        <v>Sales</v>
      </c>
      <c r="F539" s="5" t="str">
        <f>IFERROR(INDEX(Employee_Master!$D$2:$D$44,MATCH($C539,Employee_Master!$A$2:$A$44,0)),"Not Found")</f>
        <v>Lisa Moore</v>
      </c>
      <c r="G539" s="5" t="str">
        <f>IFERROR(INDEX(Employee_Master!$E$2:$E$44,MATCH($C539,Employee_Master!$A$2:$A$44,0)),"Not Found")</f>
        <v>East</v>
      </c>
      <c r="H539" s="5" t="str">
        <f>Sales_Data!D536</f>
        <v>P009 - Formal Shirt</v>
      </c>
      <c r="I539" s="5" t="str">
        <f>IFERROR(INDEX(Product_Master!$B$2:$B$30,MATCH($H539,Product_Master!$A$2:$A$30,0)),"Invalid Product Code")</f>
        <v>Apparel</v>
      </c>
      <c r="J539" s="5">
        <f>IFERROR(INDEX(Product_Master!$C$2:$C$30,MATCH($H539,Product_Master!$A$2:$A$30,0)),0)</f>
        <v>661.65</v>
      </c>
      <c r="K539" s="5">
        <f>Sales_Data!E536</f>
        <v>1</v>
      </c>
      <c r="L539" s="5">
        <f>Sales_Data!F536</f>
        <v>709.72</v>
      </c>
      <c r="M539" s="5">
        <f>Sales_Data!G536</f>
        <v>670.84</v>
      </c>
      <c r="N539" s="5" t="str">
        <f>IFERROR(INDEX(Branch_Master!$B$2:$B$9,MATCH($B539,Branch_Master!$A$2:$A$9,0)),"Not Found")</f>
        <v>Kolkata</v>
      </c>
      <c r="O539" s="5" t="str">
        <f>IFERROR(INDEX(Branch_Master!$C$2:$C$9,MATCH($B539,Branch_Master!$A$2:$A$9,0)),"Not Found")</f>
        <v>West Bengal</v>
      </c>
      <c r="P539" s="5">
        <f>IFERROR(INDEX(Targets!$B$2:$B$9,MATCH($B539,Targets!$A$2:$A$9,0)),0)</f>
        <v>1910000</v>
      </c>
      <c r="Q539" s="5" t="str">
        <f t="shared" si="16"/>
        <v>Yes</v>
      </c>
      <c r="R539" s="5" t="str">
        <f t="shared" si="17"/>
        <v>Jul</v>
      </c>
    </row>
    <row r="540" spans="1:18" ht="15" customHeight="1" x14ac:dyDescent="0.3">
      <c r="A540" s="5" t="str">
        <f>Sales_Data!A537</f>
        <v>2025-07-14</v>
      </c>
      <c r="B540" s="5" t="str">
        <f>Sales_Data!B537</f>
        <v>Ahmedabad West</v>
      </c>
      <c r="C540" s="5" t="str">
        <f>Sales_Data!C537</f>
        <v>E039</v>
      </c>
      <c r="D540" s="5" t="str">
        <f>IFERROR(INDEX(Employee_Master!$B$2:$B$44,MATCH($C540,Employee_Master!$A$2:$A$44,0)),"Not Found")</f>
        <v>Christopher Wood</v>
      </c>
      <c r="E540" s="5" t="str">
        <f>IFERROR(INDEX(Employee_Master!$C$2:$C$44,MATCH($C540,Employee_Master!$A$2:$A$44,0)),"Not Found")</f>
        <v>Marketing</v>
      </c>
      <c r="F540" s="5" t="str">
        <f>IFERROR(INDEX(Employee_Master!$D$2:$D$44,MATCH($C540,Employee_Master!$A$2:$A$44,0)),"Not Found")</f>
        <v>Joseph Brown</v>
      </c>
      <c r="G540" s="5" t="str">
        <f>IFERROR(INDEX(Employee_Master!$E$2:$E$44,MATCH($C540,Employee_Master!$A$2:$A$44,0)),"Not Found")</f>
        <v>West</v>
      </c>
      <c r="H540" s="5" t="str">
        <f>Sales_Data!D537</f>
        <v>P011 - Winter Jacket</v>
      </c>
      <c r="I540" s="5" t="str">
        <f>IFERROR(INDEX(Product_Master!$B$2:$B$30,MATCH($H540,Product_Master!$A$2:$A$30,0)),"Invalid Product Code")</f>
        <v>Apparel</v>
      </c>
      <c r="J540" s="5">
        <f>IFERROR(INDEX(Product_Master!$C$2:$C$30,MATCH($H540,Product_Master!$A$2:$A$30,0)),0)</f>
        <v>264.97000000000003</v>
      </c>
      <c r="K540" s="5">
        <f>Sales_Data!E537</f>
        <v>11</v>
      </c>
      <c r="L540" s="5">
        <f>Sales_Data!F537</f>
        <v>2677.03</v>
      </c>
      <c r="M540" s="5">
        <f>Sales_Data!G537</f>
        <v>2912.64</v>
      </c>
      <c r="N540" s="5" t="str">
        <f>IFERROR(INDEX(Branch_Master!$B$2:$B$9,MATCH($B540,Branch_Master!$A$2:$A$9,0)),"Not Found")</f>
        <v>Ahmedabad</v>
      </c>
      <c r="O540" s="5" t="str">
        <f>IFERROR(INDEX(Branch_Master!$C$2:$C$9,MATCH($B540,Branch_Master!$A$2:$A$9,0)),"Not Found")</f>
        <v>Gujarat</v>
      </c>
      <c r="P540" s="5">
        <f>IFERROR(INDEX(Targets!$B$2:$B$9,MATCH($B540,Targets!$A$2:$A$9,0)),0)</f>
        <v>1590000</v>
      </c>
      <c r="Q540" s="5" t="str">
        <f t="shared" si="16"/>
        <v>No</v>
      </c>
      <c r="R540" s="5" t="str">
        <f t="shared" si="17"/>
        <v>Jul</v>
      </c>
    </row>
    <row r="541" spans="1:18" ht="15" customHeight="1" x14ac:dyDescent="0.3">
      <c r="A541" s="5" t="str">
        <f>Sales_Data!A538</f>
        <v>2025-07-15</v>
      </c>
      <c r="B541" s="5" t="str">
        <f>Sales_Data!B538</f>
        <v>Pune East</v>
      </c>
      <c r="C541" s="5" t="str">
        <f>Sales_Data!C538</f>
        <v>E022</v>
      </c>
      <c r="D541" s="5" t="str">
        <f>IFERROR(INDEX(Employee_Master!$B$2:$B$44,MATCH($C541,Employee_Master!$A$2:$A$44,0)),"Not Found")</f>
        <v>Cindy Green PhD</v>
      </c>
      <c r="E541" s="5" t="str">
        <f>IFERROR(INDEX(Employee_Master!$C$2:$C$44,MATCH($C541,Employee_Master!$A$2:$A$44,0)),"Not Found")</f>
        <v>Customer Support</v>
      </c>
      <c r="F541" s="5" t="str">
        <f>IFERROR(INDEX(Employee_Master!$D$2:$D$44,MATCH($C541,Employee_Master!$A$2:$A$44,0)),"Not Found")</f>
        <v>Jordan Matthews</v>
      </c>
      <c r="G541" s="5" t="str">
        <f>IFERROR(INDEX(Employee_Master!$E$2:$E$44,MATCH($C541,Employee_Master!$A$2:$A$44,0)),"Not Found")</f>
        <v>West</v>
      </c>
      <c r="H541" s="5" t="str">
        <f>Sales_Data!D538</f>
        <v>P005 - LED Monitor</v>
      </c>
      <c r="I541" s="5" t="str">
        <f>IFERROR(INDEX(Product_Master!$B$2:$B$30,MATCH($H541,Product_Master!$A$2:$A$30,0)),"Invalid Product Code")</f>
        <v>Electronics</v>
      </c>
      <c r="J541" s="5">
        <f>IFERROR(INDEX(Product_Master!$C$2:$C$30,MATCH($H541,Product_Master!$A$2:$A$30,0)),0)</f>
        <v>489.9</v>
      </c>
      <c r="K541" s="5">
        <f>Sales_Data!E538</f>
        <v>10</v>
      </c>
      <c r="L541" s="5">
        <f>Sales_Data!F538</f>
        <v>4501.59</v>
      </c>
      <c r="M541" s="5">
        <f>Sales_Data!G538</f>
        <v>5160.16</v>
      </c>
      <c r="N541" s="5" t="str">
        <f>IFERROR(INDEX(Branch_Master!$B$2:$B$9,MATCH($B541,Branch_Master!$A$2:$A$9,0)),"Not Found")</f>
        <v>Pune</v>
      </c>
      <c r="O541" s="5" t="str">
        <f>IFERROR(INDEX(Branch_Master!$C$2:$C$9,MATCH($B541,Branch_Master!$A$2:$A$9,0)),"Not Found")</f>
        <v>Maharashtra</v>
      </c>
      <c r="P541" s="5">
        <f>IFERROR(INDEX(Targets!$B$2:$B$9,MATCH($B541,Targets!$A$2:$A$9,0)),0)</f>
        <v>1250000</v>
      </c>
      <c r="Q541" s="5" t="str">
        <f t="shared" si="16"/>
        <v>No</v>
      </c>
      <c r="R541" s="5" t="str">
        <f t="shared" si="17"/>
        <v>Jul</v>
      </c>
    </row>
    <row r="542" spans="1:18" ht="15" customHeight="1" x14ac:dyDescent="0.3">
      <c r="A542" s="5" t="str">
        <f>Sales_Data!A539</f>
        <v>2025-07-16</v>
      </c>
      <c r="B542" s="5" t="str">
        <f>Sales_Data!B539</f>
        <v>Ahmedabad West</v>
      </c>
      <c r="C542" s="5" t="str">
        <f>Sales_Data!C539</f>
        <v>E001</v>
      </c>
      <c r="D542" s="5" t="str">
        <f>IFERROR(INDEX(Employee_Master!$B$2:$B$44,MATCH($C542,Employee_Master!$A$2:$A$44,0)),"Not Found")</f>
        <v>David Johnson</v>
      </c>
      <c r="E542" s="5" t="str">
        <f>IFERROR(INDEX(Employee_Master!$C$2:$C$44,MATCH($C542,Employee_Master!$A$2:$A$44,0)),"Not Found")</f>
        <v>Customer Support</v>
      </c>
      <c r="F542" s="5" t="str">
        <f>IFERROR(INDEX(Employee_Master!$D$2:$D$44,MATCH($C542,Employee_Master!$A$2:$A$44,0)),"Not Found")</f>
        <v>Joseph Brown</v>
      </c>
      <c r="G542" s="5" t="str">
        <f>IFERROR(INDEX(Employee_Master!$E$2:$E$44,MATCH($C542,Employee_Master!$A$2:$A$44,0)),"Not Found")</f>
        <v>West</v>
      </c>
      <c r="H542" s="5" t="str">
        <f>Sales_Data!D539</f>
        <v>P028 - Football</v>
      </c>
      <c r="I542" s="5" t="str">
        <f>IFERROR(INDEX(Product_Master!$B$2:$B$30,MATCH($H542,Product_Master!$A$2:$A$30,0)),"Invalid Product Code")</f>
        <v>Sports</v>
      </c>
      <c r="J542" s="5">
        <f>IFERROR(INDEX(Product_Master!$C$2:$C$30,MATCH($H542,Product_Master!$A$2:$A$30,0)),0)</f>
        <v>314.25</v>
      </c>
      <c r="K542" s="5">
        <f>Sales_Data!E539</f>
        <v>7</v>
      </c>
      <c r="L542" s="5">
        <f>Sales_Data!F539</f>
        <v>2122.87</v>
      </c>
      <c r="M542" s="5">
        <f>Sales_Data!G539</f>
        <v>2378.4</v>
      </c>
      <c r="N542" s="5" t="str">
        <f>IFERROR(INDEX(Branch_Master!$B$2:$B$9,MATCH($B542,Branch_Master!$A$2:$A$9,0)),"Not Found")</f>
        <v>Ahmedabad</v>
      </c>
      <c r="O542" s="5" t="str">
        <f>IFERROR(INDEX(Branch_Master!$C$2:$C$9,MATCH($B542,Branch_Master!$A$2:$A$9,0)),"Not Found")</f>
        <v>Gujarat</v>
      </c>
      <c r="P542" s="5">
        <f>IFERROR(INDEX(Targets!$B$2:$B$9,MATCH($B542,Targets!$A$2:$A$9,0)),0)</f>
        <v>1590000</v>
      </c>
      <c r="Q542" s="5" t="str">
        <f t="shared" si="16"/>
        <v>No</v>
      </c>
      <c r="R542" s="5" t="str">
        <f t="shared" si="17"/>
        <v>Jul</v>
      </c>
    </row>
    <row r="543" spans="1:18" ht="15" customHeight="1" x14ac:dyDescent="0.3">
      <c r="A543" s="5" t="str">
        <f>Sales_Data!A540</f>
        <v>2025-07-16</v>
      </c>
      <c r="B543" s="5" t="str">
        <f>Sales_Data!B540</f>
        <v>Delhi NCR</v>
      </c>
      <c r="C543" s="5" t="str">
        <f>Sales_Data!C540</f>
        <v>E031</v>
      </c>
      <c r="D543" s="5" t="str">
        <f>IFERROR(INDEX(Employee_Master!$B$2:$B$44,MATCH($C543,Employee_Master!$A$2:$A$44,0)),"Not Found")</f>
        <v>Jennifer Garcia</v>
      </c>
      <c r="E543" s="5" t="str">
        <f>IFERROR(INDEX(Employee_Master!$C$2:$C$44,MATCH($C543,Employee_Master!$A$2:$A$44,0)),"Not Found")</f>
        <v>Sales</v>
      </c>
      <c r="F543" s="5" t="str">
        <f>IFERROR(INDEX(Employee_Master!$D$2:$D$44,MATCH($C543,Employee_Master!$A$2:$A$44,0)),"Not Found")</f>
        <v>William Oconnell</v>
      </c>
      <c r="G543" s="5" t="str">
        <f>IFERROR(INDEX(Employee_Master!$E$2:$E$44,MATCH($C543,Employee_Master!$A$2:$A$44,0)),"Not Found")</f>
        <v>North</v>
      </c>
      <c r="H543" s="5" t="str">
        <f>Sales_Data!D540</f>
        <v>P002 - Smart Watch</v>
      </c>
      <c r="I543" s="5" t="str">
        <f>IFERROR(INDEX(Product_Master!$B$2:$B$30,MATCH($H543,Product_Master!$A$2:$A$30,0)),"Invalid Product Code")</f>
        <v>Electronics</v>
      </c>
      <c r="J543" s="5">
        <f>IFERROR(INDEX(Product_Master!$C$2:$C$30,MATCH($H543,Product_Master!$A$2:$A$30,0)),0)</f>
        <v>403.33</v>
      </c>
      <c r="K543" s="5">
        <f>Sales_Data!E540</f>
        <v>8</v>
      </c>
      <c r="L543" s="5">
        <f>Sales_Data!F540</f>
        <v>3152.29</v>
      </c>
      <c r="M543" s="5">
        <f>Sales_Data!G540</f>
        <v>2810.38</v>
      </c>
      <c r="N543" s="5" t="str">
        <f>IFERROR(INDEX(Branch_Master!$B$2:$B$9,MATCH($B543,Branch_Master!$A$2:$A$9,0)),"Not Found")</f>
        <v>New Delhi</v>
      </c>
      <c r="O543" s="5" t="str">
        <f>IFERROR(INDEX(Branch_Master!$C$2:$C$9,MATCH($B543,Branch_Master!$A$2:$A$9,0)),"Not Found")</f>
        <v>Delhi</v>
      </c>
      <c r="P543" s="5">
        <f>IFERROR(INDEX(Targets!$B$2:$B$9,MATCH($B543,Targets!$A$2:$A$9,0)),0)</f>
        <v>2070000</v>
      </c>
      <c r="Q543" s="5" t="str">
        <f t="shared" si="16"/>
        <v>Yes</v>
      </c>
      <c r="R543" s="5" t="str">
        <f t="shared" si="17"/>
        <v>Jul</v>
      </c>
    </row>
    <row r="544" spans="1:18" ht="15" customHeight="1" x14ac:dyDescent="0.3">
      <c r="A544" s="5" t="str">
        <f>Sales_Data!A541</f>
        <v>2025-07-16</v>
      </c>
      <c r="B544" s="5" t="str">
        <f>Sales_Data!B541</f>
        <v>Delhi NCR</v>
      </c>
      <c r="C544" s="5" t="str">
        <f>Sales_Data!C541</f>
        <v>E031</v>
      </c>
      <c r="D544" s="5" t="str">
        <f>IFERROR(INDEX(Employee_Master!$B$2:$B$44,MATCH($C544,Employee_Master!$A$2:$A$44,0)),"Not Found")</f>
        <v>Jennifer Garcia</v>
      </c>
      <c r="E544" s="5" t="str">
        <f>IFERROR(INDEX(Employee_Master!$C$2:$C$44,MATCH($C544,Employee_Master!$A$2:$A$44,0)),"Not Found")</f>
        <v>Sales</v>
      </c>
      <c r="F544" s="5" t="str">
        <f>IFERROR(INDEX(Employee_Master!$D$2:$D$44,MATCH($C544,Employee_Master!$A$2:$A$44,0)),"Not Found")</f>
        <v>William Oconnell</v>
      </c>
      <c r="G544" s="5" t="str">
        <f>IFERROR(INDEX(Employee_Master!$E$2:$E$44,MATCH($C544,Employee_Master!$A$2:$A$44,0)),"Not Found")</f>
        <v>North</v>
      </c>
      <c r="H544" s="5" t="str">
        <f>Sales_Data!D541</f>
        <v>P001 - Wireless Earbuds</v>
      </c>
      <c r="I544" s="5" t="str">
        <f>IFERROR(INDEX(Product_Master!$B$2:$B$30,MATCH($H544,Product_Master!$A$2:$A$30,0)),"Invalid Product Code")</f>
        <v>Electronics</v>
      </c>
      <c r="J544" s="5">
        <f>IFERROR(INDEX(Product_Master!$C$2:$C$30,MATCH($H544,Product_Master!$A$2:$A$30,0)),0)</f>
        <v>1676.76</v>
      </c>
      <c r="K544" s="5">
        <f>Sales_Data!E541</f>
        <v>10</v>
      </c>
      <c r="L544" s="5">
        <f>Sales_Data!F541</f>
        <v>17462.740000000002</v>
      </c>
      <c r="M544" s="5">
        <f>Sales_Data!G541</f>
        <v>15341.78</v>
      </c>
      <c r="N544" s="5" t="str">
        <f>IFERROR(INDEX(Branch_Master!$B$2:$B$9,MATCH($B544,Branch_Master!$A$2:$A$9,0)),"Not Found")</f>
        <v>New Delhi</v>
      </c>
      <c r="O544" s="5" t="str">
        <f>IFERROR(INDEX(Branch_Master!$C$2:$C$9,MATCH($B544,Branch_Master!$A$2:$A$9,0)),"Not Found")</f>
        <v>Delhi</v>
      </c>
      <c r="P544" s="5">
        <f>IFERROR(INDEX(Targets!$B$2:$B$9,MATCH($B544,Targets!$A$2:$A$9,0)),0)</f>
        <v>2070000</v>
      </c>
      <c r="Q544" s="5" t="str">
        <f t="shared" si="16"/>
        <v>Yes</v>
      </c>
      <c r="R544" s="5" t="str">
        <f t="shared" si="17"/>
        <v>Jul</v>
      </c>
    </row>
    <row r="545" spans="1:18" ht="15" customHeight="1" x14ac:dyDescent="0.3">
      <c r="A545" s="5" t="str">
        <f>Sales_Data!A542</f>
        <v>2025-07-17</v>
      </c>
      <c r="B545" s="5" t="str">
        <f>Sales_Data!B542</f>
        <v>Pune East</v>
      </c>
      <c r="C545" s="5" t="str">
        <f>Sales_Data!C542</f>
        <v>E034</v>
      </c>
      <c r="D545" s="5" t="str">
        <f>IFERROR(INDEX(Employee_Master!$B$2:$B$44,MATCH($C545,Employee_Master!$A$2:$A$44,0)),"Not Found")</f>
        <v>Elaine Thompson</v>
      </c>
      <c r="E545" s="5" t="str">
        <f>IFERROR(INDEX(Employee_Master!$C$2:$C$44,MATCH($C545,Employee_Master!$A$2:$A$44,0)),"Not Found")</f>
        <v>Marketing</v>
      </c>
      <c r="F545" s="5" t="str">
        <f>IFERROR(INDEX(Employee_Master!$D$2:$D$44,MATCH($C545,Employee_Master!$A$2:$A$44,0)),"Not Found")</f>
        <v>Jordan Matthews</v>
      </c>
      <c r="G545" s="5" t="str">
        <f>IFERROR(INDEX(Employee_Master!$E$2:$E$44,MATCH($C545,Employee_Master!$A$2:$A$44,0)),"Not Found")</f>
        <v>West</v>
      </c>
      <c r="H545" s="5" t="str">
        <f>Sales_Data!D542</f>
        <v>P013 - Mixer Grinder</v>
      </c>
      <c r="I545" s="5" t="str">
        <f>IFERROR(INDEX(Product_Master!$B$2:$B$30,MATCH($H545,Product_Master!$A$2:$A$30,0)),"Invalid Product Code")</f>
        <v>Home &amp; Kitchen</v>
      </c>
      <c r="J545" s="5">
        <f>IFERROR(INDEX(Product_Master!$C$2:$C$30,MATCH($H545,Product_Master!$A$2:$A$30,0)),0)</f>
        <v>798.53</v>
      </c>
      <c r="K545" s="5">
        <f>Sales_Data!E542</f>
        <v>3</v>
      </c>
      <c r="L545" s="5">
        <f>Sales_Data!F542</f>
        <v>2317.13</v>
      </c>
      <c r="M545" s="5">
        <f>Sales_Data!G542</f>
        <v>2130.7399999999998</v>
      </c>
      <c r="N545" s="5" t="str">
        <f>IFERROR(INDEX(Branch_Master!$B$2:$B$9,MATCH($B545,Branch_Master!$A$2:$A$9,0)),"Not Found")</f>
        <v>Pune</v>
      </c>
      <c r="O545" s="5" t="str">
        <f>IFERROR(INDEX(Branch_Master!$C$2:$C$9,MATCH($B545,Branch_Master!$A$2:$A$9,0)),"Not Found")</f>
        <v>Maharashtra</v>
      </c>
      <c r="P545" s="5">
        <f>IFERROR(INDEX(Targets!$B$2:$B$9,MATCH($B545,Targets!$A$2:$A$9,0)),0)</f>
        <v>1250000</v>
      </c>
      <c r="Q545" s="5" t="str">
        <f t="shared" si="16"/>
        <v>Yes</v>
      </c>
      <c r="R545" s="5" t="str">
        <f t="shared" si="17"/>
        <v>Jul</v>
      </c>
    </row>
    <row r="546" spans="1:18" ht="15" customHeight="1" x14ac:dyDescent="0.3">
      <c r="A546" s="5" t="str">
        <f>Sales_Data!A543</f>
        <v>2025-07-17</v>
      </c>
      <c r="B546" s="5" t="str">
        <f>Sales_Data!B543</f>
        <v>Chennai South</v>
      </c>
      <c r="C546" s="5" t="str">
        <f>Sales_Data!C543</f>
        <v>E032</v>
      </c>
      <c r="D546" s="5" t="str">
        <f>IFERROR(INDEX(Employee_Master!$B$2:$B$44,MATCH($C546,Employee_Master!$A$2:$A$44,0)),"Not Found")</f>
        <v>Victor Allen</v>
      </c>
      <c r="E546" s="5" t="str">
        <f>IFERROR(INDEX(Employee_Master!$C$2:$C$44,MATCH($C546,Employee_Master!$A$2:$A$44,0)),"Not Found")</f>
        <v>Operations</v>
      </c>
      <c r="F546" s="5" t="str">
        <f>IFERROR(INDEX(Employee_Master!$D$2:$D$44,MATCH($C546,Employee_Master!$A$2:$A$44,0)),"Not Found")</f>
        <v>Robert Steele</v>
      </c>
      <c r="G546" s="5" t="str">
        <f>IFERROR(INDEX(Employee_Master!$E$2:$E$44,MATCH($C546,Employee_Master!$A$2:$A$44,0)),"Not Found")</f>
        <v>South</v>
      </c>
      <c r="H546" s="5" t="str">
        <f>Sales_Data!D543</f>
        <v>P002 - Smart Watch</v>
      </c>
      <c r="I546" s="5" t="str">
        <f>IFERROR(INDEX(Product_Master!$B$2:$B$30,MATCH($H546,Product_Master!$A$2:$A$30,0)),"Invalid Product Code")</f>
        <v>Electronics</v>
      </c>
      <c r="J546" s="5">
        <f>IFERROR(INDEX(Product_Master!$C$2:$C$30,MATCH($H546,Product_Master!$A$2:$A$30,0)),0)</f>
        <v>403.33</v>
      </c>
      <c r="K546" s="5">
        <f>Sales_Data!E543</f>
        <v>9</v>
      </c>
      <c r="L546" s="5">
        <f>Sales_Data!F543</f>
        <v>3850.14</v>
      </c>
      <c r="M546" s="5">
        <f>Sales_Data!G543</f>
        <v>4041.72</v>
      </c>
      <c r="N546" s="5" t="str">
        <f>IFERROR(INDEX(Branch_Master!$B$2:$B$9,MATCH($B546,Branch_Master!$A$2:$A$9,0)),"Not Found")</f>
        <v>Chennai</v>
      </c>
      <c r="O546" s="5" t="str">
        <f>IFERROR(INDEX(Branch_Master!$C$2:$C$9,MATCH($B546,Branch_Master!$A$2:$A$9,0)),"Not Found")</f>
        <v>Tamil Nadu</v>
      </c>
      <c r="P546" s="5">
        <f>IFERROR(INDEX(Targets!$B$2:$B$9,MATCH($B546,Targets!$A$2:$A$9,0)),0)</f>
        <v>1910000</v>
      </c>
      <c r="Q546" s="5" t="str">
        <f t="shared" si="16"/>
        <v>No</v>
      </c>
      <c r="R546" s="5" t="str">
        <f t="shared" si="17"/>
        <v>Jul</v>
      </c>
    </row>
    <row r="547" spans="1:18" ht="15" customHeight="1" x14ac:dyDescent="0.3">
      <c r="A547" s="5" t="str">
        <f>Sales_Data!A544</f>
        <v>2025-07-17</v>
      </c>
      <c r="B547" s="5" t="str">
        <f>Sales_Data!B544</f>
        <v>Bangalore North</v>
      </c>
      <c r="C547" s="5" t="str">
        <f>Sales_Data!C544</f>
        <v>E003</v>
      </c>
      <c r="D547" s="5" t="str">
        <f>IFERROR(INDEX(Employee_Master!$B$2:$B$44,MATCH($C547,Employee_Master!$A$2:$A$44,0)),"Not Found")</f>
        <v>Margaret Porter</v>
      </c>
      <c r="E547" s="5" t="str">
        <f>IFERROR(INDEX(Employee_Master!$C$2:$C$44,MATCH($C547,Employee_Master!$A$2:$A$44,0)),"Not Found")</f>
        <v>Customer Support</v>
      </c>
      <c r="F547" s="5" t="str">
        <f>IFERROR(INDEX(Employee_Master!$D$2:$D$44,MATCH($C547,Employee_Master!$A$2:$A$44,0)),"Not Found")</f>
        <v>Jose Soto</v>
      </c>
      <c r="G547" s="5" t="str">
        <f>IFERROR(INDEX(Employee_Master!$E$2:$E$44,MATCH($C547,Employee_Master!$A$2:$A$44,0)),"Not Found")</f>
        <v>South</v>
      </c>
      <c r="H547" s="5" t="str">
        <f>Sales_Data!D544</f>
        <v>P006 - Laptop Stand</v>
      </c>
      <c r="I547" s="5" t="str">
        <f>IFERROR(INDEX(Product_Master!$B$2:$B$30,MATCH($H547,Product_Master!$A$2:$A$30,0)),"Invalid Product Code")</f>
        <v>Electronics</v>
      </c>
      <c r="J547" s="5">
        <f>IFERROR(INDEX(Product_Master!$C$2:$C$30,MATCH($H547,Product_Master!$A$2:$A$30,0)),0)</f>
        <v>393.96</v>
      </c>
      <c r="K547" s="5">
        <f>Sales_Data!E544</f>
        <v>12</v>
      </c>
      <c r="L547" s="5">
        <f>Sales_Data!F544</f>
        <v>5197.76</v>
      </c>
      <c r="M547" s="5">
        <f>Sales_Data!G544</f>
        <v>5253.43</v>
      </c>
      <c r="N547" s="5" t="str">
        <f>IFERROR(INDEX(Branch_Master!$B$2:$B$9,MATCH($B547,Branch_Master!$A$2:$A$9,0)),"Not Found")</f>
        <v>Bangalore</v>
      </c>
      <c r="O547" s="5" t="str">
        <f>IFERROR(INDEX(Branch_Master!$C$2:$C$9,MATCH($B547,Branch_Master!$A$2:$A$9,0)),"Not Found")</f>
        <v>Karnataka</v>
      </c>
      <c r="P547" s="5">
        <f>IFERROR(INDEX(Targets!$B$2:$B$9,MATCH($B547,Targets!$A$2:$A$9,0)),0)</f>
        <v>900000</v>
      </c>
      <c r="Q547" s="5" t="str">
        <f t="shared" si="16"/>
        <v>No</v>
      </c>
      <c r="R547" s="5" t="str">
        <f t="shared" si="17"/>
        <v>Jul</v>
      </c>
    </row>
    <row r="548" spans="1:18" ht="15" customHeight="1" x14ac:dyDescent="0.3">
      <c r="A548" s="5" t="str">
        <f>Sales_Data!A545</f>
        <v>2025-07-18</v>
      </c>
      <c r="B548" s="5" t="str">
        <f>Sales_Data!B545</f>
        <v>Ahmedabad West</v>
      </c>
      <c r="C548" s="5" t="str">
        <f>Sales_Data!C545</f>
        <v>E008</v>
      </c>
      <c r="D548" s="5" t="str">
        <f>IFERROR(INDEX(Employee_Master!$B$2:$B$44,MATCH($C548,Employee_Master!$A$2:$A$44,0)),"Not Found")</f>
        <v>Tyler Boone</v>
      </c>
      <c r="E548" s="5" t="str">
        <f>IFERROR(INDEX(Employee_Master!$C$2:$C$44,MATCH($C548,Employee_Master!$A$2:$A$44,0)),"Not Found")</f>
        <v>Marketing</v>
      </c>
      <c r="F548" s="5" t="str">
        <f>IFERROR(INDEX(Employee_Master!$D$2:$D$44,MATCH($C548,Employee_Master!$A$2:$A$44,0)),"Not Found")</f>
        <v>Joseph Brown</v>
      </c>
      <c r="G548" s="5" t="str">
        <f>IFERROR(INDEX(Employee_Master!$E$2:$E$44,MATCH($C548,Employee_Master!$A$2:$A$44,0)),"Not Found")</f>
        <v>West</v>
      </c>
      <c r="H548" s="5" t="str">
        <f>Sales_Data!D545</f>
        <v>P023 - Sunscreen SPF50</v>
      </c>
      <c r="I548" s="5" t="str">
        <f>IFERROR(INDEX(Product_Master!$B$2:$B$30,MATCH($H548,Product_Master!$A$2:$A$30,0)),"Invalid Product Code")</f>
        <v>Beauty</v>
      </c>
      <c r="J548" s="5">
        <f>IFERROR(INDEX(Product_Master!$C$2:$C$30,MATCH($H548,Product_Master!$A$2:$A$30,0)),0)</f>
        <v>818.95</v>
      </c>
      <c r="K548" s="5">
        <f>Sales_Data!E545</f>
        <v>6</v>
      </c>
      <c r="L548" s="5">
        <f>Sales_Data!F545</f>
        <v>4579.3999999999996</v>
      </c>
      <c r="M548" s="5">
        <f>Sales_Data!G545</f>
        <v>4751.47</v>
      </c>
      <c r="N548" s="5" t="str">
        <f>IFERROR(INDEX(Branch_Master!$B$2:$B$9,MATCH($B548,Branch_Master!$A$2:$A$9,0)),"Not Found")</f>
        <v>Ahmedabad</v>
      </c>
      <c r="O548" s="5" t="str">
        <f>IFERROR(INDEX(Branch_Master!$C$2:$C$9,MATCH($B548,Branch_Master!$A$2:$A$9,0)),"Not Found")</f>
        <v>Gujarat</v>
      </c>
      <c r="P548" s="5">
        <f>IFERROR(INDEX(Targets!$B$2:$B$9,MATCH($B548,Targets!$A$2:$A$9,0)),0)</f>
        <v>1590000</v>
      </c>
      <c r="Q548" s="5" t="str">
        <f t="shared" si="16"/>
        <v>No</v>
      </c>
      <c r="R548" s="5" t="str">
        <f t="shared" si="17"/>
        <v>Jul</v>
      </c>
    </row>
    <row r="549" spans="1:18" ht="15" customHeight="1" x14ac:dyDescent="0.3">
      <c r="A549" s="5" t="str">
        <f>Sales_Data!A546</f>
        <v>2025-07-18</v>
      </c>
      <c r="B549" s="5" t="str">
        <f>Sales_Data!B546</f>
        <v>Delhi NCR</v>
      </c>
      <c r="C549" s="5" t="str">
        <f>Sales_Data!C546</f>
        <v>E031</v>
      </c>
      <c r="D549" s="5" t="str">
        <f>IFERROR(INDEX(Employee_Master!$B$2:$B$44,MATCH($C549,Employee_Master!$A$2:$A$44,0)),"Not Found")</f>
        <v>Jennifer Garcia</v>
      </c>
      <c r="E549" s="5" t="str">
        <f>IFERROR(INDEX(Employee_Master!$C$2:$C$44,MATCH($C549,Employee_Master!$A$2:$A$44,0)),"Not Found")</f>
        <v>Sales</v>
      </c>
      <c r="F549" s="5" t="str">
        <f>IFERROR(INDEX(Employee_Master!$D$2:$D$44,MATCH($C549,Employee_Master!$A$2:$A$44,0)),"Not Found")</f>
        <v>William Oconnell</v>
      </c>
      <c r="G549" s="5" t="str">
        <f>IFERROR(INDEX(Employee_Master!$E$2:$E$44,MATCH($C549,Employee_Master!$A$2:$A$44,0)),"Not Found")</f>
        <v>North</v>
      </c>
      <c r="H549" s="5" t="str">
        <f>Sales_Data!D546</f>
        <v>P027 - Cricket Bat</v>
      </c>
      <c r="I549" s="5" t="str">
        <f>IFERROR(INDEX(Product_Master!$B$2:$B$30,MATCH($H549,Product_Master!$A$2:$A$30,0)),"Invalid Product Code")</f>
        <v>Sports</v>
      </c>
      <c r="J549" s="5">
        <f>IFERROR(INDEX(Product_Master!$C$2:$C$30,MATCH($H549,Product_Master!$A$2:$A$30,0)),0)</f>
        <v>822.7</v>
      </c>
      <c r="K549" s="5">
        <f>Sales_Data!E546</f>
        <v>6</v>
      </c>
      <c r="L549" s="5">
        <f>Sales_Data!F546</f>
        <v>5215.26</v>
      </c>
      <c r="M549" s="5">
        <f>Sales_Data!G546</f>
        <v>5595.75</v>
      </c>
      <c r="N549" s="5" t="str">
        <f>IFERROR(INDEX(Branch_Master!$B$2:$B$9,MATCH($B549,Branch_Master!$A$2:$A$9,0)),"Not Found")</f>
        <v>New Delhi</v>
      </c>
      <c r="O549" s="5" t="str">
        <f>IFERROR(INDEX(Branch_Master!$C$2:$C$9,MATCH($B549,Branch_Master!$A$2:$A$9,0)),"Not Found")</f>
        <v>Delhi</v>
      </c>
      <c r="P549" s="5">
        <f>IFERROR(INDEX(Targets!$B$2:$B$9,MATCH($B549,Targets!$A$2:$A$9,0)),0)</f>
        <v>2070000</v>
      </c>
      <c r="Q549" s="5" t="str">
        <f t="shared" si="16"/>
        <v>No</v>
      </c>
      <c r="R549" s="5" t="str">
        <f t="shared" si="17"/>
        <v>Jul</v>
      </c>
    </row>
    <row r="550" spans="1:18" ht="15" customHeight="1" x14ac:dyDescent="0.3">
      <c r="A550" s="5" t="str">
        <f>Sales_Data!A547</f>
        <v>2025-07-18</v>
      </c>
      <c r="B550" s="5" t="str">
        <f>Sales_Data!B547</f>
        <v>Ahmedabad West</v>
      </c>
      <c r="C550" s="5" t="str">
        <f>Sales_Data!C547</f>
        <v>E001</v>
      </c>
      <c r="D550" s="5" t="str">
        <f>IFERROR(INDEX(Employee_Master!$B$2:$B$44,MATCH($C550,Employee_Master!$A$2:$A$44,0)),"Not Found")</f>
        <v>David Johnson</v>
      </c>
      <c r="E550" s="5" t="str">
        <f>IFERROR(INDEX(Employee_Master!$C$2:$C$44,MATCH($C550,Employee_Master!$A$2:$A$44,0)),"Not Found")</f>
        <v>Customer Support</v>
      </c>
      <c r="F550" s="5" t="str">
        <f>IFERROR(INDEX(Employee_Master!$D$2:$D$44,MATCH($C550,Employee_Master!$A$2:$A$44,0)),"Not Found")</f>
        <v>Joseph Brown</v>
      </c>
      <c r="G550" s="5" t="str">
        <f>IFERROR(INDEX(Employee_Master!$E$2:$E$44,MATCH($C550,Employee_Master!$A$2:$A$44,0)),"Not Found")</f>
        <v>West</v>
      </c>
      <c r="H550" s="5" t="str">
        <f>Sales_Data!D547</f>
        <v>P018 - Cooking Oil 1L</v>
      </c>
      <c r="I550" s="5" t="str">
        <f>IFERROR(INDEX(Product_Master!$B$2:$B$30,MATCH($H550,Product_Master!$A$2:$A$30,0)),"Invalid Product Code")</f>
        <v>Grocery</v>
      </c>
      <c r="J550" s="5">
        <f>IFERROR(INDEX(Product_Master!$C$2:$C$30,MATCH($H550,Product_Master!$A$2:$A$30,0)),0)</f>
        <v>1483.63</v>
      </c>
      <c r="K550" s="5">
        <f>Sales_Data!E547</f>
        <v>12</v>
      </c>
      <c r="L550" s="5">
        <f>Sales_Data!F547</f>
        <v>19067.37</v>
      </c>
      <c r="M550" s="5">
        <f>Sales_Data!G547</f>
        <v>19261.46</v>
      </c>
      <c r="N550" s="5" t="str">
        <f>IFERROR(INDEX(Branch_Master!$B$2:$B$9,MATCH($B550,Branch_Master!$A$2:$A$9,0)),"Not Found")</f>
        <v>Ahmedabad</v>
      </c>
      <c r="O550" s="5" t="str">
        <f>IFERROR(INDEX(Branch_Master!$C$2:$C$9,MATCH($B550,Branch_Master!$A$2:$A$9,0)),"Not Found")</f>
        <v>Gujarat</v>
      </c>
      <c r="P550" s="5">
        <f>IFERROR(INDEX(Targets!$B$2:$B$9,MATCH($B550,Targets!$A$2:$A$9,0)),0)</f>
        <v>1590000</v>
      </c>
      <c r="Q550" s="5" t="str">
        <f t="shared" si="16"/>
        <v>No</v>
      </c>
      <c r="R550" s="5" t="str">
        <f t="shared" si="17"/>
        <v>Jul</v>
      </c>
    </row>
    <row r="551" spans="1:18" ht="15" customHeight="1" x14ac:dyDescent="0.3">
      <c r="A551" s="5" t="str">
        <f>Sales_Data!A548</f>
        <v>2025-07-18</v>
      </c>
      <c r="B551" s="5" t="str">
        <f>Sales_Data!B548</f>
        <v>Bangalore North</v>
      </c>
      <c r="C551" s="5" t="str">
        <f>Sales_Data!C548</f>
        <v>E038</v>
      </c>
      <c r="D551" s="5" t="str">
        <f>IFERROR(INDEX(Employee_Master!$B$2:$B$44,MATCH($C551,Employee_Master!$A$2:$A$44,0)),"Not Found")</f>
        <v>Derrick Griffin</v>
      </c>
      <c r="E551" s="5" t="str">
        <f>IFERROR(INDEX(Employee_Master!$C$2:$C$44,MATCH($C551,Employee_Master!$A$2:$A$44,0)),"Not Found")</f>
        <v>Marketing</v>
      </c>
      <c r="F551" s="5" t="str">
        <f>IFERROR(INDEX(Employee_Master!$D$2:$D$44,MATCH($C551,Employee_Master!$A$2:$A$44,0)),"Not Found")</f>
        <v>Jose Soto</v>
      </c>
      <c r="G551" s="5" t="str">
        <f>IFERROR(INDEX(Employee_Master!$E$2:$E$44,MATCH($C551,Employee_Master!$A$2:$A$44,0)),"Not Found")</f>
        <v>South</v>
      </c>
      <c r="H551" s="5" t="str">
        <f>Sales_Data!D548</f>
        <v>P015 - Water Bottle</v>
      </c>
      <c r="I551" s="5" t="str">
        <f>IFERROR(INDEX(Product_Master!$B$2:$B$30,MATCH($H551,Product_Master!$A$2:$A$30,0)),"Invalid Product Code")</f>
        <v>Home &amp; Kitchen</v>
      </c>
      <c r="J551" s="5">
        <f>IFERROR(INDEX(Product_Master!$C$2:$C$30,MATCH($H551,Product_Master!$A$2:$A$30,0)),0)</f>
        <v>197.57</v>
      </c>
      <c r="K551" s="5">
        <f>Sales_Data!E548</f>
        <v>4</v>
      </c>
      <c r="L551" s="5">
        <f>Sales_Data!F548</f>
        <v>810.12</v>
      </c>
      <c r="M551" s="5">
        <f>Sales_Data!G548</f>
        <v>887.48</v>
      </c>
      <c r="N551" s="5" t="str">
        <f>IFERROR(INDEX(Branch_Master!$B$2:$B$9,MATCH($B551,Branch_Master!$A$2:$A$9,0)),"Not Found")</f>
        <v>Bangalore</v>
      </c>
      <c r="O551" s="5" t="str">
        <f>IFERROR(INDEX(Branch_Master!$C$2:$C$9,MATCH($B551,Branch_Master!$A$2:$A$9,0)),"Not Found")</f>
        <v>Karnataka</v>
      </c>
      <c r="P551" s="5">
        <f>IFERROR(INDEX(Targets!$B$2:$B$9,MATCH($B551,Targets!$A$2:$A$9,0)),0)</f>
        <v>900000</v>
      </c>
      <c r="Q551" s="5" t="str">
        <f t="shared" si="16"/>
        <v>No</v>
      </c>
      <c r="R551" s="5" t="str">
        <f t="shared" si="17"/>
        <v>Jul</v>
      </c>
    </row>
    <row r="552" spans="1:18" ht="15" customHeight="1" x14ac:dyDescent="0.3">
      <c r="A552" s="5" t="str">
        <f>Sales_Data!A549</f>
        <v>2025-07-19</v>
      </c>
      <c r="B552" s="5" t="str">
        <f>Sales_Data!B549</f>
        <v>Bangalore North</v>
      </c>
      <c r="C552" s="5" t="str">
        <f>Sales_Data!C549</f>
        <v>E006</v>
      </c>
      <c r="D552" s="5" t="str">
        <f>IFERROR(INDEX(Employee_Master!$B$2:$B$44,MATCH($C552,Employee_Master!$A$2:$A$44,0)),"Not Found")</f>
        <v>Dylan Jones</v>
      </c>
      <c r="E552" s="5" t="str">
        <f>IFERROR(INDEX(Employee_Master!$C$2:$C$44,MATCH($C552,Employee_Master!$A$2:$A$44,0)),"Not Found")</f>
        <v>Sales</v>
      </c>
      <c r="F552" s="5" t="str">
        <f>IFERROR(INDEX(Employee_Master!$D$2:$D$44,MATCH($C552,Employee_Master!$A$2:$A$44,0)),"Not Found")</f>
        <v>Jose Soto</v>
      </c>
      <c r="G552" s="5" t="str">
        <f>IFERROR(INDEX(Employee_Master!$E$2:$E$44,MATCH($C552,Employee_Master!$A$2:$A$44,0)),"Not Found")</f>
        <v>South</v>
      </c>
      <c r="H552" s="5" t="str">
        <f>Sales_Data!D549</f>
        <v>P015 - Water Bottle</v>
      </c>
      <c r="I552" s="5" t="str">
        <f>IFERROR(INDEX(Product_Master!$B$2:$B$30,MATCH($H552,Product_Master!$A$2:$A$30,0)),"Invalid Product Code")</f>
        <v>Home &amp; Kitchen</v>
      </c>
      <c r="J552" s="5">
        <f>IFERROR(INDEX(Product_Master!$C$2:$C$30,MATCH($H552,Product_Master!$A$2:$A$30,0)),0)</f>
        <v>197.57</v>
      </c>
      <c r="K552" s="5">
        <f>Sales_Data!E549</f>
        <v>9</v>
      </c>
      <c r="L552" s="5">
        <f>Sales_Data!F549</f>
        <v>1919.43</v>
      </c>
      <c r="M552" s="5">
        <f>Sales_Data!G549</f>
        <v>1957.54</v>
      </c>
      <c r="N552" s="5" t="str">
        <f>IFERROR(INDEX(Branch_Master!$B$2:$B$9,MATCH($B552,Branch_Master!$A$2:$A$9,0)),"Not Found")</f>
        <v>Bangalore</v>
      </c>
      <c r="O552" s="5" t="str">
        <f>IFERROR(INDEX(Branch_Master!$C$2:$C$9,MATCH($B552,Branch_Master!$A$2:$A$9,0)),"Not Found")</f>
        <v>Karnataka</v>
      </c>
      <c r="P552" s="5">
        <f>IFERROR(INDEX(Targets!$B$2:$B$9,MATCH($B552,Targets!$A$2:$A$9,0)),0)</f>
        <v>900000</v>
      </c>
      <c r="Q552" s="5" t="str">
        <f t="shared" si="16"/>
        <v>No</v>
      </c>
      <c r="R552" s="5" t="str">
        <f t="shared" si="17"/>
        <v>Jul</v>
      </c>
    </row>
    <row r="553" spans="1:18" ht="15" customHeight="1" x14ac:dyDescent="0.3">
      <c r="A553" s="5" t="str">
        <f>Sales_Data!A550</f>
        <v>2025-07-19</v>
      </c>
      <c r="B553" s="5" t="str">
        <f>Sales_Data!B550</f>
        <v>Chennai South</v>
      </c>
      <c r="C553" s="5" t="str">
        <f>Sales_Data!C550</f>
        <v>E019</v>
      </c>
      <c r="D553" s="5" t="str">
        <f>IFERROR(INDEX(Employee_Master!$B$2:$B$44,MATCH($C553,Employee_Master!$A$2:$A$44,0)),"Not Found")</f>
        <v>Regina Torres</v>
      </c>
      <c r="E553" s="5" t="str">
        <f>IFERROR(INDEX(Employee_Master!$C$2:$C$44,MATCH($C553,Employee_Master!$A$2:$A$44,0)),"Not Found")</f>
        <v>Operations</v>
      </c>
      <c r="F553" s="5" t="str">
        <f>IFERROR(INDEX(Employee_Master!$D$2:$D$44,MATCH($C553,Employee_Master!$A$2:$A$44,0)),"Not Found")</f>
        <v>Robert Steele</v>
      </c>
      <c r="G553" s="5" t="str">
        <f>IFERROR(INDEX(Employee_Master!$E$2:$E$44,MATCH($C553,Employee_Master!$A$2:$A$44,0)),"Not Found")</f>
        <v>South</v>
      </c>
      <c r="H553" s="5" t="str">
        <f>Sales_Data!D550</f>
        <v>P006 - Laptop Stand</v>
      </c>
      <c r="I553" s="5" t="str">
        <f>IFERROR(INDEX(Product_Master!$B$2:$B$30,MATCH($H553,Product_Master!$A$2:$A$30,0)),"Invalid Product Code")</f>
        <v>Electronics</v>
      </c>
      <c r="J553" s="5">
        <f>IFERROR(INDEX(Product_Master!$C$2:$C$30,MATCH($H553,Product_Master!$A$2:$A$30,0)),0)</f>
        <v>393.96</v>
      </c>
      <c r="K553" s="5">
        <f>Sales_Data!E550</f>
        <v>10</v>
      </c>
      <c r="L553" s="5">
        <f>Sales_Data!F550</f>
        <v>4092.65</v>
      </c>
      <c r="M553" s="5">
        <f>Sales_Data!G550</f>
        <v>4244.6499999999996</v>
      </c>
      <c r="N553" s="5" t="str">
        <f>IFERROR(INDEX(Branch_Master!$B$2:$B$9,MATCH($B553,Branch_Master!$A$2:$A$9,0)),"Not Found")</f>
        <v>Chennai</v>
      </c>
      <c r="O553" s="5" t="str">
        <f>IFERROR(INDEX(Branch_Master!$C$2:$C$9,MATCH($B553,Branch_Master!$A$2:$A$9,0)),"Not Found")</f>
        <v>Tamil Nadu</v>
      </c>
      <c r="P553" s="5">
        <f>IFERROR(INDEX(Targets!$B$2:$B$9,MATCH($B553,Targets!$A$2:$A$9,0)),0)</f>
        <v>1910000</v>
      </c>
      <c r="Q553" s="5" t="str">
        <f t="shared" si="16"/>
        <v>No</v>
      </c>
      <c r="R553" s="5" t="str">
        <f t="shared" si="17"/>
        <v>Jul</v>
      </c>
    </row>
    <row r="554" spans="1:18" ht="15" customHeight="1" x14ac:dyDescent="0.3">
      <c r="A554" s="5" t="str">
        <f>Sales_Data!A551</f>
        <v>2025-07-19</v>
      </c>
      <c r="B554" s="5" t="str">
        <f>Sales_Data!B551</f>
        <v>Bangalore North</v>
      </c>
      <c r="C554" s="5" t="str">
        <f>Sales_Data!C551</f>
        <v>E040</v>
      </c>
      <c r="D554" s="5" t="str">
        <f>IFERROR(INDEX(Employee_Master!$B$2:$B$44,MATCH($C554,Employee_Master!$A$2:$A$44,0)),"Not Found")</f>
        <v>Bonnie Cox</v>
      </c>
      <c r="E554" s="5" t="str">
        <f>IFERROR(INDEX(Employee_Master!$C$2:$C$44,MATCH($C554,Employee_Master!$A$2:$A$44,0)),"Not Found")</f>
        <v>Customer Support</v>
      </c>
      <c r="F554" s="5" t="str">
        <f>IFERROR(INDEX(Employee_Master!$D$2:$D$44,MATCH($C554,Employee_Master!$A$2:$A$44,0)),"Not Found")</f>
        <v>Jose Soto</v>
      </c>
      <c r="G554" s="5" t="str">
        <f>IFERROR(INDEX(Employee_Master!$E$2:$E$44,MATCH($C554,Employee_Master!$A$2:$A$44,0)),"Not Found")</f>
        <v>South</v>
      </c>
      <c r="H554" s="5" t="str">
        <f>Sales_Data!D551</f>
        <v>P028 - Football</v>
      </c>
      <c r="I554" s="5" t="str">
        <f>IFERROR(INDEX(Product_Master!$B$2:$B$30,MATCH($H554,Product_Master!$A$2:$A$30,0)),"Invalid Product Code")</f>
        <v>Sports</v>
      </c>
      <c r="J554" s="5">
        <f>IFERROR(INDEX(Product_Master!$C$2:$C$30,MATCH($H554,Product_Master!$A$2:$A$30,0)),0)</f>
        <v>314.25</v>
      </c>
      <c r="K554" s="5">
        <f>Sales_Data!E551</f>
        <v>3</v>
      </c>
      <c r="L554" s="5">
        <f>Sales_Data!F551</f>
        <v>963.38</v>
      </c>
      <c r="M554" s="5">
        <f>Sales_Data!G551</f>
        <v>955.13</v>
      </c>
      <c r="N554" s="5" t="str">
        <f>IFERROR(INDEX(Branch_Master!$B$2:$B$9,MATCH($B554,Branch_Master!$A$2:$A$9,0)),"Not Found")</f>
        <v>Bangalore</v>
      </c>
      <c r="O554" s="5" t="str">
        <f>IFERROR(INDEX(Branch_Master!$C$2:$C$9,MATCH($B554,Branch_Master!$A$2:$A$9,0)),"Not Found")</f>
        <v>Karnataka</v>
      </c>
      <c r="P554" s="5">
        <f>IFERROR(INDEX(Targets!$B$2:$B$9,MATCH($B554,Targets!$A$2:$A$9,0)),0)</f>
        <v>900000</v>
      </c>
      <c r="Q554" s="5" t="str">
        <f t="shared" si="16"/>
        <v>Yes</v>
      </c>
      <c r="R554" s="5" t="str">
        <f t="shared" si="17"/>
        <v>Jul</v>
      </c>
    </row>
    <row r="555" spans="1:18" ht="15" customHeight="1" x14ac:dyDescent="0.3">
      <c r="A555" s="5" t="str">
        <f>Sales_Data!A552</f>
        <v>2025-07-20</v>
      </c>
      <c r="B555" s="5" t="str">
        <f>Sales_Data!B552</f>
        <v>Pune East</v>
      </c>
      <c r="C555" s="5" t="str">
        <f>Sales_Data!C552</f>
        <v>E034</v>
      </c>
      <c r="D555" s="5" t="str">
        <f>IFERROR(INDEX(Employee_Master!$B$2:$B$44,MATCH($C555,Employee_Master!$A$2:$A$44,0)),"Not Found")</f>
        <v>Elaine Thompson</v>
      </c>
      <c r="E555" s="5" t="str">
        <f>IFERROR(INDEX(Employee_Master!$C$2:$C$44,MATCH($C555,Employee_Master!$A$2:$A$44,0)),"Not Found")</f>
        <v>Marketing</v>
      </c>
      <c r="F555" s="5" t="str">
        <f>IFERROR(INDEX(Employee_Master!$D$2:$D$44,MATCH($C555,Employee_Master!$A$2:$A$44,0)),"Not Found")</f>
        <v>Jordan Matthews</v>
      </c>
      <c r="G555" s="5" t="str">
        <f>IFERROR(INDEX(Employee_Master!$E$2:$E$44,MATCH($C555,Employee_Master!$A$2:$A$44,0)),"Not Found")</f>
        <v>West</v>
      </c>
      <c r="H555" s="5" t="str">
        <f>Sales_Data!D552</f>
        <v>P023 - Sunscreen SPF50</v>
      </c>
      <c r="I555" s="5" t="str">
        <f>IFERROR(INDEX(Product_Master!$B$2:$B$30,MATCH($H555,Product_Master!$A$2:$A$30,0)),"Invalid Product Code")</f>
        <v>Beauty</v>
      </c>
      <c r="J555" s="5">
        <f>IFERROR(INDEX(Product_Master!$C$2:$C$30,MATCH($H555,Product_Master!$A$2:$A$30,0)),0)</f>
        <v>818.95</v>
      </c>
      <c r="K555" s="5">
        <f>Sales_Data!E552</f>
        <v>12</v>
      </c>
      <c r="L555" s="5">
        <f>Sales_Data!F552</f>
        <v>10341.77</v>
      </c>
      <c r="M555" s="5">
        <f>Sales_Data!G552</f>
        <v>10554.56</v>
      </c>
      <c r="N555" s="5" t="str">
        <f>IFERROR(INDEX(Branch_Master!$B$2:$B$9,MATCH($B555,Branch_Master!$A$2:$A$9,0)),"Not Found")</f>
        <v>Pune</v>
      </c>
      <c r="O555" s="5" t="str">
        <f>IFERROR(INDEX(Branch_Master!$C$2:$C$9,MATCH($B555,Branch_Master!$A$2:$A$9,0)),"Not Found")</f>
        <v>Maharashtra</v>
      </c>
      <c r="P555" s="5">
        <f>IFERROR(INDEX(Targets!$B$2:$B$9,MATCH($B555,Targets!$A$2:$A$9,0)),0)</f>
        <v>1250000</v>
      </c>
      <c r="Q555" s="5" t="str">
        <f t="shared" si="16"/>
        <v>No</v>
      </c>
      <c r="R555" s="5" t="str">
        <f t="shared" si="17"/>
        <v>Jul</v>
      </c>
    </row>
    <row r="556" spans="1:18" ht="15" customHeight="1" x14ac:dyDescent="0.3">
      <c r="A556" s="5" t="str">
        <f>Sales_Data!A553</f>
        <v>2025-07-20</v>
      </c>
      <c r="B556" s="5" t="str">
        <f>Sales_Data!B553</f>
        <v>Chennai South</v>
      </c>
      <c r="C556" s="5" t="str">
        <f>Sales_Data!C553</f>
        <v>E032</v>
      </c>
      <c r="D556" s="5" t="str">
        <f>IFERROR(INDEX(Employee_Master!$B$2:$B$44,MATCH($C556,Employee_Master!$A$2:$A$44,0)),"Not Found")</f>
        <v>Victor Allen</v>
      </c>
      <c r="E556" s="5" t="str">
        <f>IFERROR(INDEX(Employee_Master!$C$2:$C$44,MATCH($C556,Employee_Master!$A$2:$A$44,0)),"Not Found")</f>
        <v>Operations</v>
      </c>
      <c r="F556" s="5" t="str">
        <f>IFERROR(INDEX(Employee_Master!$D$2:$D$44,MATCH($C556,Employee_Master!$A$2:$A$44,0)),"Not Found")</f>
        <v>Robert Steele</v>
      </c>
      <c r="G556" s="5" t="str">
        <f>IFERROR(INDEX(Employee_Master!$E$2:$E$44,MATCH($C556,Employee_Master!$A$2:$A$44,0)),"Not Found")</f>
        <v>South</v>
      </c>
      <c r="H556" s="5" t="str">
        <f>Sales_Data!D553</f>
        <v>P010 - Running Shoes</v>
      </c>
      <c r="I556" s="5" t="str">
        <f>IFERROR(INDEX(Product_Master!$B$2:$B$30,MATCH($H556,Product_Master!$A$2:$A$30,0)),"Invalid Product Code")</f>
        <v>Apparel</v>
      </c>
      <c r="J556" s="5">
        <f>IFERROR(INDEX(Product_Master!$C$2:$C$30,MATCH($H556,Product_Master!$A$2:$A$30,0)),0)</f>
        <v>233.71</v>
      </c>
      <c r="K556" s="5">
        <f>Sales_Data!E553</f>
        <v>11</v>
      </c>
      <c r="L556" s="5">
        <f>Sales_Data!F553</f>
        <v>2381.64</v>
      </c>
      <c r="M556" s="5">
        <f>Sales_Data!G553</f>
        <v>2480.9</v>
      </c>
      <c r="N556" s="5" t="str">
        <f>IFERROR(INDEX(Branch_Master!$B$2:$B$9,MATCH($B556,Branch_Master!$A$2:$A$9,0)),"Not Found")</f>
        <v>Chennai</v>
      </c>
      <c r="O556" s="5" t="str">
        <f>IFERROR(INDEX(Branch_Master!$C$2:$C$9,MATCH($B556,Branch_Master!$A$2:$A$9,0)),"Not Found")</f>
        <v>Tamil Nadu</v>
      </c>
      <c r="P556" s="5">
        <f>IFERROR(INDEX(Targets!$B$2:$B$9,MATCH($B556,Targets!$A$2:$A$9,0)),0)</f>
        <v>1910000</v>
      </c>
      <c r="Q556" s="5" t="str">
        <f t="shared" si="16"/>
        <v>No</v>
      </c>
      <c r="R556" s="5" t="str">
        <f t="shared" si="17"/>
        <v>Jul</v>
      </c>
    </row>
    <row r="557" spans="1:18" ht="15" customHeight="1" x14ac:dyDescent="0.3">
      <c r="A557" s="5" t="str">
        <f>Sales_Data!A554</f>
        <v>2025-07-21</v>
      </c>
      <c r="B557" s="5" t="str">
        <f>Sales_Data!B554</f>
        <v>Chennai South</v>
      </c>
      <c r="C557" s="5" t="str">
        <f>Sales_Data!C554</f>
        <v>E019</v>
      </c>
      <c r="D557" s="5" t="str">
        <f>IFERROR(INDEX(Employee_Master!$B$2:$B$44,MATCH($C557,Employee_Master!$A$2:$A$44,0)),"Not Found")</f>
        <v>Regina Torres</v>
      </c>
      <c r="E557" s="5" t="str">
        <f>IFERROR(INDEX(Employee_Master!$C$2:$C$44,MATCH($C557,Employee_Master!$A$2:$A$44,0)),"Not Found")</f>
        <v>Operations</v>
      </c>
      <c r="F557" s="5" t="str">
        <f>IFERROR(INDEX(Employee_Master!$D$2:$D$44,MATCH($C557,Employee_Master!$A$2:$A$44,0)),"Not Found")</f>
        <v>Robert Steele</v>
      </c>
      <c r="G557" s="5" t="str">
        <f>IFERROR(INDEX(Employee_Master!$E$2:$E$44,MATCH($C557,Employee_Master!$A$2:$A$44,0)),"Not Found")</f>
        <v>South</v>
      </c>
      <c r="H557" s="5" t="str">
        <f>Sales_Data!D554</f>
        <v>P014 - Air Fryer</v>
      </c>
      <c r="I557" s="5" t="str">
        <f>IFERROR(INDEX(Product_Master!$B$2:$B$30,MATCH($H557,Product_Master!$A$2:$A$30,0)),"Invalid Product Code")</f>
        <v>Home &amp; Kitchen</v>
      </c>
      <c r="J557" s="5">
        <f>IFERROR(INDEX(Product_Master!$C$2:$C$30,MATCH($H557,Product_Master!$A$2:$A$30,0)),0)</f>
        <v>729.85</v>
      </c>
      <c r="K557" s="5">
        <f>Sales_Data!E554</f>
        <v>2</v>
      </c>
      <c r="L557" s="5">
        <f>Sales_Data!F554</f>
        <v>1597.39</v>
      </c>
      <c r="M557" s="5">
        <f>Sales_Data!G554</f>
        <v>1538.46</v>
      </c>
      <c r="N557" s="5" t="str">
        <f>IFERROR(INDEX(Branch_Master!$B$2:$B$9,MATCH($B557,Branch_Master!$A$2:$A$9,0)),"Not Found")</f>
        <v>Chennai</v>
      </c>
      <c r="O557" s="5" t="str">
        <f>IFERROR(INDEX(Branch_Master!$C$2:$C$9,MATCH($B557,Branch_Master!$A$2:$A$9,0)),"Not Found")</f>
        <v>Tamil Nadu</v>
      </c>
      <c r="P557" s="5">
        <f>IFERROR(INDEX(Targets!$B$2:$B$9,MATCH($B557,Targets!$A$2:$A$9,0)),0)</f>
        <v>1910000</v>
      </c>
      <c r="Q557" s="5" t="str">
        <f t="shared" si="16"/>
        <v>Yes</v>
      </c>
      <c r="R557" s="5" t="str">
        <f t="shared" si="17"/>
        <v>Jul</v>
      </c>
    </row>
    <row r="558" spans="1:18" ht="15" customHeight="1" x14ac:dyDescent="0.3">
      <c r="A558" s="5" t="str">
        <f>Sales_Data!A555</f>
        <v>2025-07-22</v>
      </c>
      <c r="B558" s="5" t="str">
        <f>Sales_Data!B555</f>
        <v>Hyderabad Hitech</v>
      </c>
      <c r="C558" s="5" t="str">
        <f>Sales_Data!C555</f>
        <v>E026</v>
      </c>
      <c r="D558" s="5" t="str">
        <f>IFERROR(INDEX(Employee_Master!$B$2:$B$44,MATCH($C558,Employee_Master!$A$2:$A$44,0)),"Not Found")</f>
        <v>Karen Andrews</v>
      </c>
      <c r="E558" s="5" t="str">
        <f>IFERROR(INDEX(Employee_Master!$C$2:$C$44,MATCH($C558,Employee_Master!$A$2:$A$44,0)),"Not Found")</f>
        <v>Marketing</v>
      </c>
      <c r="F558" s="5" t="str">
        <f>IFERROR(INDEX(Employee_Master!$D$2:$D$44,MATCH($C558,Employee_Master!$A$2:$A$44,0)),"Not Found")</f>
        <v>Anna Turner</v>
      </c>
      <c r="G558" s="5" t="str">
        <f>IFERROR(INDEX(Employee_Master!$E$2:$E$44,MATCH($C558,Employee_Master!$A$2:$A$44,0)),"Not Found")</f>
        <v>South</v>
      </c>
      <c r="H558" s="5" t="str">
        <f>Sales_Data!D555</f>
        <v>P012 - Non-Stick Pan</v>
      </c>
      <c r="I558" s="5" t="str">
        <f>IFERROR(INDEX(Product_Master!$B$2:$B$30,MATCH($H558,Product_Master!$A$2:$A$30,0)),"Invalid Product Code")</f>
        <v>Home &amp; Kitchen</v>
      </c>
      <c r="J558" s="5">
        <f>IFERROR(INDEX(Product_Master!$C$2:$C$30,MATCH($H558,Product_Master!$A$2:$A$30,0)),0)</f>
        <v>353.18</v>
      </c>
      <c r="K558" s="5">
        <f>Sales_Data!E555</f>
        <v>6</v>
      </c>
      <c r="L558" s="5">
        <f>Sales_Data!F555</f>
        <v>2000.13</v>
      </c>
      <c r="M558" s="5">
        <f>Sales_Data!G555</f>
        <v>2050.4</v>
      </c>
      <c r="N558" s="5" t="str">
        <f>IFERROR(INDEX(Branch_Master!$B$2:$B$9,MATCH($B558,Branch_Master!$A$2:$A$9,0)),"Not Found")</f>
        <v>Hyderabad</v>
      </c>
      <c r="O558" s="5" t="str">
        <f>IFERROR(INDEX(Branch_Master!$C$2:$C$9,MATCH($B558,Branch_Master!$A$2:$A$9,0)),"Not Found")</f>
        <v>Telangana</v>
      </c>
      <c r="P558" s="5">
        <f>IFERROR(INDEX(Targets!$B$2:$B$9,MATCH($B558,Targets!$A$2:$A$9,0)),0)</f>
        <v>1210000</v>
      </c>
      <c r="Q558" s="5" t="str">
        <f t="shared" si="16"/>
        <v>No</v>
      </c>
      <c r="R558" s="5" t="str">
        <f t="shared" si="17"/>
        <v>Jul</v>
      </c>
    </row>
    <row r="559" spans="1:18" ht="15" customHeight="1" x14ac:dyDescent="0.3">
      <c r="A559" s="5" t="str">
        <f>Sales_Data!A556</f>
        <v>2025-07-23</v>
      </c>
      <c r="B559" s="5" t="str">
        <f>Sales_Data!B556</f>
        <v>Hyderabad Hitech</v>
      </c>
      <c r="C559" s="5" t="str">
        <f>Sales_Data!C556</f>
        <v>E020</v>
      </c>
      <c r="D559" s="5" t="str">
        <f>IFERROR(INDEX(Employee_Master!$B$2:$B$44,MATCH($C559,Employee_Master!$A$2:$A$44,0)),"Not Found")</f>
        <v>Christine Long</v>
      </c>
      <c r="E559" s="5" t="str">
        <f>IFERROR(INDEX(Employee_Master!$C$2:$C$44,MATCH($C559,Employee_Master!$A$2:$A$44,0)),"Not Found")</f>
        <v>Operations</v>
      </c>
      <c r="F559" s="5" t="str">
        <f>IFERROR(INDEX(Employee_Master!$D$2:$D$44,MATCH($C559,Employee_Master!$A$2:$A$44,0)),"Not Found")</f>
        <v>Anna Turner</v>
      </c>
      <c r="G559" s="5" t="str">
        <f>IFERROR(INDEX(Employee_Master!$E$2:$E$44,MATCH($C559,Employee_Master!$A$2:$A$44,0)),"Not Found")</f>
        <v>South</v>
      </c>
      <c r="H559" s="5" t="str">
        <f>Sales_Data!D556</f>
        <v>P011 - Winter Jacket</v>
      </c>
      <c r="I559" s="5" t="str">
        <f>IFERROR(INDEX(Product_Master!$B$2:$B$30,MATCH($H559,Product_Master!$A$2:$A$30,0)),"Invalid Product Code")</f>
        <v>Apparel</v>
      </c>
      <c r="J559" s="5">
        <f>IFERROR(INDEX(Product_Master!$C$2:$C$30,MATCH($H559,Product_Master!$A$2:$A$30,0)),0)</f>
        <v>264.97000000000003</v>
      </c>
      <c r="K559" s="5">
        <f>Sales_Data!E556</f>
        <v>1</v>
      </c>
      <c r="L559" s="5">
        <f>Sales_Data!F556</f>
        <v>255.29</v>
      </c>
      <c r="M559" s="5">
        <f>Sales_Data!G556</f>
        <v>290.36</v>
      </c>
      <c r="N559" s="5" t="str">
        <f>IFERROR(INDEX(Branch_Master!$B$2:$B$9,MATCH($B559,Branch_Master!$A$2:$A$9,0)),"Not Found")</f>
        <v>Hyderabad</v>
      </c>
      <c r="O559" s="5" t="str">
        <f>IFERROR(INDEX(Branch_Master!$C$2:$C$9,MATCH($B559,Branch_Master!$A$2:$A$9,0)),"Not Found")</f>
        <v>Telangana</v>
      </c>
      <c r="P559" s="5">
        <f>IFERROR(INDEX(Targets!$B$2:$B$9,MATCH($B559,Targets!$A$2:$A$9,0)),0)</f>
        <v>1210000</v>
      </c>
      <c r="Q559" s="5" t="str">
        <f t="shared" si="16"/>
        <v>No</v>
      </c>
      <c r="R559" s="5" t="str">
        <f t="shared" si="17"/>
        <v>Jul</v>
      </c>
    </row>
    <row r="560" spans="1:18" ht="15" customHeight="1" x14ac:dyDescent="0.3">
      <c r="A560" s="5" t="str">
        <f>Sales_Data!A557</f>
        <v>2025-07-24</v>
      </c>
      <c r="B560" s="5" t="str">
        <f>Sales_Data!B557</f>
        <v>Pune East</v>
      </c>
      <c r="C560" s="5" t="str">
        <f>Sales_Data!C557</f>
        <v>E034</v>
      </c>
      <c r="D560" s="5" t="str">
        <f>IFERROR(INDEX(Employee_Master!$B$2:$B$44,MATCH($C560,Employee_Master!$A$2:$A$44,0)),"Not Found")</f>
        <v>Elaine Thompson</v>
      </c>
      <c r="E560" s="5" t="str">
        <f>IFERROR(INDEX(Employee_Master!$C$2:$C$44,MATCH($C560,Employee_Master!$A$2:$A$44,0)),"Not Found")</f>
        <v>Marketing</v>
      </c>
      <c r="F560" s="5" t="str">
        <f>IFERROR(INDEX(Employee_Master!$D$2:$D$44,MATCH($C560,Employee_Master!$A$2:$A$44,0)),"Not Found")</f>
        <v>Jordan Matthews</v>
      </c>
      <c r="G560" s="5" t="str">
        <f>IFERROR(INDEX(Employee_Master!$E$2:$E$44,MATCH($C560,Employee_Master!$A$2:$A$44,0)),"Not Found")</f>
        <v>West</v>
      </c>
      <c r="H560" s="5" t="str">
        <f>Sales_Data!D557</f>
        <v>P028 - Football</v>
      </c>
      <c r="I560" s="5" t="str">
        <f>IFERROR(INDEX(Product_Master!$B$2:$B$30,MATCH($H560,Product_Master!$A$2:$A$30,0)),"Invalid Product Code")</f>
        <v>Sports</v>
      </c>
      <c r="J560" s="5">
        <f>IFERROR(INDEX(Product_Master!$C$2:$C$30,MATCH($H560,Product_Master!$A$2:$A$30,0)),0)</f>
        <v>314.25</v>
      </c>
      <c r="K560" s="5">
        <f>Sales_Data!E557</f>
        <v>7</v>
      </c>
      <c r="L560" s="5">
        <f>Sales_Data!F557</f>
        <v>2011.14</v>
      </c>
      <c r="M560" s="5">
        <f>Sales_Data!G557</f>
        <v>2031.8</v>
      </c>
      <c r="N560" s="5" t="str">
        <f>IFERROR(INDEX(Branch_Master!$B$2:$B$9,MATCH($B560,Branch_Master!$A$2:$A$9,0)),"Not Found")</f>
        <v>Pune</v>
      </c>
      <c r="O560" s="5" t="str">
        <f>IFERROR(INDEX(Branch_Master!$C$2:$C$9,MATCH($B560,Branch_Master!$A$2:$A$9,0)),"Not Found")</f>
        <v>Maharashtra</v>
      </c>
      <c r="P560" s="5">
        <f>IFERROR(INDEX(Targets!$B$2:$B$9,MATCH($B560,Targets!$A$2:$A$9,0)),0)</f>
        <v>1250000</v>
      </c>
      <c r="Q560" s="5" t="str">
        <f t="shared" si="16"/>
        <v>No</v>
      </c>
      <c r="R560" s="5" t="str">
        <f t="shared" si="17"/>
        <v>Jul</v>
      </c>
    </row>
    <row r="561" spans="1:18" ht="15" customHeight="1" x14ac:dyDescent="0.3">
      <c r="A561" s="5" t="str">
        <f>Sales_Data!A558</f>
        <v>2025-07-24</v>
      </c>
      <c r="B561" s="5" t="str">
        <f>Sales_Data!B558</f>
        <v>Chennai South</v>
      </c>
      <c r="C561" s="5" t="str">
        <f>Sales_Data!C558</f>
        <v>E019</v>
      </c>
      <c r="D561" s="5" t="str">
        <f>IFERROR(INDEX(Employee_Master!$B$2:$B$44,MATCH($C561,Employee_Master!$A$2:$A$44,0)),"Not Found")</f>
        <v>Regina Torres</v>
      </c>
      <c r="E561" s="5" t="str">
        <f>IFERROR(INDEX(Employee_Master!$C$2:$C$44,MATCH($C561,Employee_Master!$A$2:$A$44,0)),"Not Found")</f>
        <v>Operations</v>
      </c>
      <c r="F561" s="5" t="str">
        <f>IFERROR(INDEX(Employee_Master!$D$2:$D$44,MATCH($C561,Employee_Master!$A$2:$A$44,0)),"Not Found")</f>
        <v>Robert Steele</v>
      </c>
      <c r="G561" s="5" t="str">
        <f>IFERROR(INDEX(Employee_Master!$E$2:$E$44,MATCH($C561,Employee_Master!$A$2:$A$44,0)),"Not Found")</f>
        <v>South</v>
      </c>
      <c r="H561" s="5" t="str">
        <f>Sales_Data!D558</f>
        <v>P008 - Denim Jeans</v>
      </c>
      <c r="I561" s="5" t="str">
        <f>IFERROR(INDEX(Product_Master!$B$2:$B$30,MATCH($H561,Product_Master!$A$2:$A$30,0)),"Invalid Product Code")</f>
        <v>Apparel</v>
      </c>
      <c r="J561" s="5">
        <f>IFERROR(INDEX(Product_Master!$C$2:$C$30,MATCH($H561,Product_Master!$A$2:$A$30,0)),0)</f>
        <v>614.48</v>
      </c>
      <c r="K561" s="5">
        <f>Sales_Data!E558</f>
        <v>2</v>
      </c>
      <c r="L561" s="5">
        <f>Sales_Data!F558</f>
        <v>1224.58</v>
      </c>
      <c r="M561" s="5">
        <f>Sales_Data!G558</f>
        <v>1179.5</v>
      </c>
      <c r="N561" s="5" t="str">
        <f>IFERROR(INDEX(Branch_Master!$B$2:$B$9,MATCH($B561,Branch_Master!$A$2:$A$9,0)),"Not Found")</f>
        <v>Chennai</v>
      </c>
      <c r="O561" s="5" t="str">
        <f>IFERROR(INDEX(Branch_Master!$C$2:$C$9,MATCH($B561,Branch_Master!$A$2:$A$9,0)),"Not Found")</f>
        <v>Tamil Nadu</v>
      </c>
      <c r="P561" s="5">
        <f>IFERROR(INDEX(Targets!$B$2:$B$9,MATCH($B561,Targets!$A$2:$A$9,0)),0)</f>
        <v>1910000</v>
      </c>
      <c r="Q561" s="5" t="str">
        <f t="shared" si="16"/>
        <v>Yes</v>
      </c>
      <c r="R561" s="5" t="str">
        <f t="shared" si="17"/>
        <v>Jul</v>
      </c>
    </row>
    <row r="562" spans="1:18" ht="15" customHeight="1" x14ac:dyDescent="0.3">
      <c r="A562" s="5" t="str">
        <f>Sales_Data!A559</f>
        <v>2025-07-24</v>
      </c>
      <c r="B562" s="5" t="str">
        <f>Sales_Data!B559</f>
        <v>Kolkata Central</v>
      </c>
      <c r="C562" s="5" t="str">
        <f>Sales_Data!C559</f>
        <v>E018</v>
      </c>
      <c r="D562" s="5" t="str">
        <f>IFERROR(INDEX(Employee_Master!$B$2:$B$44,MATCH($C562,Employee_Master!$A$2:$A$44,0)),"Not Found")</f>
        <v>Daniel Nelson</v>
      </c>
      <c r="E562" s="5" t="str">
        <f>IFERROR(INDEX(Employee_Master!$C$2:$C$44,MATCH($C562,Employee_Master!$A$2:$A$44,0)),"Not Found")</f>
        <v>Sales</v>
      </c>
      <c r="F562" s="5" t="str">
        <f>IFERROR(INDEX(Employee_Master!$D$2:$D$44,MATCH($C562,Employee_Master!$A$2:$A$44,0)),"Not Found")</f>
        <v>Lisa Moore</v>
      </c>
      <c r="G562" s="5" t="str">
        <f>IFERROR(INDEX(Employee_Master!$E$2:$E$44,MATCH($C562,Employee_Master!$A$2:$A$44,0)),"Not Found")</f>
        <v>East</v>
      </c>
      <c r="H562" s="5" t="str">
        <f>Sales_Data!D559</f>
        <v>P018 - Cooking Oil 1L</v>
      </c>
      <c r="I562" s="5" t="str">
        <f>IFERROR(INDEX(Product_Master!$B$2:$B$30,MATCH($H562,Product_Master!$A$2:$A$30,0)),"Invalid Product Code")</f>
        <v>Grocery</v>
      </c>
      <c r="J562" s="5">
        <f>IFERROR(INDEX(Product_Master!$C$2:$C$30,MATCH($H562,Product_Master!$A$2:$A$30,0)),0)</f>
        <v>1483.63</v>
      </c>
      <c r="K562" s="5">
        <f>Sales_Data!E559</f>
        <v>8</v>
      </c>
      <c r="L562" s="5">
        <f>Sales_Data!F559</f>
        <v>11853.99</v>
      </c>
      <c r="M562" s="5">
        <f>Sales_Data!G559</f>
        <v>12943.35</v>
      </c>
      <c r="N562" s="5" t="str">
        <f>IFERROR(INDEX(Branch_Master!$B$2:$B$9,MATCH($B562,Branch_Master!$A$2:$A$9,0)),"Not Found")</f>
        <v>Kolkata</v>
      </c>
      <c r="O562" s="5" t="str">
        <f>IFERROR(INDEX(Branch_Master!$C$2:$C$9,MATCH($B562,Branch_Master!$A$2:$A$9,0)),"Not Found")</f>
        <v>West Bengal</v>
      </c>
      <c r="P562" s="5">
        <f>IFERROR(INDEX(Targets!$B$2:$B$9,MATCH($B562,Targets!$A$2:$A$9,0)),0)</f>
        <v>1910000</v>
      </c>
      <c r="Q562" s="5" t="str">
        <f t="shared" si="16"/>
        <v>No</v>
      </c>
      <c r="R562" s="5" t="str">
        <f t="shared" si="17"/>
        <v>Jul</v>
      </c>
    </row>
    <row r="563" spans="1:18" ht="15" customHeight="1" x14ac:dyDescent="0.3">
      <c r="A563" s="5" t="str">
        <f>Sales_Data!A560</f>
        <v>2025-07-25</v>
      </c>
      <c r="B563" s="5" t="str">
        <f>Sales_Data!B560</f>
        <v>Delhi NCR</v>
      </c>
      <c r="C563" s="5" t="str">
        <f>Sales_Data!C560</f>
        <v>E013</v>
      </c>
      <c r="D563" s="5" t="str">
        <f>IFERROR(INDEX(Employee_Master!$B$2:$B$44,MATCH($C563,Employee_Master!$A$2:$A$44,0)),"Not Found")</f>
        <v>Norma Wilson</v>
      </c>
      <c r="E563" s="5" t="str">
        <f>IFERROR(INDEX(Employee_Master!$C$2:$C$44,MATCH($C563,Employee_Master!$A$2:$A$44,0)),"Not Found")</f>
        <v>Customer Support</v>
      </c>
      <c r="F563" s="5" t="str">
        <f>IFERROR(INDEX(Employee_Master!$D$2:$D$44,MATCH($C563,Employee_Master!$A$2:$A$44,0)),"Not Found")</f>
        <v>William Oconnell</v>
      </c>
      <c r="G563" s="5" t="str">
        <f>IFERROR(INDEX(Employee_Master!$E$2:$E$44,MATCH($C563,Employee_Master!$A$2:$A$44,0)),"Not Found")</f>
        <v>North</v>
      </c>
      <c r="H563" s="5" t="str">
        <f>Sales_Data!D560</f>
        <v>P022 - Face Wash</v>
      </c>
      <c r="I563" s="5" t="str">
        <f>IFERROR(INDEX(Product_Master!$B$2:$B$30,MATCH($H563,Product_Master!$A$2:$A$30,0)),"Invalid Product Code")</f>
        <v>Beauty</v>
      </c>
      <c r="J563" s="5">
        <f>IFERROR(INDEX(Product_Master!$C$2:$C$30,MATCH($H563,Product_Master!$A$2:$A$30,0)),0)</f>
        <v>396.75</v>
      </c>
      <c r="K563" s="5">
        <f>Sales_Data!E560</f>
        <v>10</v>
      </c>
      <c r="L563" s="5">
        <f>Sales_Data!F560</f>
        <v>3991.22</v>
      </c>
      <c r="M563" s="5">
        <f>Sales_Data!G560</f>
        <v>3682.69</v>
      </c>
      <c r="N563" s="5" t="str">
        <f>IFERROR(INDEX(Branch_Master!$B$2:$B$9,MATCH($B563,Branch_Master!$A$2:$A$9,0)),"Not Found")</f>
        <v>New Delhi</v>
      </c>
      <c r="O563" s="5" t="str">
        <f>IFERROR(INDEX(Branch_Master!$C$2:$C$9,MATCH($B563,Branch_Master!$A$2:$A$9,0)),"Not Found")</f>
        <v>Delhi</v>
      </c>
      <c r="P563" s="5">
        <f>IFERROR(INDEX(Targets!$B$2:$B$9,MATCH($B563,Targets!$A$2:$A$9,0)),0)</f>
        <v>2070000</v>
      </c>
      <c r="Q563" s="5" t="str">
        <f t="shared" si="16"/>
        <v>Yes</v>
      </c>
      <c r="R563" s="5" t="str">
        <f t="shared" si="17"/>
        <v>Jul</v>
      </c>
    </row>
    <row r="564" spans="1:18" ht="15" customHeight="1" x14ac:dyDescent="0.3">
      <c r="A564" s="5" t="str">
        <f>Sales_Data!A561</f>
        <v>2025-07-25</v>
      </c>
      <c r="B564" s="5" t="str">
        <f>Sales_Data!B561</f>
        <v>Delhi NCR</v>
      </c>
      <c r="C564" s="5" t="str">
        <f>Sales_Data!C561</f>
        <v>E013</v>
      </c>
      <c r="D564" s="5" t="str">
        <f>IFERROR(INDEX(Employee_Master!$B$2:$B$44,MATCH($C564,Employee_Master!$A$2:$A$44,0)),"Not Found")</f>
        <v>Norma Wilson</v>
      </c>
      <c r="E564" s="5" t="str">
        <f>IFERROR(INDEX(Employee_Master!$C$2:$C$44,MATCH($C564,Employee_Master!$A$2:$A$44,0)),"Not Found")</f>
        <v>Customer Support</v>
      </c>
      <c r="F564" s="5" t="str">
        <f>IFERROR(INDEX(Employee_Master!$D$2:$D$44,MATCH($C564,Employee_Master!$A$2:$A$44,0)),"Not Found")</f>
        <v>William Oconnell</v>
      </c>
      <c r="G564" s="5" t="str">
        <f>IFERROR(INDEX(Employee_Master!$E$2:$E$44,MATCH($C564,Employee_Master!$A$2:$A$44,0)),"Not Found")</f>
        <v>North</v>
      </c>
      <c r="H564" s="5" t="str">
        <f>Sales_Data!D561</f>
        <v>P006 - Laptop Stand</v>
      </c>
      <c r="I564" s="5" t="str">
        <f>IFERROR(INDEX(Product_Master!$B$2:$B$30,MATCH($H564,Product_Master!$A$2:$A$30,0)),"Invalid Product Code")</f>
        <v>Electronics</v>
      </c>
      <c r="J564" s="5">
        <f>IFERROR(INDEX(Product_Master!$C$2:$C$30,MATCH($H564,Product_Master!$A$2:$A$30,0)),0)</f>
        <v>393.96</v>
      </c>
      <c r="K564" s="5">
        <f>Sales_Data!E561</f>
        <v>6</v>
      </c>
      <c r="L564" s="5">
        <f>Sales_Data!F561</f>
        <v>2211.9299999999998</v>
      </c>
      <c r="M564" s="5">
        <f>Sales_Data!G561</f>
        <v>2491.2199999999998</v>
      </c>
      <c r="N564" s="5" t="str">
        <f>IFERROR(INDEX(Branch_Master!$B$2:$B$9,MATCH($B564,Branch_Master!$A$2:$A$9,0)),"Not Found")</f>
        <v>New Delhi</v>
      </c>
      <c r="O564" s="5" t="str">
        <f>IFERROR(INDEX(Branch_Master!$C$2:$C$9,MATCH($B564,Branch_Master!$A$2:$A$9,0)),"Not Found")</f>
        <v>Delhi</v>
      </c>
      <c r="P564" s="5">
        <f>IFERROR(INDEX(Targets!$B$2:$B$9,MATCH($B564,Targets!$A$2:$A$9,0)),0)</f>
        <v>2070000</v>
      </c>
      <c r="Q564" s="5" t="str">
        <f t="shared" si="16"/>
        <v>No</v>
      </c>
      <c r="R564" s="5" t="str">
        <f t="shared" si="17"/>
        <v>Jul</v>
      </c>
    </row>
    <row r="565" spans="1:18" ht="15" customHeight="1" x14ac:dyDescent="0.3">
      <c r="A565" s="5" t="str">
        <f>Sales_Data!A562</f>
        <v>2025-07-25</v>
      </c>
      <c r="B565" s="5" t="str">
        <f>Sales_Data!B562</f>
        <v>Mumbai Central</v>
      </c>
      <c r="C565" s="5" t="str">
        <f>Sales_Data!C562</f>
        <v>E025</v>
      </c>
      <c r="D565" s="5" t="str">
        <f>IFERROR(INDEX(Employee_Master!$B$2:$B$44,MATCH($C565,Employee_Master!$A$2:$A$44,0)),"Not Found")</f>
        <v>Jacqueline Chavez</v>
      </c>
      <c r="E565" s="5" t="str">
        <f>IFERROR(INDEX(Employee_Master!$C$2:$C$44,MATCH($C565,Employee_Master!$A$2:$A$44,0)),"Not Found")</f>
        <v>Sales</v>
      </c>
      <c r="F565" s="5" t="str">
        <f>IFERROR(INDEX(Employee_Master!$D$2:$D$44,MATCH($C565,Employee_Master!$A$2:$A$44,0)),"Not Found")</f>
        <v>Justin Glass</v>
      </c>
      <c r="G565" s="5" t="str">
        <f>IFERROR(INDEX(Employee_Master!$E$2:$E$44,MATCH($C565,Employee_Master!$A$2:$A$44,0)),"Not Found")</f>
        <v>West</v>
      </c>
      <c r="H565" s="5" t="str">
        <f>Sales_Data!D562</f>
        <v>P027 - Cricket Bat</v>
      </c>
      <c r="I565" s="5" t="str">
        <f>IFERROR(INDEX(Product_Master!$B$2:$B$30,MATCH($H565,Product_Master!$A$2:$A$30,0)),"Invalid Product Code")</f>
        <v>Sports</v>
      </c>
      <c r="J565" s="5">
        <f>IFERROR(INDEX(Product_Master!$C$2:$C$30,MATCH($H565,Product_Master!$A$2:$A$30,0)),0)</f>
        <v>822.7</v>
      </c>
      <c r="K565" s="5">
        <f>Sales_Data!E562</f>
        <v>8</v>
      </c>
      <c r="L565" s="5">
        <f>Sales_Data!F562</f>
        <v>6097.42</v>
      </c>
      <c r="M565" s="5">
        <f>Sales_Data!G562</f>
        <v>7516.63</v>
      </c>
      <c r="N565" s="5" t="str">
        <f>IFERROR(INDEX(Branch_Master!$B$2:$B$9,MATCH($B565,Branch_Master!$A$2:$A$9,0)),"Not Found")</f>
        <v>Mumbai</v>
      </c>
      <c r="O565" s="5" t="str">
        <f>IFERROR(INDEX(Branch_Master!$C$2:$C$9,MATCH($B565,Branch_Master!$A$2:$A$9,0)),"Not Found")</f>
        <v>Maharashtra</v>
      </c>
      <c r="P565" s="5">
        <f>IFERROR(INDEX(Targets!$B$2:$B$9,MATCH($B565,Targets!$A$2:$A$9,0)),0)</f>
        <v>900000</v>
      </c>
      <c r="Q565" s="5" t="str">
        <f t="shared" si="16"/>
        <v>No</v>
      </c>
      <c r="R565" s="5" t="str">
        <f t="shared" si="17"/>
        <v>Jul</v>
      </c>
    </row>
    <row r="566" spans="1:18" ht="15" customHeight="1" x14ac:dyDescent="0.3">
      <c r="A566" s="5" t="str">
        <f>Sales_Data!A563</f>
        <v>2025-07-25</v>
      </c>
      <c r="B566" s="5" t="str">
        <f>Sales_Data!B563</f>
        <v>Bangalore North</v>
      </c>
      <c r="C566" s="5" t="str">
        <f>Sales_Data!C563</f>
        <v>E003</v>
      </c>
      <c r="D566" s="5" t="str">
        <f>IFERROR(INDEX(Employee_Master!$B$2:$B$44,MATCH($C566,Employee_Master!$A$2:$A$44,0)),"Not Found")</f>
        <v>Margaret Porter</v>
      </c>
      <c r="E566" s="5" t="str">
        <f>IFERROR(INDEX(Employee_Master!$C$2:$C$44,MATCH($C566,Employee_Master!$A$2:$A$44,0)),"Not Found")</f>
        <v>Customer Support</v>
      </c>
      <c r="F566" s="5" t="str">
        <f>IFERROR(INDEX(Employee_Master!$D$2:$D$44,MATCH($C566,Employee_Master!$A$2:$A$44,0)),"Not Found")</f>
        <v>Jose Soto</v>
      </c>
      <c r="G566" s="5" t="str">
        <f>IFERROR(INDEX(Employee_Master!$E$2:$E$44,MATCH($C566,Employee_Master!$A$2:$A$44,0)),"Not Found")</f>
        <v>South</v>
      </c>
      <c r="H566" s="5" t="str">
        <f>Sales_Data!D563</f>
        <v>P012 - Non-Stick Pan</v>
      </c>
      <c r="I566" s="5" t="str">
        <f>IFERROR(INDEX(Product_Master!$B$2:$B$30,MATCH($H566,Product_Master!$A$2:$A$30,0)),"Invalid Product Code")</f>
        <v>Home &amp; Kitchen</v>
      </c>
      <c r="J566" s="5">
        <f>IFERROR(INDEX(Product_Master!$C$2:$C$30,MATCH($H566,Product_Master!$A$2:$A$30,0)),0)</f>
        <v>353.18</v>
      </c>
      <c r="K566" s="5">
        <f>Sales_Data!E563</f>
        <v>10</v>
      </c>
      <c r="L566" s="5">
        <f>Sales_Data!F563</f>
        <v>3421.4</v>
      </c>
      <c r="M566" s="5">
        <f>Sales_Data!G563</f>
        <v>3198.95</v>
      </c>
      <c r="N566" s="5" t="str">
        <f>IFERROR(INDEX(Branch_Master!$B$2:$B$9,MATCH($B566,Branch_Master!$A$2:$A$9,0)),"Not Found")</f>
        <v>Bangalore</v>
      </c>
      <c r="O566" s="5" t="str">
        <f>IFERROR(INDEX(Branch_Master!$C$2:$C$9,MATCH($B566,Branch_Master!$A$2:$A$9,0)),"Not Found")</f>
        <v>Karnataka</v>
      </c>
      <c r="P566" s="5">
        <f>IFERROR(INDEX(Targets!$B$2:$B$9,MATCH($B566,Targets!$A$2:$A$9,0)),0)</f>
        <v>900000</v>
      </c>
      <c r="Q566" s="5" t="str">
        <f t="shared" si="16"/>
        <v>Yes</v>
      </c>
      <c r="R566" s="5" t="str">
        <f t="shared" si="17"/>
        <v>Jul</v>
      </c>
    </row>
    <row r="567" spans="1:18" ht="15" customHeight="1" x14ac:dyDescent="0.3">
      <c r="A567" s="5" t="str">
        <f>Sales_Data!A564</f>
        <v>2025-07-26</v>
      </c>
      <c r="B567" s="5" t="str">
        <f>Sales_Data!B564</f>
        <v>Bangalore North</v>
      </c>
      <c r="C567" s="5" t="str">
        <f>Sales_Data!C564</f>
        <v>E040</v>
      </c>
      <c r="D567" s="5" t="str">
        <f>IFERROR(INDEX(Employee_Master!$B$2:$B$44,MATCH($C567,Employee_Master!$A$2:$A$44,0)),"Not Found")</f>
        <v>Bonnie Cox</v>
      </c>
      <c r="E567" s="5" t="str">
        <f>IFERROR(INDEX(Employee_Master!$C$2:$C$44,MATCH($C567,Employee_Master!$A$2:$A$44,0)),"Not Found")</f>
        <v>Customer Support</v>
      </c>
      <c r="F567" s="5" t="str">
        <f>IFERROR(INDEX(Employee_Master!$D$2:$D$44,MATCH($C567,Employee_Master!$A$2:$A$44,0)),"Not Found")</f>
        <v>Jose Soto</v>
      </c>
      <c r="G567" s="5" t="str">
        <f>IFERROR(INDEX(Employee_Master!$E$2:$E$44,MATCH($C567,Employee_Master!$A$2:$A$44,0)),"Not Found")</f>
        <v>South</v>
      </c>
      <c r="H567" s="5" t="str">
        <f>Sales_Data!D564</f>
        <v>P012 - Non-Stick Pan</v>
      </c>
      <c r="I567" s="5" t="str">
        <f>IFERROR(INDEX(Product_Master!$B$2:$B$30,MATCH($H567,Product_Master!$A$2:$A$30,0)),"Invalid Product Code")</f>
        <v>Home &amp; Kitchen</v>
      </c>
      <c r="J567" s="5">
        <f>IFERROR(INDEX(Product_Master!$C$2:$C$30,MATCH($H567,Product_Master!$A$2:$A$30,0)),0)</f>
        <v>353.18</v>
      </c>
      <c r="K567" s="5">
        <f>Sales_Data!E564</f>
        <v>11</v>
      </c>
      <c r="L567" s="5">
        <f>Sales_Data!F564</f>
        <v>3750.39</v>
      </c>
      <c r="M567" s="5">
        <f>Sales_Data!G564</f>
        <v>4095.66</v>
      </c>
      <c r="N567" s="5" t="str">
        <f>IFERROR(INDEX(Branch_Master!$B$2:$B$9,MATCH($B567,Branch_Master!$A$2:$A$9,0)),"Not Found")</f>
        <v>Bangalore</v>
      </c>
      <c r="O567" s="5" t="str">
        <f>IFERROR(INDEX(Branch_Master!$C$2:$C$9,MATCH($B567,Branch_Master!$A$2:$A$9,0)),"Not Found")</f>
        <v>Karnataka</v>
      </c>
      <c r="P567" s="5">
        <f>IFERROR(INDEX(Targets!$B$2:$B$9,MATCH($B567,Targets!$A$2:$A$9,0)),0)</f>
        <v>900000</v>
      </c>
      <c r="Q567" s="5" t="str">
        <f t="shared" si="16"/>
        <v>No</v>
      </c>
      <c r="R567" s="5" t="str">
        <f t="shared" si="17"/>
        <v>Jul</v>
      </c>
    </row>
    <row r="568" spans="1:18" ht="15" customHeight="1" x14ac:dyDescent="0.3">
      <c r="A568" s="5" t="str">
        <f>Sales_Data!A565</f>
        <v>2025-07-26</v>
      </c>
      <c r="B568" s="5" t="str">
        <f>Sales_Data!B565</f>
        <v>Ahmedabad West</v>
      </c>
      <c r="C568" s="5" t="str">
        <f>Sales_Data!C565</f>
        <v>E017</v>
      </c>
      <c r="D568" s="5" t="str">
        <f>IFERROR(INDEX(Employee_Master!$B$2:$B$44,MATCH($C568,Employee_Master!$A$2:$A$44,0)),"Not Found")</f>
        <v>Mathew Wilson</v>
      </c>
      <c r="E568" s="5" t="str">
        <f>IFERROR(INDEX(Employee_Master!$C$2:$C$44,MATCH($C568,Employee_Master!$A$2:$A$44,0)),"Not Found")</f>
        <v>Operations</v>
      </c>
      <c r="F568" s="5" t="str">
        <f>IFERROR(INDEX(Employee_Master!$D$2:$D$44,MATCH($C568,Employee_Master!$A$2:$A$44,0)),"Not Found")</f>
        <v>Joseph Brown</v>
      </c>
      <c r="G568" s="5" t="str">
        <f>IFERROR(INDEX(Employee_Master!$E$2:$E$44,MATCH($C568,Employee_Master!$A$2:$A$44,0)),"Not Found")</f>
        <v>West</v>
      </c>
      <c r="H568" s="5" t="str">
        <f>Sales_Data!D565</f>
        <v>P004 - Power Bank</v>
      </c>
      <c r="I568" s="5" t="str">
        <f>IFERROR(INDEX(Product_Master!$B$2:$B$30,MATCH($H568,Product_Master!$A$2:$A$30,0)),"Invalid Product Code")</f>
        <v>Electronics</v>
      </c>
      <c r="J568" s="5">
        <f>IFERROR(INDEX(Product_Master!$C$2:$C$30,MATCH($H568,Product_Master!$A$2:$A$30,0)),0)</f>
        <v>76.91</v>
      </c>
      <c r="K568" s="5">
        <f>Sales_Data!E565</f>
        <v>8</v>
      </c>
      <c r="L568" s="5">
        <f>Sales_Data!F565</f>
        <v>596.26</v>
      </c>
      <c r="M568" s="5">
        <f>Sales_Data!G565</f>
        <v>688.5</v>
      </c>
      <c r="N568" s="5" t="str">
        <f>IFERROR(INDEX(Branch_Master!$B$2:$B$9,MATCH($B568,Branch_Master!$A$2:$A$9,0)),"Not Found")</f>
        <v>Ahmedabad</v>
      </c>
      <c r="O568" s="5" t="str">
        <f>IFERROR(INDEX(Branch_Master!$C$2:$C$9,MATCH($B568,Branch_Master!$A$2:$A$9,0)),"Not Found")</f>
        <v>Gujarat</v>
      </c>
      <c r="P568" s="5">
        <f>IFERROR(INDEX(Targets!$B$2:$B$9,MATCH($B568,Targets!$A$2:$A$9,0)),0)</f>
        <v>1590000</v>
      </c>
      <c r="Q568" s="5" t="str">
        <f t="shared" si="16"/>
        <v>No</v>
      </c>
      <c r="R568" s="5" t="str">
        <f t="shared" si="17"/>
        <v>Jul</v>
      </c>
    </row>
    <row r="569" spans="1:18" ht="15" customHeight="1" x14ac:dyDescent="0.3">
      <c r="A569" s="5" t="str">
        <f>Sales_Data!A566</f>
        <v>2025-07-27</v>
      </c>
      <c r="B569" s="5" t="str">
        <f>Sales_Data!B566</f>
        <v>Chennai South</v>
      </c>
      <c r="C569" s="5" t="str">
        <f>Sales_Data!C566</f>
        <v>E015</v>
      </c>
      <c r="D569" s="5" t="str">
        <f>IFERROR(INDEX(Employee_Master!$B$2:$B$44,MATCH($C569,Employee_Master!$A$2:$A$44,0)),"Not Found")</f>
        <v>Cassandra Hansen</v>
      </c>
      <c r="E569" s="5" t="str">
        <f>IFERROR(INDEX(Employee_Master!$C$2:$C$44,MATCH($C569,Employee_Master!$A$2:$A$44,0)),"Not Found")</f>
        <v>Customer Support</v>
      </c>
      <c r="F569" s="5" t="str">
        <f>IFERROR(INDEX(Employee_Master!$D$2:$D$44,MATCH($C569,Employee_Master!$A$2:$A$44,0)),"Not Found")</f>
        <v>Robert Steele</v>
      </c>
      <c r="G569" s="5" t="str">
        <f>IFERROR(INDEX(Employee_Master!$E$2:$E$44,MATCH($C569,Employee_Master!$A$2:$A$44,0)),"Not Found")</f>
        <v>South</v>
      </c>
      <c r="H569" s="5" t="str">
        <f>Sales_Data!D566</f>
        <v>P013 - Mixer Grinder</v>
      </c>
      <c r="I569" s="5" t="str">
        <f>IFERROR(INDEX(Product_Master!$B$2:$B$30,MATCH($H569,Product_Master!$A$2:$A$30,0)),"Invalid Product Code")</f>
        <v>Home &amp; Kitchen</v>
      </c>
      <c r="J569" s="5">
        <f>IFERROR(INDEX(Product_Master!$C$2:$C$30,MATCH($H569,Product_Master!$A$2:$A$30,0)),0)</f>
        <v>798.53</v>
      </c>
      <c r="K569" s="5">
        <f>Sales_Data!E566</f>
        <v>8</v>
      </c>
      <c r="L569" s="5">
        <f>Sales_Data!F566</f>
        <v>6831.32</v>
      </c>
      <c r="M569" s="5">
        <f>Sales_Data!G566</f>
        <v>6004.93</v>
      </c>
      <c r="N569" s="5" t="str">
        <f>IFERROR(INDEX(Branch_Master!$B$2:$B$9,MATCH($B569,Branch_Master!$A$2:$A$9,0)),"Not Found")</f>
        <v>Chennai</v>
      </c>
      <c r="O569" s="5" t="str">
        <f>IFERROR(INDEX(Branch_Master!$C$2:$C$9,MATCH($B569,Branch_Master!$A$2:$A$9,0)),"Not Found")</f>
        <v>Tamil Nadu</v>
      </c>
      <c r="P569" s="5">
        <f>IFERROR(INDEX(Targets!$B$2:$B$9,MATCH($B569,Targets!$A$2:$A$9,0)),0)</f>
        <v>1910000</v>
      </c>
      <c r="Q569" s="5" t="str">
        <f t="shared" si="16"/>
        <v>Yes</v>
      </c>
      <c r="R569" s="5" t="str">
        <f t="shared" si="17"/>
        <v>Jul</v>
      </c>
    </row>
    <row r="570" spans="1:18" ht="15" customHeight="1" x14ac:dyDescent="0.3">
      <c r="A570" s="5" t="str">
        <f>Sales_Data!A567</f>
        <v>2025-07-27</v>
      </c>
      <c r="B570" s="5" t="str">
        <f>Sales_Data!B567</f>
        <v>Chennai South</v>
      </c>
      <c r="C570" s="5" t="str">
        <f>Sales_Data!C567</f>
        <v>E015</v>
      </c>
      <c r="D570" s="5" t="str">
        <f>IFERROR(INDEX(Employee_Master!$B$2:$B$44,MATCH($C570,Employee_Master!$A$2:$A$44,0)),"Not Found")</f>
        <v>Cassandra Hansen</v>
      </c>
      <c r="E570" s="5" t="str">
        <f>IFERROR(INDEX(Employee_Master!$C$2:$C$44,MATCH($C570,Employee_Master!$A$2:$A$44,0)),"Not Found")</f>
        <v>Customer Support</v>
      </c>
      <c r="F570" s="5" t="str">
        <f>IFERROR(INDEX(Employee_Master!$D$2:$D$44,MATCH($C570,Employee_Master!$A$2:$A$44,0)),"Not Found")</f>
        <v>Robert Steele</v>
      </c>
      <c r="G570" s="5" t="str">
        <f>IFERROR(INDEX(Employee_Master!$E$2:$E$44,MATCH($C570,Employee_Master!$A$2:$A$44,0)),"Not Found")</f>
        <v>South</v>
      </c>
      <c r="H570" s="5" t="str">
        <f>Sales_Data!D567</f>
        <v>P021 - Assorted Spices Kit</v>
      </c>
      <c r="I570" s="5" t="str">
        <f>IFERROR(INDEX(Product_Master!$B$2:$B$30,MATCH($H570,Product_Master!$A$2:$A$30,0)),"Invalid Product Code")</f>
        <v>Grocery</v>
      </c>
      <c r="J570" s="5">
        <f>IFERROR(INDEX(Product_Master!$C$2:$C$30,MATCH($H570,Product_Master!$A$2:$A$30,0)),0)</f>
        <v>1060.97</v>
      </c>
      <c r="K570" s="5">
        <f>Sales_Data!E567</f>
        <v>7</v>
      </c>
      <c r="L570" s="5">
        <f>Sales_Data!F567</f>
        <v>7877.91</v>
      </c>
      <c r="M570" s="5">
        <f>Sales_Data!G567</f>
        <v>7994.11</v>
      </c>
      <c r="N570" s="5" t="str">
        <f>IFERROR(INDEX(Branch_Master!$B$2:$B$9,MATCH($B570,Branch_Master!$A$2:$A$9,0)),"Not Found")</f>
        <v>Chennai</v>
      </c>
      <c r="O570" s="5" t="str">
        <f>IFERROR(INDEX(Branch_Master!$C$2:$C$9,MATCH($B570,Branch_Master!$A$2:$A$9,0)),"Not Found")</f>
        <v>Tamil Nadu</v>
      </c>
      <c r="P570" s="5">
        <f>IFERROR(INDEX(Targets!$B$2:$B$9,MATCH($B570,Targets!$A$2:$A$9,0)),0)</f>
        <v>1910000</v>
      </c>
      <c r="Q570" s="5" t="str">
        <f t="shared" si="16"/>
        <v>No</v>
      </c>
      <c r="R570" s="5" t="str">
        <f t="shared" si="17"/>
        <v>Jul</v>
      </c>
    </row>
    <row r="571" spans="1:18" ht="15" customHeight="1" x14ac:dyDescent="0.3">
      <c r="A571" s="5" t="str">
        <f>Sales_Data!A568</f>
        <v>2025-07-27</v>
      </c>
      <c r="B571" s="5" t="str">
        <f>Sales_Data!B568</f>
        <v>Bangalore North</v>
      </c>
      <c r="C571" s="5" t="str">
        <f>Sales_Data!C568</f>
        <v>E006</v>
      </c>
      <c r="D571" s="5" t="str">
        <f>IFERROR(INDEX(Employee_Master!$B$2:$B$44,MATCH($C571,Employee_Master!$A$2:$A$44,0)),"Not Found")</f>
        <v>Dylan Jones</v>
      </c>
      <c r="E571" s="5" t="str">
        <f>IFERROR(INDEX(Employee_Master!$C$2:$C$44,MATCH($C571,Employee_Master!$A$2:$A$44,0)),"Not Found")</f>
        <v>Sales</v>
      </c>
      <c r="F571" s="5" t="str">
        <f>IFERROR(INDEX(Employee_Master!$D$2:$D$44,MATCH($C571,Employee_Master!$A$2:$A$44,0)),"Not Found")</f>
        <v>Jose Soto</v>
      </c>
      <c r="G571" s="5" t="str">
        <f>IFERROR(INDEX(Employee_Master!$E$2:$E$44,MATCH($C571,Employee_Master!$A$2:$A$44,0)),"Not Found")</f>
        <v>South</v>
      </c>
      <c r="H571" s="5" t="str">
        <f>Sales_Data!D568</f>
        <v>P029 - Dumbbell Set 10kg</v>
      </c>
      <c r="I571" s="5" t="str">
        <f>IFERROR(INDEX(Product_Master!$B$2:$B$30,MATCH($H571,Product_Master!$A$2:$A$30,0)),"Invalid Product Code")</f>
        <v>Sports</v>
      </c>
      <c r="J571" s="5">
        <f>IFERROR(INDEX(Product_Master!$C$2:$C$30,MATCH($H571,Product_Master!$A$2:$A$30,0)),0)</f>
        <v>435</v>
      </c>
      <c r="K571" s="5">
        <f>Sales_Data!E568</f>
        <v>9</v>
      </c>
      <c r="L571" s="5">
        <f>Sales_Data!F568</f>
        <v>4067.53</v>
      </c>
      <c r="M571" s="5">
        <f>Sales_Data!G568</f>
        <v>4228.91</v>
      </c>
      <c r="N571" s="5" t="str">
        <f>IFERROR(INDEX(Branch_Master!$B$2:$B$9,MATCH($B571,Branch_Master!$A$2:$A$9,0)),"Not Found")</f>
        <v>Bangalore</v>
      </c>
      <c r="O571" s="5" t="str">
        <f>IFERROR(INDEX(Branch_Master!$C$2:$C$9,MATCH($B571,Branch_Master!$A$2:$A$9,0)),"Not Found")</f>
        <v>Karnataka</v>
      </c>
      <c r="P571" s="5">
        <f>IFERROR(INDEX(Targets!$B$2:$B$9,MATCH($B571,Targets!$A$2:$A$9,0)),0)</f>
        <v>900000</v>
      </c>
      <c r="Q571" s="5" t="str">
        <f t="shared" si="16"/>
        <v>No</v>
      </c>
      <c r="R571" s="5" t="str">
        <f t="shared" si="17"/>
        <v>Jul</v>
      </c>
    </row>
    <row r="572" spans="1:18" ht="15" customHeight="1" x14ac:dyDescent="0.3">
      <c r="A572" s="5" t="str">
        <f>Sales_Data!A569</f>
        <v>2025-07-28</v>
      </c>
      <c r="B572" s="5" t="str">
        <f>Sales_Data!B569</f>
        <v>Mumbai Central</v>
      </c>
      <c r="C572" s="5" t="str">
        <f>Sales_Data!C569</f>
        <v>E027</v>
      </c>
      <c r="D572" s="5" t="str">
        <f>IFERROR(INDEX(Employee_Master!$B$2:$B$44,MATCH($C572,Employee_Master!$A$2:$A$44,0)),"Not Found")</f>
        <v>Catherine Moore</v>
      </c>
      <c r="E572" s="5" t="str">
        <f>IFERROR(INDEX(Employee_Master!$C$2:$C$44,MATCH($C572,Employee_Master!$A$2:$A$44,0)),"Not Found")</f>
        <v>Customer Support</v>
      </c>
      <c r="F572" s="5" t="str">
        <f>IFERROR(INDEX(Employee_Master!$D$2:$D$44,MATCH($C572,Employee_Master!$A$2:$A$44,0)),"Not Found")</f>
        <v>Justin Glass</v>
      </c>
      <c r="G572" s="5" t="str">
        <f>IFERROR(INDEX(Employee_Master!$E$2:$E$44,MATCH($C572,Employee_Master!$A$2:$A$44,0)),"Not Found")</f>
        <v>West</v>
      </c>
      <c r="H572" s="5" t="str">
        <f>Sales_Data!D569</f>
        <v>P025 - Lipstick Set</v>
      </c>
      <c r="I572" s="5" t="str">
        <f>IFERROR(INDEX(Product_Master!$B$2:$B$30,MATCH($H572,Product_Master!$A$2:$A$30,0)),"Invalid Product Code")</f>
        <v>Beauty</v>
      </c>
      <c r="J572" s="5">
        <f>IFERROR(INDEX(Product_Master!$C$2:$C$30,MATCH($H572,Product_Master!$A$2:$A$30,0)),0)</f>
        <v>765.9</v>
      </c>
      <c r="K572" s="5">
        <f>Sales_Data!E569</f>
        <v>2</v>
      </c>
      <c r="L572" s="5">
        <f>Sales_Data!F569</f>
        <v>1658.53</v>
      </c>
      <c r="M572" s="5">
        <f>Sales_Data!G569</f>
        <v>1367.66</v>
      </c>
      <c r="N572" s="5" t="str">
        <f>IFERROR(INDEX(Branch_Master!$B$2:$B$9,MATCH($B572,Branch_Master!$A$2:$A$9,0)),"Not Found")</f>
        <v>Mumbai</v>
      </c>
      <c r="O572" s="5" t="str">
        <f>IFERROR(INDEX(Branch_Master!$C$2:$C$9,MATCH($B572,Branch_Master!$A$2:$A$9,0)),"Not Found")</f>
        <v>Maharashtra</v>
      </c>
      <c r="P572" s="5">
        <f>IFERROR(INDEX(Targets!$B$2:$B$9,MATCH($B572,Targets!$A$2:$A$9,0)),0)</f>
        <v>900000</v>
      </c>
      <c r="Q572" s="5" t="str">
        <f t="shared" si="16"/>
        <v>Yes</v>
      </c>
      <c r="R572" s="5" t="str">
        <f t="shared" si="17"/>
        <v>Jul</v>
      </c>
    </row>
    <row r="573" spans="1:18" ht="15" customHeight="1" x14ac:dyDescent="0.3">
      <c r="A573" s="5" t="str">
        <f>Sales_Data!A570</f>
        <v>2025-07-28</v>
      </c>
      <c r="B573" s="5" t="str">
        <f>Sales_Data!B570</f>
        <v>Pune East</v>
      </c>
      <c r="C573" s="5" t="str">
        <f>Sales_Data!C570</f>
        <v>E023</v>
      </c>
      <c r="D573" s="5" t="str">
        <f>IFERROR(INDEX(Employee_Master!$B$2:$B$44,MATCH($C573,Employee_Master!$A$2:$A$44,0)),"Not Found")</f>
        <v>Edward Jones</v>
      </c>
      <c r="E573" s="5" t="str">
        <f>IFERROR(INDEX(Employee_Master!$C$2:$C$44,MATCH($C573,Employee_Master!$A$2:$A$44,0)),"Not Found")</f>
        <v>Operations</v>
      </c>
      <c r="F573" s="5" t="str">
        <f>IFERROR(INDEX(Employee_Master!$D$2:$D$44,MATCH($C573,Employee_Master!$A$2:$A$44,0)),"Not Found")</f>
        <v>Jordan Matthews</v>
      </c>
      <c r="G573" s="5" t="str">
        <f>IFERROR(INDEX(Employee_Master!$E$2:$E$44,MATCH($C573,Employee_Master!$A$2:$A$44,0)),"Not Found")</f>
        <v>West</v>
      </c>
      <c r="H573" s="5" t="str">
        <f>Sales_Data!D570</f>
        <v>P027 - Cricket Bat</v>
      </c>
      <c r="I573" s="5" t="str">
        <f>IFERROR(INDEX(Product_Master!$B$2:$B$30,MATCH($H573,Product_Master!$A$2:$A$30,0)),"Invalid Product Code")</f>
        <v>Sports</v>
      </c>
      <c r="J573" s="5">
        <f>IFERROR(INDEX(Product_Master!$C$2:$C$30,MATCH($H573,Product_Master!$A$2:$A$30,0)),0)</f>
        <v>822.7</v>
      </c>
      <c r="K573" s="5">
        <f>Sales_Data!E570</f>
        <v>7</v>
      </c>
      <c r="L573" s="5">
        <f>Sales_Data!F570</f>
        <v>6250.59</v>
      </c>
      <c r="M573" s="5">
        <f>Sales_Data!G570</f>
        <v>5135.3</v>
      </c>
      <c r="N573" s="5" t="str">
        <f>IFERROR(INDEX(Branch_Master!$B$2:$B$9,MATCH($B573,Branch_Master!$A$2:$A$9,0)),"Not Found")</f>
        <v>Pune</v>
      </c>
      <c r="O573" s="5" t="str">
        <f>IFERROR(INDEX(Branch_Master!$C$2:$C$9,MATCH($B573,Branch_Master!$A$2:$A$9,0)),"Not Found")</f>
        <v>Maharashtra</v>
      </c>
      <c r="P573" s="5">
        <f>IFERROR(INDEX(Targets!$B$2:$B$9,MATCH($B573,Targets!$A$2:$A$9,0)),0)</f>
        <v>1250000</v>
      </c>
      <c r="Q573" s="5" t="str">
        <f t="shared" si="16"/>
        <v>Yes</v>
      </c>
      <c r="R573" s="5" t="str">
        <f t="shared" si="17"/>
        <v>Jul</v>
      </c>
    </row>
    <row r="574" spans="1:18" ht="15" customHeight="1" x14ac:dyDescent="0.3">
      <c r="A574" s="5" t="str">
        <f>Sales_Data!A571</f>
        <v>2025-07-29</v>
      </c>
      <c r="B574" s="5" t="str">
        <f>Sales_Data!B571</f>
        <v>Ahmedabad West</v>
      </c>
      <c r="C574" s="5" t="str">
        <f>Sales_Data!C571</f>
        <v>E001</v>
      </c>
      <c r="D574" s="5" t="str">
        <f>IFERROR(INDEX(Employee_Master!$B$2:$B$44,MATCH($C574,Employee_Master!$A$2:$A$44,0)),"Not Found")</f>
        <v>David Johnson</v>
      </c>
      <c r="E574" s="5" t="str">
        <f>IFERROR(INDEX(Employee_Master!$C$2:$C$44,MATCH($C574,Employee_Master!$A$2:$A$44,0)),"Not Found")</f>
        <v>Customer Support</v>
      </c>
      <c r="F574" s="5" t="str">
        <f>IFERROR(INDEX(Employee_Master!$D$2:$D$44,MATCH($C574,Employee_Master!$A$2:$A$44,0)),"Not Found")</f>
        <v>Joseph Brown</v>
      </c>
      <c r="G574" s="5" t="str">
        <f>IFERROR(INDEX(Employee_Master!$E$2:$E$44,MATCH($C574,Employee_Master!$A$2:$A$44,0)),"Not Found")</f>
        <v>West</v>
      </c>
      <c r="H574" s="5" t="str">
        <f>Sales_Data!D571</f>
        <v>P014 - Air Fryer</v>
      </c>
      <c r="I574" s="5" t="str">
        <f>IFERROR(INDEX(Product_Master!$B$2:$B$30,MATCH($H574,Product_Master!$A$2:$A$30,0)),"Invalid Product Code")</f>
        <v>Home &amp; Kitchen</v>
      </c>
      <c r="J574" s="5">
        <f>IFERROR(INDEX(Product_Master!$C$2:$C$30,MATCH($H574,Product_Master!$A$2:$A$30,0)),0)</f>
        <v>729.85</v>
      </c>
      <c r="K574" s="5">
        <f>Sales_Data!E571</f>
        <v>6</v>
      </c>
      <c r="L574" s="5">
        <f>Sales_Data!F571</f>
        <v>4647.9799999999996</v>
      </c>
      <c r="M574" s="5">
        <f>Sales_Data!G571</f>
        <v>4242.3900000000003</v>
      </c>
      <c r="N574" s="5" t="str">
        <f>IFERROR(INDEX(Branch_Master!$B$2:$B$9,MATCH($B574,Branch_Master!$A$2:$A$9,0)),"Not Found")</f>
        <v>Ahmedabad</v>
      </c>
      <c r="O574" s="5" t="str">
        <f>IFERROR(INDEX(Branch_Master!$C$2:$C$9,MATCH($B574,Branch_Master!$A$2:$A$9,0)),"Not Found")</f>
        <v>Gujarat</v>
      </c>
      <c r="P574" s="5">
        <f>IFERROR(INDEX(Targets!$B$2:$B$9,MATCH($B574,Targets!$A$2:$A$9,0)),0)</f>
        <v>1590000</v>
      </c>
      <c r="Q574" s="5" t="str">
        <f t="shared" si="16"/>
        <v>Yes</v>
      </c>
      <c r="R574" s="5" t="str">
        <f t="shared" si="17"/>
        <v>Jul</v>
      </c>
    </row>
    <row r="575" spans="1:18" ht="15" customHeight="1" x14ac:dyDescent="0.3">
      <c r="A575" s="5" t="str">
        <f>Sales_Data!A572</f>
        <v>2025-07-29</v>
      </c>
      <c r="B575" s="5" t="str">
        <f>Sales_Data!B572</f>
        <v>Kolkata Central</v>
      </c>
      <c r="C575" s="5" t="str">
        <f>Sales_Data!C572</f>
        <v>E018</v>
      </c>
      <c r="D575" s="5" t="str">
        <f>IFERROR(INDEX(Employee_Master!$B$2:$B$44,MATCH($C575,Employee_Master!$A$2:$A$44,0)),"Not Found")</f>
        <v>Daniel Nelson</v>
      </c>
      <c r="E575" s="5" t="str">
        <f>IFERROR(INDEX(Employee_Master!$C$2:$C$44,MATCH($C575,Employee_Master!$A$2:$A$44,0)),"Not Found")</f>
        <v>Sales</v>
      </c>
      <c r="F575" s="5" t="str">
        <f>IFERROR(INDEX(Employee_Master!$D$2:$D$44,MATCH($C575,Employee_Master!$A$2:$A$44,0)),"Not Found")</f>
        <v>Lisa Moore</v>
      </c>
      <c r="G575" s="5" t="str">
        <f>IFERROR(INDEX(Employee_Master!$E$2:$E$44,MATCH($C575,Employee_Master!$A$2:$A$44,0)),"Not Found")</f>
        <v>East</v>
      </c>
      <c r="H575" s="5" t="str">
        <f>Sales_Data!D572</f>
        <v>P029 - Dumbbell Set 10kg</v>
      </c>
      <c r="I575" s="5" t="str">
        <f>IFERROR(INDEX(Product_Master!$B$2:$B$30,MATCH($H575,Product_Master!$A$2:$A$30,0)),"Invalid Product Code")</f>
        <v>Sports</v>
      </c>
      <c r="J575" s="5">
        <f>IFERROR(INDEX(Product_Master!$C$2:$C$30,MATCH($H575,Product_Master!$A$2:$A$30,0)),0)</f>
        <v>435</v>
      </c>
      <c r="K575" s="5">
        <f>Sales_Data!E572</f>
        <v>6</v>
      </c>
      <c r="L575" s="5">
        <f>Sales_Data!F572</f>
        <v>2739.65</v>
      </c>
      <c r="M575" s="5">
        <f>Sales_Data!G572</f>
        <v>2257.77</v>
      </c>
      <c r="N575" s="5" t="str">
        <f>IFERROR(INDEX(Branch_Master!$B$2:$B$9,MATCH($B575,Branch_Master!$A$2:$A$9,0)),"Not Found")</f>
        <v>Kolkata</v>
      </c>
      <c r="O575" s="5" t="str">
        <f>IFERROR(INDEX(Branch_Master!$C$2:$C$9,MATCH($B575,Branch_Master!$A$2:$A$9,0)),"Not Found")</f>
        <v>West Bengal</v>
      </c>
      <c r="P575" s="5">
        <f>IFERROR(INDEX(Targets!$B$2:$B$9,MATCH($B575,Targets!$A$2:$A$9,0)),0)</f>
        <v>1910000</v>
      </c>
      <c r="Q575" s="5" t="str">
        <f t="shared" si="16"/>
        <v>Yes</v>
      </c>
      <c r="R575" s="5" t="str">
        <f t="shared" si="17"/>
        <v>Jul</v>
      </c>
    </row>
    <row r="576" spans="1:18" ht="15" customHeight="1" x14ac:dyDescent="0.3">
      <c r="A576" s="5" t="str">
        <f>Sales_Data!A573</f>
        <v>2025-07-29</v>
      </c>
      <c r="B576" s="5" t="str">
        <f>Sales_Data!B573</f>
        <v>Kolkata Central</v>
      </c>
      <c r="C576" s="5" t="str">
        <f>Sales_Data!C573</f>
        <v>E018</v>
      </c>
      <c r="D576" s="5" t="str">
        <f>IFERROR(INDEX(Employee_Master!$B$2:$B$44,MATCH($C576,Employee_Master!$A$2:$A$44,0)),"Not Found")</f>
        <v>Daniel Nelson</v>
      </c>
      <c r="E576" s="5" t="str">
        <f>IFERROR(INDEX(Employee_Master!$C$2:$C$44,MATCH($C576,Employee_Master!$A$2:$A$44,0)),"Not Found")</f>
        <v>Sales</v>
      </c>
      <c r="F576" s="5" t="str">
        <f>IFERROR(INDEX(Employee_Master!$D$2:$D$44,MATCH($C576,Employee_Master!$A$2:$A$44,0)),"Not Found")</f>
        <v>Lisa Moore</v>
      </c>
      <c r="G576" s="5" t="str">
        <f>IFERROR(INDEX(Employee_Master!$E$2:$E$44,MATCH($C576,Employee_Master!$A$2:$A$44,0)),"Not Found")</f>
        <v>East</v>
      </c>
      <c r="H576" s="5" t="str">
        <f>Sales_Data!D573</f>
        <v>P019 - Organic Honey</v>
      </c>
      <c r="I576" s="5" t="str">
        <f>IFERROR(INDEX(Product_Master!$B$2:$B$30,MATCH($H576,Product_Master!$A$2:$A$30,0)),"Invalid Product Code")</f>
        <v>Grocery</v>
      </c>
      <c r="J576" s="5">
        <f>IFERROR(INDEX(Product_Master!$C$2:$C$30,MATCH($H576,Product_Master!$A$2:$A$30,0)),0)</f>
        <v>482.15</v>
      </c>
      <c r="K576" s="5">
        <f>Sales_Data!E573</f>
        <v>2</v>
      </c>
      <c r="L576" s="5">
        <f>Sales_Data!F573</f>
        <v>1042.46</v>
      </c>
      <c r="M576" s="5">
        <f>Sales_Data!G573</f>
        <v>971.81</v>
      </c>
      <c r="N576" s="5" t="str">
        <f>IFERROR(INDEX(Branch_Master!$B$2:$B$9,MATCH($B576,Branch_Master!$A$2:$A$9,0)),"Not Found")</f>
        <v>Kolkata</v>
      </c>
      <c r="O576" s="5" t="str">
        <f>IFERROR(INDEX(Branch_Master!$C$2:$C$9,MATCH($B576,Branch_Master!$A$2:$A$9,0)),"Not Found")</f>
        <v>West Bengal</v>
      </c>
      <c r="P576" s="5">
        <f>IFERROR(INDEX(Targets!$B$2:$B$9,MATCH($B576,Targets!$A$2:$A$9,0)),0)</f>
        <v>1910000</v>
      </c>
      <c r="Q576" s="5" t="str">
        <f t="shared" si="16"/>
        <v>Yes</v>
      </c>
      <c r="R576" s="5" t="str">
        <f t="shared" si="17"/>
        <v>Jul</v>
      </c>
    </row>
    <row r="577" spans="1:18" ht="15" customHeight="1" x14ac:dyDescent="0.3">
      <c r="A577" s="5" t="str">
        <f>Sales_Data!A574</f>
        <v>2025-07-30</v>
      </c>
      <c r="B577" s="5" t="str">
        <f>Sales_Data!B574</f>
        <v>Ahmedabad West</v>
      </c>
      <c r="C577" s="5" t="str">
        <f>Sales_Data!C574</f>
        <v>E039</v>
      </c>
      <c r="D577" s="5" t="str">
        <f>IFERROR(INDEX(Employee_Master!$B$2:$B$44,MATCH($C577,Employee_Master!$A$2:$A$44,0)),"Not Found")</f>
        <v>Christopher Wood</v>
      </c>
      <c r="E577" s="5" t="str">
        <f>IFERROR(INDEX(Employee_Master!$C$2:$C$44,MATCH($C577,Employee_Master!$A$2:$A$44,0)),"Not Found")</f>
        <v>Marketing</v>
      </c>
      <c r="F577" s="5" t="str">
        <f>IFERROR(INDEX(Employee_Master!$D$2:$D$44,MATCH($C577,Employee_Master!$A$2:$A$44,0)),"Not Found")</f>
        <v>Joseph Brown</v>
      </c>
      <c r="G577" s="5" t="str">
        <f>IFERROR(INDEX(Employee_Master!$E$2:$E$44,MATCH($C577,Employee_Master!$A$2:$A$44,0)),"Not Found")</f>
        <v>West</v>
      </c>
      <c r="H577" s="5" t="str">
        <f>Sales_Data!D574</f>
        <v>P027 - Cricket Bat</v>
      </c>
      <c r="I577" s="5" t="str">
        <f>IFERROR(INDEX(Product_Master!$B$2:$B$30,MATCH($H577,Product_Master!$A$2:$A$30,0)),"Invalid Product Code")</f>
        <v>Sports</v>
      </c>
      <c r="J577" s="5">
        <f>IFERROR(INDEX(Product_Master!$C$2:$C$30,MATCH($H577,Product_Master!$A$2:$A$30,0)),0)</f>
        <v>822.7</v>
      </c>
      <c r="K577" s="5">
        <f>Sales_Data!E574</f>
        <v>9</v>
      </c>
      <c r="L577" s="5">
        <f>Sales_Data!F574</f>
        <v>7206.01</v>
      </c>
      <c r="M577" s="5">
        <f>Sales_Data!G574</f>
        <v>6737.68</v>
      </c>
      <c r="N577" s="5" t="str">
        <f>IFERROR(INDEX(Branch_Master!$B$2:$B$9,MATCH($B577,Branch_Master!$A$2:$A$9,0)),"Not Found")</f>
        <v>Ahmedabad</v>
      </c>
      <c r="O577" s="5" t="str">
        <f>IFERROR(INDEX(Branch_Master!$C$2:$C$9,MATCH($B577,Branch_Master!$A$2:$A$9,0)),"Not Found")</f>
        <v>Gujarat</v>
      </c>
      <c r="P577" s="5">
        <f>IFERROR(INDEX(Targets!$B$2:$B$9,MATCH($B577,Targets!$A$2:$A$9,0)),0)</f>
        <v>1590000</v>
      </c>
      <c r="Q577" s="5" t="str">
        <f t="shared" si="16"/>
        <v>Yes</v>
      </c>
      <c r="R577" s="5" t="str">
        <f t="shared" si="17"/>
        <v>Jul</v>
      </c>
    </row>
    <row r="578" spans="1:18" ht="15" customHeight="1" x14ac:dyDescent="0.3">
      <c r="A578" s="5" t="str">
        <f>Sales_Data!A575</f>
        <v>2025-07-31</v>
      </c>
      <c r="B578" s="5" t="str">
        <f>Sales_Data!B575</f>
        <v>Chennai South</v>
      </c>
      <c r="C578" s="5" t="str">
        <f>Sales_Data!C575</f>
        <v>E032</v>
      </c>
      <c r="D578" s="5" t="str">
        <f>IFERROR(INDEX(Employee_Master!$B$2:$B$44,MATCH($C578,Employee_Master!$A$2:$A$44,0)),"Not Found")</f>
        <v>Victor Allen</v>
      </c>
      <c r="E578" s="5" t="str">
        <f>IFERROR(INDEX(Employee_Master!$C$2:$C$44,MATCH($C578,Employee_Master!$A$2:$A$44,0)),"Not Found")</f>
        <v>Operations</v>
      </c>
      <c r="F578" s="5" t="str">
        <f>IFERROR(INDEX(Employee_Master!$D$2:$D$44,MATCH($C578,Employee_Master!$A$2:$A$44,0)),"Not Found")</f>
        <v>Robert Steele</v>
      </c>
      <c r="G578" s="5" t="str">
        <f>IFERROR(INDEX(Employee_Master!$E$2:$E$44,MATCH($C578,Employee_Master!$A$2:$A$44,0)),"Not Found")</f>
        <v>South</v>
      </c>
      <c r="H578" s="5" t="str">
        <f>Sales_Data!D575</f>
        <v>P010 - Running Shoes</v>
      </c>
      <c r="I578" s="5" t="str">
        <f>IFERROR(INDEX(Product_Master!$B$2:$B$30,MATCH($H578,Product_Master!$A$2:$A$30,0)),"Invalid Product Code")</f>
        <v>Apparel</v>
      </c>
      <c r="J578" s="5">
        <f>IFERROR(INDEX(Product_Master!$C$2:$C$30,MATCH($H578,Product_Master!$A$2:$A$30,0)),0)</f>
        <v>233.71</v>
      </c>
      <c r="K578" s="5">
        <f>Sales_Data!E575</f>
        <v>7</v>
      </c>
      <c r="L578" s="5">
        <f>Sales_Data!F575</f>
        <v>1775.06</v>
      </c>
      <c r="M578" s="5">
        <f>Sales_Data!G575</f>
        <v>1654.86</v>
      </c>
      <c r="N578" s="5" t="str">
        <f>IFERROR(INDEX(Branch_Master!$B$2:$B$9,MATCH($B578,Branch_Master!$A$2:$A$9,0)),"Not Found")</f>
        <v>Chennai</v>
      </c>
      <c r="O578" s="5" t="str">
        <f>IFERROR(INDEX(Branch_Master!$C$2:$C$9,MATCH($B578,Branch_Master!$A$2:$A$9,0)),"Not Found")</f>
        <v>Tamil Nadu</v>
      </c>
      <c r="P578" s="5">
        <f>IFERROR(INDEX(Targets!$B$2:$B$9,MATCH($B578,Targets!$A$2:$A$9,0)),0)</f>
        <v>1910000</v>
      </c>
      <c r="Q578" s="5" t="str">
        <f t="shared" si="16"/>
        <v>Yes</v>
      </c>
      <c r="R578" s="5" t="str">
        <f t="shared" si="17"/>
        <v>Jul</v>
      </c>
    </row>
    <row r="579" spans="1:18" ht="15" customHeight="1" x14ac:dyDescent="0.3">
      <c r="A579" s="5" t="str">
        <f>Sales_Data!A576</f>
        <v>2025-07-31</v>
      </c>
      <c r="B579" s="5" t="str">
        <f>Sales_Data!B576</f>
        <v>Kolkata Central</v>
      </c>
      <c r="C579" s="5" t="str">
        <f>Sales_Data!C576</f>
        <v>E029</v>
      </c>
      <c r="D579" s="5" t="str">
        <f>IFERROR(INDEX(Employee_Master!$B$2:$B$44,MATCH($C579,Employee_Master!$A$2:$A$44,0)),"Not Found")</f>
        <v>Patrick Shepard</v>
      </c>
      <c r="E579" s="5" t="str">
        <f>IFERROR(INDEX(Employee_Master!$C$2:$C$44,MATCH($C579,Employee_Master!$A$2:$A$44,0)),"Not Found")</f>
        <v>Sales</v>
      </c>
      <c r="F579" s="5" t="str">
        <f>IFERROR(INDEX(Employee_Master!$D$2:$D$44,MATCH($C579,Employee_Master!$A$2:$A$44,0)),"Not Found")</f>
        <v>Lisa Moore</v>
      </c>
      <c r="G579" s="5" t="str">
        <f>IFERROR(INDEX(Employee_Master!$E$2:$E$44,MATCH($C579,Employee_Master!$A$2:$A$44,0)),"Not Found")</f>
        <v>East</v>
      </c>
      <c r="H579" s="5" t="str">
        <f>Sales_Data!D576</f>
        <v>P022 - Face Wash</v>
      </c>
      <c r="I579" s="5" t="str">
        <f>IFERROR(INDEX(Product_Master!$B$2:$B$30,MATCH($H579,Product_Master!$A$2:$A$30,0)),"Invalid Product Code")</f>
        <v>Beauty</v>
      </c>
      <c r="J579" s="5">
        <f>IFERROR(INDEX(Product_Master!$C$2:$C$30,MATCH($H579,Product_Master!$A$2:$A$30,0)),0)</f>
        <v>396.75</v>
      </c>
      <c r="K579" s="5">
        <f>Sales_Data!E576</f>
        <v>6</v>
      </c>
      <c r="L579" s="5">
        <f>Sales_Data!F576</f>
        <v>2483.4699999999998</v>
      </c>
      <c r="M579" s="5">
        <f>Sales_Data!G576</f>
        <v>2624.67</v>
      </c>
      <c r="N579" s="5" t="str">
        <f>IFERROR(INDEX(Branch_Master!$B$2:$B$9,MATCH($B579,Branch_Master!$A$2:$A$9,0)),"Not Found")</f>
        <v>Kolkata</v>
      </c>
      <c r="O579" s="5" t="str">
        <f>IFERROR(INDEX(Branch_Master!$C$2:$C$9,MATCH($B579,Branch_Master!$A$2:$A$9,0)),"Not Found")</f>
        <v>West Bengal</v>
      </c>
      <c r="P579" s="5">
        <f>IFERROR(INDEX(Targets!$B$2:$B$9,MATCH($B579,Targets!$A$2:$A$9,0)),0)</f>
        <v>1910000</v>
      </c>
      <c r="Q579" s="5" t="str">
        <f t="shared" si="16"/>
        <v>No</v>
      </c>
      <c r="R579" s="5" t="str">
        <f t="shared" si="17"/>
        <v>Jul</v>
      </c>
    </row>
    <row r="580" spans="1:18" ht="15" customHeight="1" x14ac:dyDescent="0.3">
      <c r="A580" s="5" t="str">
        <f>Sales_Data!A577</f>
        <v>2025-07-31</v>
      </c>
      <c r="B580" s="5" t="str">
        <f>Sales_Data!B577</f>
        <v>Bangalore North</v>
      </c>
      <c r="C580" s="5" t="str">
        <f>Sales_Data!C577</f>
        <v>E004</v>
      </c>
      <c r="D580" s="5" t="str">
        <f>IFERROR(INDEX(Employee_Master!$B$2:$B$44,MATCH($C580,Employee_Master!$A$2:$A$44,0)),"Not Found")</f>
        <v>Judith Ramirez</v>
      </c>
      <c r="E580" s="5" t="str">
        <f>IFERROR(INDEX(Employee_Master!$C$2:$C$44,MATCH($C580,Employee_Master!$A$2:$A$44,0)),"Not Found")</f>
        <v>Sales</v>
      </c>
      <c r="F580" s="5" t="str">
        <f>IFERROR(INDEX(Employee_Master!$D$2:$D$44,MATCH($C580,Employee_Master!$A$2:$A$44,0)),"Not Found")</f>
        <v>Jose Soto</v>
      </c>
      <c r="G580" s="5" t="str">
        <f>IFERROR(INDEX(Employee_Master!$E$2:$E$44,MATCH($C580,Employee_Master!$A$2:$A$44,0)),"Not Found")</f>
        <v>South</v>
      </c>
      <c r="H580" s="5" t="str">
        <f>Sales_Data!D577</f>
        <v>P022 - Face Wash</v>
      </c>
      <c r="I580" s="5" t="str">
        <f>IFERROR(INDEX(Product_Master!$B$2:$B$30,MATCH($H580,Product_Master!$A$2:$A$30,0)),"Invalid Product Code")</f>
        <v>Beauty</v>
      </c>
      <c r="J580" s="5">
        <f>IFERROR(INDEX(Product_Master!$C$2:$C$30,MATCH($H580,Product_Master!$A$2:$A$30,0)),0)</f>
        <v>396.75</v>
      </c>
      <c r="K580" s="5">
        <f>Sales_Data!E577</f>
        <v>10</v>
      </c>
      <c r="L580" s="5">
        <f>Sales_Data!F577</f>
        <v>3810.85</v>
      </c>
      <c r="M580" s="5">
        <f>Sales_Data!G577</f>
        <v>4023.47</v>
      </c>
      <c r="N580" s="5" t="str">
        <f>IFERROR(INDEX(Branch_Master!$B$2:$B$9,MATCH($B580,Branch_Master!$A$2:$A$9,0)),"Not Found")</f>
        <v>Bangalore</v>
      </c>
      <c r="O580" s="5" t="str">
        <f>IFERROR(INDEX(Branch_Master!$C$2:$C$9,MATCH($B580,Branch_Master!$A$2:$A$9,0)),"Not Found")</f>
        <v>Karnataka</v>
      </c>
      <c r="P580" s="5">
        <f>IFERROR(INDEX(Targets!$B$2:$B$9,MATCH($B580,Targets!$A$2:$A$9,0)),0)</f>
        <v>900000</v>
      </c>
      <c r="Q580" s="5" t="str">
        <f t="shared" si="16"/>
        <v>No</v>
      </c>
      <c r="R580" s="5" t="str">
        <f t="shared" si="17"/>
        <v>Jul</v>
      </c>
    </row>
    <row r="581" spans="1:18" ht="15" customHeight="1" x14ac:dyDescent="0.3">
      <c r="A581" s="5" t="str">
        <f>Sales_Data!A578</f>
        <v>2025-07-31</v>
      </c>
      <c r="B581" s="5" t="str">
        <f>Sales_Data!B578</f>
        <v>Ahmedabad West</v>
      </c>
      <c r="C581" s="5" t="str">
        <f>Sales_Data!C578</f>
        <v>E002</v>
      </c>
      <c r="D581" s="5" t="str">
        <f>IFERROR(INDEX(Employee_Master!$B$2:$B$44,MATCH($C581,Employee_Master!$A$2:$A$44,0)),"Not Found")</f>
        <v>Jeremiah Kirby</v>
      </c>
      <c r="E581" s="5" t="str">
        <f>IFERROR(INDEX(Employee_Master!$C$2:$C$44,MATCH($C581,Employee_Master!$A$2:$A$44,0)),"Not Found")</f>
        <v>Marketing</v>
      </c>
      <c r="F581" s="5" t="str">
        <f>IFERROR(INDEX(Employee_Master!$D$2:$D$44,MATCH($C581,Employee_Master!$A$2:$A$44,0)),"Not Found")</f>
        <v>Joseph Brown</v>
      </c>
      <c r="G581" s="5" t="str">
        <f>IFERROR(INDEX(Employee_Master!$E$2:$E$44,MATCH($C581,Employee_Master!$A$2:$A$44,0)),"Not Found")</f>
        <v>West</v>
      </c>
      <c r="H581" s="5" t="str">
        <f>Sales_Data!D578</f>
        <v>P009 - Formal Shirt</v>
      </c>
      <c r="I581" s="5" t="str">
        <f>IFERROR(INDEX(Product_Master!$B$2:$B$30,MATCH($H581,Product_Master!$A$2:$A$30,0)),"Invalid Product Code")</f>
        <v>Apparel</v>
      </c>
      <c r="J581" s="5">
        <f>IFERROR(INDEX(Product_Master!$C$2:$C$30,MATCH($H581,Product_Master!$A$2:$A$30,0)),0)</f>
        <v>661.65</v>
      </c>
      <c r="K581" s="5">
        <f>Sales_Data!E578</f>
        <v>9</v>
      </c>
      <c r="L581" s="5">
        <f>Sales_Data!F578</f>
        <v>5728.67</v>
      </c>
      <c r="M581" s="5">
        <f>Sales_Data!G578</f>
        <v>6772.27</v>
      </c>
      <c r="N581" s="5" t="str">
        <f>IFERROR(INDEX(Branch_Master!$B$2:$B$9,MATCH($B581,Branch_Master!$A$2:$A$9,0)),"Not Found")</f>
        <v>Ahmedabad</v>
      </c>
      <c r="O581" s="5" t="str">
        <f>IFERROR(INDEX(Branch_Master!$C$2:$C$9,MATCH($B581,Branch_Master!$A$2:$A$9,0)),"Not Found")</f>
        <v>Gujarat</v>
      </c>
      <c r="P581" s="5">
        <f>IFERROR(INDEX(Targets!$B$2:$B$9,MATCH($B581,Targets!$A$2:$A$9,0)),0)</f>
        <v>1590000</v>
      </c>
      <c r="Q581" s="5" t="str">
        <f t="shared" ref="Q581:Q644" si="18">IF(L581&gt;=M581,"Yes","No")</f>
        <v>No</v>
      </c>
      <c r="R581" s="5" t="str">
        <f t="shared" ref="R581:R644" si="19">TEXT(A581,"MMM")</f>
        <v>Jul</v>
      </c>
    </row>
    <row r="582" spans="1:18" ht="15" customHeight="1" x14ac:dyDescent="0.3">
      <c r="A582" s="5" t="str">
        <f>Sales_Data!A579</f>
        <v>2025-08-01</v>
      </c>
      <c r="B582" s="5" t="str">
        <f>Sales_Data!B579</f>
        <v>Bangalore North</v>
      </c>
      <c r="C582" s="5" t="str">
        <f>Sales_Data!C579</f>
        <v>E003</v>
      </c>
      <c r="D582" s="5" t="str">
        <f>IFERROR(INDEX(Employee_Master!$B$2:$B$44,MATCH($C582,Employee_Master!$A$2:$A$44,0)),"Not Found")</f>
        <v>Margaret Porter</v>
      </c>
      <c r="E582" s="5" t="str">
        <f>IFERROR(INDEX(Employee_Master!$C$2:$C$44,MATCH($C582,Employee_Master!$A$2:$A$44,0)),"Not Found")</f>
        <v>Customer Support</v>
      </c>
      <c r="F582" s="5" t="str">
        <f>IFERROR(INDEX(Employee_Master!$D$2:$D$44,MATCH($C582,Employee_Master!$A$2:$A$44,0)),"Not Found")</f>
        <v>Jose Soto</v>
      </c>
      <c r="G582" s="5" t="str">
        <f>IFERROR(INDEX(Employee_Master!$E$2:$E$44,MATCH($C582,Employee_Master!$A$2:$A$44,0)),"Not Found")</f>
        <v>South</v>
      </c>
      <c r="H582" s="5" t="str">
        <f>Sales_Data!D579</f>
        <v>P022 - Face Wash</v>
      </c>
      <c r="I582" s="5" t="str">
        <f>IFERROR(INDEX(Product_Master!$B$2:$B$30,MATCH($H582,Product_Master!$A$2:$A$30,0)),"Invalid Product Code")</f>
        <v>Beauty</v>
      </c>
      <c r="J582" s="5">
        <f>IFERROR(INDEX(Product_Master!$C$2:$C$30,MATCH($H582,Product_Master!$A$2:$A$30,0)),0)</f>
        <v>396.75</v>
      </c>
      <c r="K582" s="5">
        <f>Sales_Data!E579</f>
        <v>12</v>
      </c>
      <c r="L582" s="5">
        <f>Sales_Data!F579</f>
        <v>4864.71</v>
      </c>
      <c r="M582" s="5">
        <f>Sales_Data!G579</f>
        <v>5092.03</v>
      </c>
      <c r="N582" s="5" t="str">
        <f>IFERROR(INDEX(Branch_Master!$B$2:$B$9,MATCH($B582,Branch_Master!$A$2:$A$9,0)),"Not Found")</f>
        <v>Bangalore</v>
      </c>
      <c r="O582" s="5" t="str">
        <f>IFERROR(INDEX(Branch_Master!$C$2:$C$9,MATCH($B582,Branch_Master!$A$2:$A$9,0)),"Not Found")</f>
        <v>Karnataka</v>
      </c>
      <c r="P582" s="5">
        <f>IFERROR(INDEX(Targets!$B$2:$B$9,MATCH($B582,Targets!$A$2:$A$9,0)),0)</f>
        <v>900000</v>
      </c>
      <c r="Q582" s="5" t="str">
        <f t="shared" si="18"/>
        <v>No</v>
      </c>
      <c r="R582" s="5" t="str">
        <f t="shared" si="19"/>
        <v>Aug</v>
      </c>
    </row>
    <row r="583" spans="1:18" ht="15" customHeight="1" x14ac:dyDescent="0.3">
      <c r="A583" s="5" t="str">
        <f>Sales_Data!A580</f>
        <v>2025-08-02</v>
      </c>
      <c r="B583" s="5" t="str">
        <f>Sales_Data!B580</f>
        <v>Mumbai Central</v>
      </c>
      <c r="C583" s="5" t="str">
        <f>Sales_Data!C580</f>
        <v>E027</v>
      </c>
      <c r="D583" s="5" t="str">
        <f>IFERROR(INDEX(Employee_Master!$B$2:$B$44,MATCH($C583,Employee_Master!$A$2:$A$44,0)),"Not Found")</f>
        <v>Catherine Moore</v>
      </c>
      <c r="E583" s="5" t="str">
        <f>IFERROR(INDEX(Employee_Master!$C$2:$C$44,MATCH($C583,Employee_Master!$A$2:$A$44,0)),"Not Found")</f>
        <v>Customer Support</v>
      </c>
      <c r="F583" s="5" t="str">
        <f>IFERROR(INDEX(Employee_Master!$D$2:$D$44,MATCH($C583,Employee_Master!$A$2:$A$44,0)),"Not Found")</f>
        <v>Justin Glass</v>
      </c>
      <c r="G583" s="5" t="str">
        <f>IFERROR(INDEX(Employee_Master!$E$2:$E$44,MATCH($C583,Employee_Master!$A$2:$A$44,0)),"Not Found")</f>
        <v>West</v>
      </c>
      <c r="H583" s="5" t="str">
        <f>Sales_Data!D580</f>
        <v>P019 - Organic Honey</v>
      </c>
      <c r="I583" s="5" t="str">
        <f>IFERROR(INDEX(Product_Master!$B$2:$B$30,MATCH($H583,Product_Master!$A$2:$A$30,0)),"Invalid Product Code")</f>
        <v>Grocery</v>
      </c>
      <c r="J583" s="5">
        <f>IFERROR(INDEX(Product_Master!$C$2:$C$30,MATCH($H583,Product_Master!$A$2:$A$30,0)),0)</f>
        <v>482.15</v>
      </c>
      <c r="K583" s="5">
        <f>Sales_Data!E580</f>
        <v>1</v>
      </c>
      <c r="L583" s="5">
        <f>Sales_Data!F580</f>
        <v>494.2</v>
      </c>
      <c r="M583" s="5">
        <f>Sales_Data!G580</f>
        <v>465.13</v>
      </c>
      <c r="N583" s="5" t="str">
        <f>IFERROR(INDEX(Branch_Master!$B$2:$B$9,MATCH($B583,Branch_Master!$A$2:$A$9,0)),"Not Found")</f>
        <v>Mumbai</v>
      </c>
      <c r="O583" s="5" t="str">
        <f>IFERROR(INDEX(Branch_Master!$C$2:$C$9,MATCH($B583,Branch_Master!$A$2:$A$9,0)),"Not Found")</f>
        <v>Maharashtra</v>
      </c>
      <c r="P583" s="5">
        <f>IFERROR(INDEX(Targets!$B$2:$B$9,MATCH($B583,Targets!$A$2:$A$9,0)),0)</f>
        <v>900000</v>
      </c>
      <c r="Q583" s="5" t="str">
        <f t="shared" si="18"/>
        <v>Yes</v>
      </c>
      <c r="R583" s="5" t="str">
        <f t="shared" si="19"/>
        <v>Aug</v>
      </c>
    </row>
    <row r="584" spans="1:18" ht="15" customHeight="1" x14ac:dyDescent="0.3">
      <c r="A584" s="5" t="str">
        <f>Sales_Data!A581</f>
        <v>2025-08-02</v>
      </c>
      <c r="B584" s="5" t="str">
        <f>Sales_Data!B581</f>
        <v>Hyderabad Hitech</v>
      </c>
      <c r="C584" s="5" t="str">
        <f>Sales_Data!C581</f>
        <v>E035</v>
      </c>
      <c r="D584" s="5" t="str">
        <f>IFERROR(INDEX(Employee_Master!$B$2:$B$44,MATCH($C584,Employee_Master!$A$2:$A$44,0)),"Not Found")</f>
        <v>Andrea Perez</v>
      </c>
      <c r="E584" s="5" t="str">
        <f>IFERROR(INDEX(Employee_Master!$C$2:$C$44,MATCH($C584,Employee_Master!$A$2:$A$44,0)),"Not Found")</f>
        <v>Sales</v>
      </c>
      <c r="F584" s="5" t="str">
        <f>IFERROR(INDEX(Employee_Master!$D$2:$D$44,MATCH($C584,Employee_Master!$A$2:$A$44,0)),"Not Found")</f>
        <v>Anna Turner</v>
      </c>
      <c r="G584" s="5" t="str">
        <f>IFERROR(INDEX(Employee_Master!$E$2:$E$44,MATCH($C584,Employee_Master!$A$2:$A$44,0)),"Not Found")</f>
        <v>South</v>
      </c>
      <c r="H584" s="5" t="str">
        <f>Sales_Data!D581</f>
        <v>P003 - Bluetooth Speaker</v>
      </c>
      <c r="I584" s="5" t="str">
        <f>IFERROR(INDEX(Product_Master!$B$2:$B$30,MATCH($H584,Product_Master!$A$2:$A$30,0)),"Invalid Product Code")</f>
        <v>Electronics</v>
      </c>
      <c r="J584" s="5">
        <f>IFERROR(INDEX(Product_Master!$C$2:$C$30,MATCH($H584,Product_Master!$A$2:$A$30,0)),0)</f>
        <v>351.01</v>
      </c>
      <c r="K584" s="5">
        <f>Sales_Data!E581</f>
        <v>7</v>
      </c>
      <c r="L584" s="5">
        <f>Sales_Data!F581</f>
        <v>2665.22</v>
      </c>
      <c r="M584" s="5">
        <f>Sales_Data!G581</f>
        <v>2787.85</v>
      </c>
      <c r="N584" s="5" t="str">
        <f>IFERROR(INDEX(Branch_Master!$B$2:$B$9,MATCH($B584,Branch_Master!$A$2:$A$9,0)),"Not Found")</f>
        <v>Hyderabad</v>
      </c>
      <c r="O584" s="5" t="str">
        <f>IFERROR(INDEX(Branch_Master!$C$2:$C$9,MATCH($B584,Branch_Master!$A$2:$A$9,0)),"Not Found")</f>
        <v>Telangana</v>
      </c>
      <c r="P584" s="5">
        <f>IFERROR(INDEX(Targets!$B$2:$B$9,MATCH($B584,Targets!$A$2:$A$9,0)),0)</f>
        <v>1210000</v>
      </c>
      <c r="Q584" s="5" t="str">
        <f t="shared" si="18"/>
        <v>No</v>
      </c>
      <c r="R584" s="5" t="str">
        <f t="shared" si="19"/>
        <v>Aug</v>
      </c>
    </row>
    <row r="585" spans="1:18" ht="15" customHeight="1" x14ac:dyDescent="0.3">
      <c r="A585" s="5" t="str">
        <f>Sales_Data!A582</f>
        <v>2025-08-03</v>
      </c>
      <c r="B585" s="5" t="str">
        <f>Sales_Data!B582</f>
        <v>Kolkata Central</v>
      </c>
      <c r="C585" s="5" t="str">
        <f>Sales_Data!C582</f>
        <v>E018</v>
      </c>
      <c r="D585" s="5" t="str">
        <f>IFERROR(INDEX(Employee_Master!$B$2:$B$44,MATCH($C585,Employee_Master!$A$2:$A$44,0)),"Not Found")</f>
        <v>Daniel Nelson</v>
      </c>
      <c r="E585" s="5" t="str">
        <f>IFERROR(INDEX(Employee_Master!$C$2:$C$44,MATCH($C585,Employee_Master!$A$2:$A$44,0)),"Not Found")</f>
        <v>Sales</v>
      </c>
      <c r="F585" s="5" t="str">
        <f>IFERROR(INDEX(Employee_Master!$D$2:$D$44,MATCH($C585,Employee_Master!$A$2:$A$44,0)),"Not Found")</f>
        <v>Lisa Moore</v>
      </c>
      <c r="G585" s="5" t="str">
        <f>IFERROR(INDEX(Employee_Master!$E$2:$E$44,MATCH($C585,Employee_Master!$A$2:$A$44,0)),"Not Found")</f>
        <v>East</v>
      </c>
      <c r="H585" s="5" t="str">
        <f>Sales_Data!D582</f>
        <v>P010 - Running Shoes</v>
      </c>
      <c r="I585" s="5" t="str">
        <f>IFERROR(INDEX(Product_Master!$B$2:$B$30,MATCH($H585,Product_Master!$A$2:$A$30,0)),"Invalid Product Code")</f>
        <v>Apparel</v>
      </c>
      <c r="J585" s="5">
        <f>IFERROR(INDEX(Product_Master!$C$2:$C$30,MATCH($H585,Product_Master!$A$2:$A$30,0)),0)</f>
        <v>233.71</v>
      </c>
      <c r="K585" s="5">
        <f>Sales_Data!E582</f>
        <v>12</v>
      </c>
      <c r="L585" s="5">
        <f>Sales_Data!F582</f>
        <v>2541.56</v>
      </c>
      <c r="M585" s="5">
        <f>Sales_Data!G582</f>
        <v>2785.88</v>
      </c>
      <c r="N585" s="5" t="str">
        <f>IFERROR(INDEX(Branch_Master!$B$2:$B$9,MATCH($B585,Branch_Master!$A$2:$A$9,0)),"Not Found")</f>
        <v>Kolkata</v>
      </c>
      <c r="O585" s="5" t="str">
        <f>IFERROR(INDEX(Branch_Master!$C$2:$C$9,MATCH($B585,Branch_Master!$A$2:$A$9,0)),"Not Found")</f>
        <v>West Bengal</v>
      </c>
      <c r="P585" s="5">
        <f>IFERROR(INDEX(Targets!$B$2:$B$9,MATCH($B585,Targets!$A$2:$A$9,0)),0)</f>
        <v>1910000</v>
      </c>
      <c r="Q585" s="5" t="str">
        <f t="shared" si="18"/>
        <v>No</v>
      </c>
      <c r="R585" s="5" t="str">
        <f t="shared" si="19"/>
        <v>Aug</v>
      </c>
    </row>
    <row r="586" spans="1:18" ht="15" customHeight="1" x14ac:dyDescent="0.3">
      <c r="A586" s="5" t="str">
        <f>Sales_Data!A583</f>
        <v>2025-08-04</v>
      </c>
      <c r="B586" s="5" t="str">
        <f>Sales_Data!B583</f>
        <v>Bangalore North</v>
      </c>
      <c r="C586" s="5" t="str">
        <f>Sales_Data!C583</f>
        <v>E006</v>
      </c>
      <c r="D586" s="5" t="str">
        <f>IFERROR(INDEX(Employee_Master!$B$2:$B$44,MATCH($C586,Employee_Master!$A$2:$A$44,0)),"Not Found")</f>
        <v>Dylan Jones</v>
      </c>
      <c r="E586" s="5" t="str">
        <f>IFERROR(INDEX(Employee_Master!$C$2:$C$44,MATCH($C586,Employee_Master!$A$2:$A$44,0)),"Not Found")</f>
        <v>Sales</v>
      </c>
      <c r="F586" s="5" t="str">
        <f>IFERROR(INDEX(Employee_Master!$D$2:$D$44,MATCH($C586,Employee_Master!$A$2:$A$44,0)),"Not Found")</f>
        <v>Jose Soto</v>
      </c>
      <c r="G586" s="5" t="str">
        <f>IFERROR(INDEX(Employee_Master!$E$2:$E$44,MATCH($C586,Employee_Master!$A$2:$A$44,0)),"Not Found")</f>
        <v>South</v>
      </c>
      <c r="H586" s="5" t="str">
        <f>Sales_Data!D583</f>
        <v>P023 - Sunscreen SPF50</v>
      </c>
      <c r="I586" s="5" t="str">
        <f>IFERROR(INDEX(Product_Master!$B$2:$B$30,MATCH($H586,Product_Master!$A$2:$A$30,0)),"Invalid Product Code")</f>
        <v>Beauty</v>
      </c>
      <c r="J586" s="5">
        <f>IFERROR(INDEX(Product_Master!$C$2:$C$30,MATCH($H586,Product_Master!$A$2:$A$30,0)),0)</f>
        <v>818.95</v>
      </c>
      <c r="K586" s="5">
        <f>Sales_Data!E583</f>
        <v>8</v>
      </c>
      <c r="L586" s="5">
        <f>Sales_Data!F583</f>
        <v>6440.45</v>
      </c>
      <c r="M586" s="5">
        <f>Sales_Data!G583</f>
        <v>5901.8</v>
      </c>
      <c r="N586" s="5" t="str">
        <f>IFERROR(INDEX(Branch_Master!$B$2:$B$9,MATCH($B586,Branch_Master!$A$2:$A$9,0)),"Not Found")</f>
        <v>Bangalore</v>
      </c>
      <c r="O586" s="5" t="str">
        <f>IFERROR(INDEX(Branch_Master!$C$2:$C$9,MATCH($B586,Branch_Master!$A$2:$A$9,0)),"Not Found")</f>
        <v>Karnataka</v>
      </c>
      <c r="P586" s="5">
        <f>IFERROR(INDEX(Targets!$B$2:$B$9,MATCH($B586,Targets!$A$2:$A$9,0)),0)</f>
        <v>900000</v>
      </c>
      <c r="Q586" s="5" t="str">
        <f t="shared" si="18"/>
        <v>Yes</v>
      </c>
      <c r="R586" s="5" t="str">
        <f t="shared" si="19"/>
        <v>Aug</v>
      </c>
    </row>
    <row r="587" spans="1:18" ht="15" customHeight="1" x14ac:dyDescent="0.3">
      <c r="A587" s="5" t="str">
        <f>Sales_Data!A584</f>
        <v>2025-08-04</v>
      </c>
      <c r="B587" s="5" t="str">
        <f>Sales_Data!B584</f>
        <v>Ahmedabad West</v>
      </c>
      <c r="C587" s="5" t="str">
        <f>Sales_Data!C584</f>
        <v>E039</v>
      </c>
      <c r="D587" s="5" t="str">
        <f>IFERROR(INDEX(Employee_Master!$B$2:$B$44,MATCH($C587,Employee_Master!$A$2:$A$44,0)),"Not Found")</f>
        <v>Christopher Wood</v>
      </c>
      <c r="E587" s="5" t="str">
        <f>IFERROR(INDEX(Employee_Master!$C$2:$C$44,MATCH($C587,Employee_Master!$A$2:$A$44,0)),"Not Found")</f>
        <v>Marketing</v>
      </c>
      <c r="F587" s="5" t="str">
        <f>IFERROR(INDEX(Employee_Master!$D$2:$D$44,MATCH($C587,Employee_Master!$A$2:$A$44,0)),"Not Found")</f>
        <v>Joseph Brown</v>
      </c>
      <c r="G587" s="5" t="str">
        <f>IFERROR(INDEX(Employee_Master!$E$2:$E$44,MATCH($C587,Employee_Master!$A$2:$A$44,0)),"Not Found")</f>
        <v>West</v>
      </c>
      <c r="H587" s="5" t="str">
        <f>Sales_Data!D584</f>
        <v>P021 - Assorted Spices Kit</v>
      </c>
      <c r="I587" s="5" t="str">
        <f>IFERROR(INDEX(Product_Master!$B$2:$B$30,MATCH($H587,Product_Master!$A$2:$A$30,0)),"Invalid Product Code")</f>
        <v>Grocery</v>
      </c>
      <c r="J587" s="5">
        <f>IFERROR(INDEX(Product_Master!$C$2:$C$30,MATCH($H587,Product_Master!$A$2:$A$30,0)),0)</f>
        <v>1060.97</v>
      </c>
      <c r="K587" s="5">
        <f>Sales_Data!E584</f>
        <v>8</v>
      </c>
      <c r="L587" s="5">
        <f>Sales_Data!F584</f>
        <v>8257.83</v>
      </c>
      <c r="M587" s="5">
        <f>Sales_Data!G584</f>
        <v>8154.03</v>
      </c>
      <c r="N587" s="5" t="str">
        <f>IFERROR(INDEX(Branch_Master!$B$2:$B$9,MATCH($B587,Branch_Master!$A$2:$A$9,0)),"Not Found")</f>
        <v>Ahmedabad</v>
      </c>
      <c r="O587" s="5" t="str">
        <f>IFERROR(INDEX(Branch_Master!$C$2:$C$9,MATCH($B587,Branch_Master!$A$2:$A$9,0)),"Not Found")</f>
        <v>Gujarat</v>
      </c>
      <c r="P587" s="5">
        <f>IFERROR(INDEX(Targets!$B$2:$B$9,MATCH($B587,Targets!$A$2:$A$9,0)),0)</f>
        <v>1590000</v>
      </c>
      <c r="Q587" s="5" t="str">
        <f t="shared" si="18"/>
        <v>Yes</v>
      </c>
      <c r="R587" s="5" t="str">
        <f t="shared" si="19"/>
        <v>Aug</v>
      </c>
    </row>
    <row r="588" spans="1:18" ht="15" customHeight="1" x14ac:dyDescent="0.3">
      <c r="A588" s="5" t="str">
        <f>Sales_Data!A585</f>
        <v>2025-08-04</v>
      </c>
      <c r="B588" s="5" t="str">
        <f>Sales_Data!B585</f>
        <v>Pune East</v>
      </c>
      <c r="C588" s="5" t="str">
        <f>Sales_Data!C585</f>
        <v>E034</v>
      </c>
      <c r="D588" s="5" t="str">
        <f>IFERROR(INDEX(Employee_Master!$B$2:$B$44,MATCH($C588,Employee_Master!$A$2:$A$44,0)),"Not Found")</f>
        <v>Elaine Thompson</v>
      </c>
      <c r="E588" s="5" t="str">
        <f>IFERROR(INDEX(Employee_Master!$C$2:$C$44,MATCH($C588,Employee_Master!$A$2:$A$44,0)),"Not Found")</f>
        <v>Marketing</v>
      </c>
      <c r="F588" s="5" t="str">
        <f>IFERROR(INDEX(Employee_Master!$D$2:$D$44,MATCH($C588,Employee_Master!$A$2:$A$44,0)),"Not Found")</f>
        <v>Jordan Matthews</v>
      </c>
      <c r="G588" s="5" t="str">
        <f>IFERROR(INDEX(Employee_Master!$E$2:$E$44,MATCH($C588,Employee_Master!$A$2:$A$44,0)),"Not Found")</f>
        <v>West</v>
      </c>
      <c r="H588" s="5" t="str">
        <f>Sales_Data!D585</f>
        <v>P017 - Basmati Rice 5kg</v>
      </c>
      <c r="I588" s="5" t="str">
        <f>IFERROR(INDEX(Product_Master!$B$2:$B$30,MATCH($H588,Product_Master!$A$2:$A$30,0)),"Invalid Product Code")</f>
        <v>Grocery</v>
      </c>
      <c r="J588" s="5">
        <f>IFERROR(INDEX(Product_Master!$C$2:$C$30,MATCH($H588,Product_Master!$A$2:$A$30,0)),0)</f>
        <v>825.33</v>
      </c>
      <c r="K588" s="5">
        <f>Sales_Data!E585</f>
        <v>8</v>
      </c>
      <c r="L588" s="5">
        <f>Sales_Data!F585</f>
        <v>6918.92</v>
      </c>
      <c r="M588" s="5">
        <f>Sales_Data!G585</f>
        <v>7233.13</v>
      </c>
      <c r="N588" s="5" t="str">
        <f>IFERROR(INDEX(Branch_Master!$B$2:$B$9,MATCH($B588,Branch_Master!$A$2:$A$9,0)),"Not Found")</f>
        <v>Pune</v>
      </c>
      <c r="O588" s="5" t="str">
        <f>IFERROR(INDEX(Branch_Master!$C$2:$C$9,MATCH($B588,Branch_Master!$A$2:$A$9,0)),"Not Found")</f>
        <v>Maharashtra</v>
      </c>
      <c r="P588" s="5">
        <f>IFERROR(INDEX(Targets!$B$2:$B$9,MATCH($B588,Targets!$A$2:$A$9,0)),0)</f>
        <v>1250000</v>
      </c>
      <c r="Q588" s="5" t="str">
        <f t="shared" si="18"/>
        <v>No</v>
      </c>
      <c r="R588" s="5" t="str">
        <f t="shared" si="19"/>
        <v>Aug</v>
      </c>
    </row>
    <row r="589" spans="1:18" ht="15" customHeight="1" x14ac:dyDescent="0.3">
      <c r="A589" s="5" t="str">
        <f>Sales_Data!A586</f>
        <v>2025-08-04</v>
      </c>
      <c r="B589" s="5" t="str">
        <f>Sales_Data!B586</f>
        <v>Hyderabad Hitech</v>
      </c>
      <c r="C589" s="5" t="str">
        <f>Sales_Data!C586</f>
        <v>E014</v>
      </c>
      <c r="D589" s="5" t="str">
        <f>IFERROR(INDEX(Employee_Master!$B$2:$B$44,MATCH($C589,Employee_Master!$A$2:$A$44,0)),"Not Found")</f>
        <v>Brian Brown</v>
      </c>
      <c r="E589" s="5" t="str">
        <f>IFERROR(INDEX(Employee_Master!$C$2:$C$44,MATCH($C589,Employee_Master!$A$2:$A$44,0)),"Not Found")</f>
        <v>Marketing</v>
      </c>
      <c r="F589" s="5" t="str">
        <f>IFERROR(INDEX(Employee_Master!$D$2:$D$44,MATCH($C589,Employee_Master!$A$2:$A$44,0)),"Not Found")</f>
        <v>Anna Turner</v>
      </c>
      <c r="G589" s="5" t="str">
        <f>IFERROR(INDEX(Employee_Master!$E$2:$E$44,MATCH($C589,Employee_Master!$A$2:$A$44,0)),"Not Found")</f>
        <v>South</v>
      </c>
      <c r="H589" s="5" t="str">
        <f>Sales_Data!D586</f>
        <v>P020 - Green Tea Pack</v>
      </c>
      <c r="I589" s="5" t="str">
        <f>IFERROR(INDEX(Product_Master!$B$2:$B$30,MATCH($H589,Product_Master!$A$2:$A$30,0)),"Invalid Product Code")</f>
        <v>Grocery</v>
      </c>
      <c r="J589" s="5">
        <f>IFERROR(INDEX(Product_Master!$C$2:$C$30,MATCH($H589,Product_Master!$A$2:$A$30,0)),0)</f>
        <v>305.39</v>
      </c>
      <c r="K589" s="5">
        <f>Sales_Data!E586</f>
        <v>10</v>
      </c>
      <c r="L589" s="5">
        <f>Sales_Data!F586</f>
        <v>3105.71</v>
      </c>
      <c r="M589" s="5">
        <f>Sales_Data!G586</f>
        <v>2961.56</v>
      </c>
      <c r="N589" s="5" t="str">
        <f>IFERROR(INDEX(Branch_Master!$B$2:$B$9,MATCH($B589,Branch_Master!$A$2:$A$9,0)),"Not Found")</f>
        <v>Hyderabad</v>
      </c>
      <c r="O589" s="5" t="str">
        <f>IFERROR(INDEX(Branch_Master!$C$2:$C$9,MATCH($B589,Branch_Master!$A$2:$A$9,0)),"Not Found")</f>
        <v>Telangana</v>
      </c>
      <c r="P589" s="5">
        <f>IFERROR(INDEX(Targets!$B$2:$B$9,MATCH($B589,Targets!$A$2:$A$9,0)),0)</f>
        <v>1210000</v>
      </c>
      <c r="Q589" s="5" t="str">
        <f t="shared" si="18"/>
        <v>Yes</v>
      </c>
      <c r="R589" s="5" t="str">
        <f t="shared" si="19"/>
        <v>Aug</v>
      </c>
    </row>
    <row r="590" spans="1:18" ht="15" customHeight="1" x14ac:dyDescent="0.3">
      <c r="A590" s="5" t="str">
        <f>Sales_Data!A587</f>
        <v>2025-08-04</v>
      </c>
      <c r="B590" s="5" t="str">
        <f>Sales_Data!B587</f>
        <v>Bangalore North</v>
      </c>
      <c r="C590" s="5" t="str">
        <f>Sales_Data!C587</f>
        <v>E004</v>
      </c>
      <c r="D590" s="5" t="str">
        <f>IFERROR(INDEX(Employee_Master!$B$2:$B$44,MATCH($C590,Employee_Master!$A$2:$A$44,0)),"Not Found")</f>
        <v>Judith Ramirez</v>
      </c>
      <c r="E590" s="5" t="str">
        <f>IFERROR(INDEX(Employee_Master!$C$2:$C$44,MATCH($C590,Employee_Master!$A$2:$A$44,0)),"Not Found")</f>
        <v>Sales</v>
      </c>
      <c r="F590" s="5" t="str">
        <f>IFERROR(INDEX(Employee_Master!$D$2:$D$44,MATCH($C590,Employee_Master!$A$2:$A$44,0)),"Not Found")</f>
        <v>Jose Soto</v>
      </c>
      <c r="G590" s="5" t="str">
        <f>IFERROR(INDEX(Employee_Master!$E$2:$E$44,MATCH($C590,Employee_Master!$A$2:$A$44,0)),"Not Found")</f>
        <v>South</v>
      </c>
      <c r="H590" s="5" t="str">
        <f>Sales_Data!D587</f>
        <v>P013 - Mixer Grinder</v>
      </c>
      <c r="I590" s="5" t="str">
        <f>IFERROR(INDEX(Product_Master!$B$2:$B$30,MATCH($H590,Product_Master!$A$2:$A$30,0)),"Invalid Product Code")</f>
        <v>Home &amp; Kitchen</v>
      </c>
      <c r="J590" s="5">
        <f>IFERROR(INDEX(Product_Master!$C$2:$C$30,MATCH($H590,Product_Master!$A$2:$A$30,0)),0)</f>
        <v>798.53</v>
      </c>
      <c r="K590" s="5">
        <f>Sales_Data!E587</f>
        <v>11</v>
      </c>
      <c r="L590" s="5">
        <f>Sales_Data!F587</f>
        <v>9109.2099999999991</v>
      </c>
      <c r="M590" s="5">
        <f>Sales_Data!G587</f>
        <v>7513.05</v>
      </c>
      <c r="N590" s="5" t="str">
        <f>IFERROR(INDEX(Branch_Master!$B$2:$B$9,MATCH($B590,Branch_Master!$A$2:$A$9,0)),"Not Found")</f>
        <v>Bangalore</v>
      </c>
      <c r="O590" s="5" t="str">
        <f>IFERROR(INDEX(Branch_Master!$C$2:$C$9,MATCH($B590,Branch_Master!$A$2:$A$9,0)),"Not Found")</f>
        <v>Karnataka</v>
      </c>
      <c r="P590" s="5">
        <f>IFERROR(INDEX(Targets!$B$2:$B$9,MATCH($B590,Targets!$A$2:$A$9,0)),0)</f>
        <v>900000</v>
      </c>
      <c r="Q590" s="5" t="str">
        <f t="shared" si="18"/>
        <v>Yes</v>
      </c>
      <c r="R590" s="5" t="str">
        <f t="shared" si="19"/>
        <v>Aug</v>
      </c>
    </row>
    <row r="591" spans="1:18" ht="15" customHeight="1" x14ac:dyDescent="0.3">
      <c r="A591" s="5" t="str">
        <f>Sales_Data!A588</f>
        <v>2025-08-05</v>
      </c>
      <c r="B591" s="5" t="str">
        <f>Sales_Data!B588</f>
        <v>Ahmedabad West</v>
      </c>
      <c r="C591" s="5" t="str">
        <f>Sales_Data!C588</f>
        <v>E017</v>
      </c>
      <c r="D591" s="5" t="str">
        <f>IFERROR(INDEX(Employee_Master!$B$2:$B$44,MATCH($C591,Employee_Master!$A$2:$A$44,0)),"Not Found")</f>
        <v>Mathew Wilson</v>
      </c>
      <c r="E591" s="5" t="str">
        <f>IFERROR(INDEX(Employee_Master!$C$2:$C$44,MATCH($C591,Employee_Master!$A$2:$A$44,0)),"Not Found")</f>
        <v>Operations</v>
      </c>
      <c r="F591" s="5" t="str">
        <f>IFERROR(INDEX(Employee_Master!$D$2:$D$44,MATCH($C591,Employee_Master!$A$2:$A$44,0)),"Not Found")</f>
        <v>Joseph Brown</v>
      </c>
      <c r="G591" s="5" t="str">
        <f>IFERROR(INDEX(Employee_Master!$E$2:$E$44,MATCH($C591,Employee_Master!$A$2:$A$44,0)),"Not Found")</f>
        <v>West</v>
      </c>
      <c r="H591" s="5" t="str">
        <f>Sales_Data!D588</f>
        <v>P002 - Smart Watch</v>
      </c>
      <c r="I591" s="5" t="str">
        <f>IFERROR(INDEX(Product_Master!$B$2:$B$30,MATCH($H591,Product_Master!$A$2:$A$30,0)),"Invalid Product Code")</f>
        <v>Electronics</v>
      </c>
      <c r="J591" s="5">
        <f>IFERROR(INDEX(Product_Master!$C$2:$C$30,MATCH($H591,Product_Master!$A$2:$A$30,0)),0)</f>
        <v>403.33</v>
      </c>
      <c r="K591" s="5">
        <f>Sales_Data!E588</f>
        <v>1</v>
      </c>
      <c r="L591" s="5">
        <f>Sales_Data!F588</f>
        <v>381.08</v>
      </c>
      <c r="M591" s="5">
        <f>Sales_Data!G588</f>
        <v>421.64</v>
      </c>
      <c r="N591" s="5" t="str">
        <f>IFERROR(INDEX(Branch_Master!$B$2:$B$9,MATCH($B591,Branch_Master!$A$2:$A$9,0)),"Not Found")</f>
        <v>Ahmedabad</v>
      </c>
      <c r="O591" s="5" t="str">
        <f>IFERROR(INDEX(Branch_Master!$C$2:$C$9,MATCH($B591,Branch_Master!$A$2:$A$9,0)),"Not Found")</f>
        <v>Gujarat</v>
      </c>
      <c r="P591" s="5">
        <f>IFERROR(INDEX(Targets!$B$2:$B$9,MATCH($B591,Targets!$A$2:$A$9,0)),0)</f>
        <v>1590000</v>
      </c>
      <c r="Q591" s="5" t="str">
        <f t="shared" si="18"/>
        <v>No</v>
      </c>
      <c r="R591" s="5" t="str">
        <f t="shared" si="19"/>
        <v>Aug</v>
      </c>
    </row>
    <row r="592" spans="1:18" ht="15" customHeight="1" x14ac:dyDescent="0.3">
      <c r="A592" s="5" t="str">
        <f>Sales_Data!A589</f>
        <v>2025-08-06</v>
      </c>
      <c r="B592" s="5" t="str">
        <f>Sales_Data!B589</f>
        <v>Mumbai Central</v>
      </c>
      <c r="C592" s="5" t="str">
        <f>Sales_Data!C589</f>
        <v>E036</v>
      </c>
      <c r="D592" s="5" t="str">
        <f>IFERROR(INDEX(Employee_Master!$B$2:$B$44,MATCH($C592,Employee_Master!$A$2:$A$44,0)),"Not Found")</f>
        <v>Sarah Mendez</v>
      </c>
      <c r="E592" s="5" t="str">
        <f>IFERROR(INDEX(Employee_Master!$C$2:$C$44,MATCH($C592,Employee_Master!$A$2:$A$44,0)),"Not Found")</f>
        <v>Sales</v>
      </c>
      <c r="F592" s="5" t="str">
        <f>IFERROR(INDEX(Employee_Master!$D$2:$D$44,MATCH($C592,Employee_Master!$A$2:$A$44,0)),"Not Found")</f>
        <v>Justin Glass</v>
      </c>
      <c r="G592" s="5" t="str">
        <f>IFERROR(INDEX(Employee_Master!$E$2:$E$44,MATCH($C592,Employee_Master!$A$2:$A$44,0)),"Not Found")</f>
        <v>West</v>
      </c>
      <c r="H592" s="5" t="str">
        <f>Sales_Data!D589</f>
        <v>P002 - Smart Watch</v>
      </c>
      <c r="I592" s="5" t="str">
        <f>IFERROR(INDEX(Product_Master!$B$2:$B$30,MATCH($H592,Product_Master!$A$2:$A$30,0)),"Invalid Product Code")</f>
        <v>Electronics</v>
      </c>
      <c r="J592" s="5">
        <f>IFERROR(INDEX(Product_Master!$C$2:$C$30,MATCH($H592,Product_Master!$A$2:$A$30,0)),0)</f>
        <v>403.33</v>
      </c>
      <c r="K592" s="5">
        <f>Sales_Data!E589</f>
        <v>2</v>
      </c>
      <c r="L592" s="5">
        <f>Sales_Data!F589</f>
        <v>761.9</v>
      </c>
      <c r="M592" s="5">
        <f>Sales_Data!G589</f>
        <v>753.01</v>
      </c>
      <c r="N592" s="5" t="str">
        <f>IFERROR(INDEX(Branch_Master!$B$2:$B$9,MATCH($B592,Branch_Master!$A$2:$A$9,0)),"Not Found")</f>
        <v>Mumbai</v>
      </c>
      <c r="O592" s="5" t="str">
        <f>IFERROR(INDEX(Branch_Master!$C$2:$C$9,MATCH($B592,Branch_Master!$A$2:$A$9,0)),"Not Found")</f>
        <v>Maharashtra</v>
      </c>
      <c r="P592" s="5">
        <f>IFERROR(INDEX(Targets!$B$2:$B$9,MATCH($B592,Targets!$A$2:$A$9,0)),0)</f>
        <v>900000</v>
      </c>
      <c r="Q592" s="5" t="str">
        <f t="shared" si="18"/>
        <v>Yes</v>
      </c>
      <c r="R592" s="5" t="str">
        <f t="shared" si="19"/>
        <v>Aug</v>
      </c>
    </row>
    <row r="593" spans="1:18" ht="15" customHeight="1" x14ac:dyDescent="0.3">
      <c r="A593" s="5" t="str">
        <f>Sales_Data!A590</f>
        <v>2025-08-06</v>
      </c>
      <c r="B593" s="5" t="str">
        <f>Sales_Data!B590</f>
        <v>Pune East</v>
      </c>
      <c r="C593" s="5" t="str">
        <f>Sales_Data!C590</f>
        <v>E022</v>
      </c>
      <c r="D593" s="5" t="str">
        <f>IFERROR(INDEX(Employee_Master!$B$2:$B$44,MATCH($C593,Employee_Master!$A$2:$A$44,0)),"Not Found")</f>
        <v>Cindy Green PhD</v>
      </c>
      <c r="E593" s="5" t="str">
        <f>IFERROR(INDEX(Employee_Master!$C$2:$C$44,MATCH($C593,Employee_Master!$A$2:$A$44,0)),"Not Found")</f>
        <v>Customer Support</v>
      </c>
      <c r="F593" s="5" t="str">
        <f>IFERROR(INDEX(Employee_Master!$D$2:$D$44,MATCH($C593,Employee_Master!$A$2:$A$44,0)),"Not Found")</f>
        <v>Jordan Matthews</v>
      </c>
      <c r="G593" s="5" t="str">
        <f>IFERROR(INDEX(Employee_Master!$E$2:$E$44,MATCH($C593,Employee_Master!$A$2:$A$44,0)),"Not Found")</f>
        <v>West</v>
      </c>
      <c r="H593" s="5" t="str">
        <f>Sales_Data!D590</f>
        <v>P004 - Power Bank</v>
      </c>
      <c r="I593" s="5" t="str">
        <f>IFERROR(INDEX(Product_Master!$B$2:$B$30,MATCH($H593,Product_Master!$A$2:$A$30,0)),"Invalid Product Code")</f>
        <v>Electronics</v>
      </c>
      <c r="J593" s="5">
        <f>IFERROR(INDEX(Product_Master!$C$2:$C$30,MATCH($H593,Product_Master!$A$2:$A$30,0)),0)</f>
        <v>76.91</v>
      </c>
      <c r="K593" s="5">
        <f>Sales_Data!E590</f>
        <v>2</v>
      </c>
      <c r="L593" s="5">
        <f>Sales_Data!F590</f>
        <v>157.19999999999999</v>
      </c>
      <c r="M593" s="5">
        <f>Sales_Data!G590</f>
        <v>170.75</v>
      </c>
      <c r="N593" s="5" t="str">
        <f>IFERROR(INDEX(Branch_Master!$B$2:$B$9,MATCH($B593,Branch_Master!$A$2:$A$9,0)),"Not Found")</f>
        <v>Pune</v>
      </c>
      <c r="O593" s="5" t="str">
        <f>IFERROR(INDEX(Branch_Master!$C$2:$C$9,MATCH($B593,Branch_Master!$A$2:$A$9,0)),"Not Found")</f>
        <v>Maharashtra</v>
      </c>
      <c r="P593" s="5">
        <f>IFERROR(INDEX(Targets!$B$2:$B$9,MATCH($B593,Targets!$A$2:$A$9,0)),0)</f>
        <v>1250000</v>
      </c>
      <c r="Q593" s="5" t="str">
        <f t="shared" si="18"/>
        <v>No</v>
      </c>
      <c r="R593" s="5" t="str">
        <f t="shared" si="19"/>
        <v>Aug</v>
      </c>
    </row>
    <row r="594" spans="1:18" ht="15" customHeight="1" x14ac:dyDescent="0.3">
      <c r="A594" s="5" t="str">
        <f>Sales_Data!A591</f>
        <v>2025-08-06</v>
      </c>
      <c r="B594" s="5" t="str">
        <f>Sales_Data!B591</f>
        <v>Delhi NCR</v>
      </c>
      <c r="C594" s="5" t="str">
        <f>Sales_Data!C591</f>
        <v>E031</v>
      </c>
      <c r="D594" s="5" t="str">
        <f>IFERROR(INDEX(Employee_Master!$B$2:$B$44,MATCH($C594,Employee_Master!$A$2:$A$44,0)),"Not Found")</f>
        <v>Jennifer Garcia</v>
      </c>
      <c r="E594" s="5" t="str">
        <f>IFERROR(INDEX(Employee_Master!$C$2:$C$44,MATCH($C594,Employee_Master!$A$2:$A$44,0)),"Not Found")</f>
        <v>Sales</v>
      </c>
      <c r="F594" s="5" t="str">
        <f>IFERROR(INDEX(Employee_Master!$D$2:$D$44,MATCH($C594,Employee_Master!$A$2:$A$44,0)),"Not Found")</f>
        <v>William Oconnell</v>
      </c>
      <c r="G594" s="5" t="str">
        <f>IFERROR(INDEX(Employee_Master!$E$2:$E$44,MATCH($C594,Employee_Master!$A$2:$A$44,0)),"Not Found")</f>
        <v>North</v>
      </c>
      <c r="H594" s="5" t="str">
        <f>Sales_Data!D591</f>
        <v>P003 - Bluetooth Speaker</v>
      </c>
      <c r="I594" s="5" t="str">
        <f>IFERROR(INDEX(Product_Master!$B$2:$B$30,MATCH($H594,Product_Master!$A$2:$A$30,0)),"Invalid Product Code")</f>
        <v>Electronics</v>
      </c>
      <c r="J594" s="5">
        <f>IFERROR(INDEX(Product_Master!$C$2:$C$30,MATCH($H594,Product_Master!$A$2:$A$30,0)),0)</f>
        <v>351.01</v>
      </c>
      <c r="K594" s="5">
        <f>Sales_Data!E591</f>
        <v>5</v>
      </c>
      <c r="L594" s="5">
        <f>Sales_Data!F591</f>
        <v>1780.4</v>
      </c>
      <c r="M594" s="5">
        <f>Sales_Data!G591</f>
        <v>1543</v>
      </c>
      <c r="N594" s="5" t="str">
        <f>IFERROR(INDEX(Branch_Master!$B$2:$B$9,MATCH($B594,Branch_Master!$A$2:$A$9,0)),"Not Found")</f>
        <v>New Delhi</v>
      </c>
      <c r="O594" s="5" t="str">
        <f>IFERROR(INDEX(Branch_Master!$C$2:$C$9,MATCH($B594,Branch_Master!$A$2:$A$9,0)),"Not Found")</f>
        <v>Delhi</v>
      </c>
      <c r="P594" s="5">
        <f>IFERROR(INDEX(Targets!$B$2:$B$9,MATCH($B594,Targets!$A$2:$A$9,0)),0)</f>
        <v>2070000</v>
      </c>
      <c r="Q594" s="5" t="str">
        <f t="shared" si="18"/>
        <v>Yes</v>
      </c>
      <c r="R594" s="5" t="str">
        <f t="shared" si="19"/>
        <v>Aug</v>
      </c>
    </row>
    <row r="595" spans="1:18" ht="15" customHeight="1" x14ac:dyDescent="0.3">
      <c r="A595" s="5" t="str">
        <f>Sales_Data!A592</f>
        <v>2025-08-06</v>
      </c>
      <c r="B595" s="5" t="str">
        <f>Sales_Data!B592</f>
        <v>Chennai South</v>
      </c>
      <c r="C595" s="5" t="str">
        <f>Sales_Data!C592</f>
        <v>E032</v>
      </c>
      <c r="D595" s="5" t="str">
        <f>IFERROR(INDEX(Employee_Master!$B$2:$B$44,MATCH($C595,Employee_Master!$A$2:$A$44,0)),"Not Found")</f>
        <v>Victor Allen</v>
      </c>
      <c r="E595" s="5" t="str">
        <f>IFERROR(INDEX(Employee_Master!$C$2:$C$44,MATCH($C595,Employee_Master!$A$2:$A$44,0)),"Not Found")</f>
        <v>Operations</v>
      </c>
      <c r="F595" s="5" t="str">
        <f>IFERROR(INDEX(Employee_Master!$D$2:$D$44,MATCH($C595,Employee_Master!$A$2:$A$44,0)),"Not Found")</f>
        <v>Robert Steele</v>
      </c>
      <c r="G595" s="5" t="str">
        <f>IFERROR(INDEX(Employee_Master!$E$2:$E$44,MATCH($C595,Employee_Master!$A$2:$A$44,0)),"Not Found")</f>
        <v>South</v>
      </c>
      <c r="H595" s="5" t="str">
        <f>Sales_Data!D592</f>
        <v>P004 - Power Bank</v>
      </c>
      <c r="I595" s="5" t="str">
        <f>IFERROR(INDEX(Product_Master!$B$2:$B$30,MATCH($H595,Product_Master!$A$2:$A$30,0)),"Invalid Product Code")</f>
        <v>Electronics</v>
      </c>
      <c r="J595" s="5">
        <f>IFERROR(INDEX(Product_Master!$C$2:$C$30,MATCH($H595,Product_Master!$A$2:$A$30,0)),0)</f>
        <v>76.91</v>
      </c>
      <c r="K595" s="5">
        <f>Sales_Data!E592</f>
        <v>9</v>
      </c>
      <c r="L595" s="5">
        <f>Sales_Data!F592</f>
        <v>758.96</v>
      </c>
      <c r="M595" s="5">
        <f>Sales_Data!G592</f>
        <v>642.6</v>
      </c>
      <c r="N595" s="5" t="str">
        <f>IFERROR(INDEX(Branch_Master!$B$2:$B$9,MATCH($B595,Branch_Master!$A$2:$A$9,0)),"Not Found")</f>
        <v>Chennai</v>
      </c>
      <c r="O595" s="5" t="str">
        <f>IFERROR(INDEX(Branch_Master!$C$2:$C$9,MATCH($B595,Branch_Master!$A$2:$A$9,0)),"Not Found")</f>
        <v>Tamil Nadu</v>
      </c>
      <c r="P595" s="5">
        <f>IFERROR(INDEX(Targets!$B$2:$B$9,MATCH($B595,Targets!$A$2:$A$9,0)),0)</f>
        <v>1910000</v>
      </c>
      <c r="Q595" s="5" t="str">
        <f t="shared" si="18"/>
        <v>Yes</v>
      </c>
      <c r="R595" s="5" t="str">
        <f t="shared" si="19"/>
        <v>Aug</v>
      </c>
    </row>
    <row r="596" spans="1:18" ht="15" customHeight="1" x14ac:dyDescent="0.3">
      <c r="A596" s="5" t="str">
        <f>Sales_Data!A593</f>
        <v>2025-08-07</v>
      </c>
      <c r="B596" s="5" t="str">
        <f>Sales_Data!B593</f>
        <v>Delhi NCR</v>
      </c>
      <c r="C596" s="5" t="str">
        <f>Sales_Data!C593</f>
        <v>E013</v>
      </c>
      <c r="D596" s="5" t="str">
        <f>IFERROR(INDEX(Employee_Master!$B$2:$B$44,MATCH($C596,Employee_Master!$A$2:$A$44,0)),"Not Found")</f>
        <v>Norma Wilson</v>
      </c>
      <c r="E596" s="5" t="str">
        <f>IFERROR(INDEX(Employee_Master!$C$2:$C$44,MATCH($C596,Employee_Master!$A$2:$A$44,0)),"Not Found")</f>
        <v>Customer Support</v>
      </c>
      <c r="F596" s="5" t="str">
        <f>IFERROR(INDEX(Employee_Master!$D$2:$D$44,MATCH($C596,Employee_Master!$A$2:$A$44,0)),"Not Found")</f>
        <v>William Oconnell</v>
      </c>
      <c r="G596" s="5" t="str">
        <f>IFERROR(INDEX(Employee_Master!$E$2:$E$44,MATCH($C596,Employee_Master!$A$2:$A$44,0)),"Not Found")</f>
        <v>North</v>
      </c>
      <c r="H596" s="5" t="str">
        <f>Sales_Data!D593</f>
        <v>P010 - Running Shoes</v>
      </c>
      <c r="I596" s="5" t="str">
        <f>IFERROR(INDEX(Product_Master!$B$2:$B$30,MATCH($H596,Product_Master!$A$2:$A$30,0)),"Invalid Product Code")</f>
        <v>Apparel</v>
      </c>
      <c r="J596" s="5">
        <f>IFERROR(INDEX(Product_Master!$C$2:$C$30,MATCH($H596,Product_Master!$A$2:$A$30,0)),0)</f>
        <v>233.71</v>
      </c>
      <c r="K596" s="5">
        <f>Sales_Data!E593</f>
        <v>2</v>
      </c>
      <c r="L596" s="5">
        <f>Sales_Data!F593</f>
        <v>498.95</v>
      </c>
      <c r="M596" s="5">
        <f>Sales_Data!G593</f>
        <v>464.65</v>
      </c>
      <c r="N596" s="5" t="str">
        <f>IFERROR(INDEX(Branch_Master!$B$2:$B$9,MATCH($B596,Branch_Master!$A$2:$A$9,0)),"Not Found")</f>
        <v>New Delhi</v>
      </c>
      <c r="O596" s="5" t="str">
        <f>IFERROR(INDEX(Branch_Master!$C$2:$C$9,MATCH($B596,Branch_Master!$A$2:$A$9,0)),"Not Found")</f>
        <v>Delhi</v>
      </c>
      <c r="P596" s="5">
        <f>IFERROR(INDEX(Targets!$B$2:$B$9,MATCH($B596,Targets!$A$2:$A$9,0)),0)</f>
        <v>2070000</v>
      </c>
      <c r="Q596" s="5" t="str">
        <f t="shared" si="18"/>
        <v>Yes</v>
      </c>
      <c r="R596" s="5" t="str">
        <f t="shared" si="19"/>
        <v>Aug</v>
      </c>
    </row>
    <row r="597" spans="1:18" ht="15" customHeight="1" x14ac:dyDescent="0.3">
      <c r="A597" s="5" t="str">
        <f>Sales_Data!A594</f>
        <v>2025-08-07</v>
      </c>
      <c r="B597" s="5" t="str">
        <f>Sales_Data!B594</f>
        <v>Delhi NCR</v>
      </c>
      <c r="C597" s="5" t="str">
        <f>Sales_Data!C594</f>
        <v>E013</v>
      </c>
      <c r="D597" s="5" t="str">
        <f>IFERROR(INDEX(Employee_Master!$B$2:$B$44,MATCH($C597,Employee_Master!$A$2:$A$44,0)),"Not Found")</f>
        <v>Norma Wilson</v>
      </c>
      <c r="E597" s="5" t="str">
        <f>IFERROR(INDEX(Employee_Master!$C$2:$C$44,MATCH($C597,Employee_Master!$A$2:$A$44,0)),"Not Found")</f>
        <v>Customer Support</v>
      </c>
      <c r="F597" s="5" t="str">
        <f>IFERROR(INDEX(Employee_Master!$D$2:$D$44,MATCH($C597,Employee_Master!$A$2:$A$44,0)),"Not Found")</f>
        <v>William Oconnell</v>
      </c>
      <c r="G597" s="5" t="str">
        <f>IFERROR(INDEX(Employee_Master!$E$2:$E$44,MATCH($C597,Employee_Master!$A$2:$A$44,0)),"Not Found")</f>
        <v>North</v>
      </c>
      <c r="H597" s="5" t="str">
        <f>Sales_Data!D594</f>
        <v>P029 - Dumbbell Set 10kg</v>
      </c>
      <c r="I597" s="5" t="str">
        <f>IFERROR(INDEX(Product_Master!$B$2:$B$30,MATCH($H597,Product_Master!$A$2:$A$30,0)),"Invalid Product Code")</f>
        <v>Sports</v>
      </c>
      <c r="J597" s="5">
        <f>IFERROR(INDEX(Product_Master!$C$2:$C$30,MATCH($H597,Product_Master!$A$2:$A$30,0)),0)</f>
        <v>435</v>
      </c>
      <c r="K597" s="5">
        <f>Sales_Data!E594</f>
        <v>12</v>
      </c>
      <c r="L597" s="5">
        <f>Sales_Data!F594</f>
        <v>5659.99</v>
      </c>
      <c r="M597" s="5">
        <f>Sales_Data!G594</f>
        <v>4833.45</v>
      </c>
      <c r="N597" s="5" t="str">
        <f>IFERROR(INDEX(Branch_Master!$B$2:$B$9,MATCH($B597,Branch_Master!$A$2:$A$9,0)),"Not Found")</f>
        <v>New Delhi</v>
      </c>
      <c r="O597" s="5" t="str">
        <f>IFERROR(INDEX(Branch_Master!$C$2:$C$9,MATCH($B597,Branch_Master!$A$2:$A$9,0)),"Not Found")</f>
        <v>Delhi</v>
      </c>
      <c r="P597" s="5">
        <f>IFERROR(INDEX(Targets!$B$2:$B$9,MATCH($B597,Targets!$A$2:$A$9,0)),0)</f>
        <v>2070000</v>
      </c>
      <c r="Q597" s="5" t="str">
        <f t="shared" si="18"/>
        <v>Yes</v>
      </c>
      <c r="R597" s="5" t="str">
        <f t="shared" si="19"/>
        <v>Aug</v>
      </c>
    </row>
    <row r="598" spans="1:18" ht="15" customHeight="1" x14ac:dyDescent="0.3">
      <c r="A598" s="5" t="str">
        <f>Sales_Data!A595</f>
        <v>2025-08-07</v>
      </c>
      <c r="B598" s="5" t="str">
        <f>Sales_Data!B595</f>
        <v>Hyderabad Hitech</v>
      </c>
      <c r="C598" s="5" t="str">
        <f>Sales_Data!C595</f>
        <v>E026</v>
      </c>
      <c r="D598" s="5" t="str">
        <f>IFERROR(INDEX(Employee_Master!$B$2:$B$44,MATCH($C598,Employee_Master!$A$2:$A$44,0)),"Not Found")</f>
        <v>Karen Andrews</v>
      </c>
      <c r="E598" s="5" t="str">
        <f>IFERROR(INDEX(Employee_Master!$C$2:$C$44,MATCH($C598,Employee_Master!$A$2:$A$44,0)),"Not Found")</f>
        <v>Marketing</v>
      </c>
      <c r="F598" s="5" t="str">
        <f>IFERROR(INDEX(Employee_Master!$D$2:$D$44,MATCH($C598,Employee_Master!$A$2:$A$44,0)),"Not Found")</f>
        <v>Anna Turner</v>
      </c>
      <c r="G598" s="5" t="str">
        <f>IFERROR(INDEX(Employee_Master!$E$2:$E$44,MATCH($C598,Employee_Master!$A$2:$A$44,0)),"Not Found")</f>
        <v>South</v>
      </c>
      <c r="H598" s="5" t="str">
        <f>Sales_Data!D595</f>
        <v>P009 - Formal Shirt</v>
      </c>
      <c r="I598" s="5" t="str">
        <f>IFERROR(INDEX(Product_Master!$B$2:$B$30,MATCH($H598,Product_Master!$A$2:$A$30,0)),"Invalid Product Code")</f>
        <v>Apparel</v>
      </c>
      <c r="J598" s="5">
        <f>IFERROR(INDEX(Product_Master!$C$2:$C$30,MATCH($H598,Product_Master!$A$2:$A$30,0)),0)</f>
        <v>661.65</v>
      </c>
      <c r="K598" s="5">
        <f>Sales_Data!E595</f>
        <v>11</v>
      </c>
      <c r="L598" s="5">
        <f>Sales_Data!F595</f>
        <v>6897.55</v>
      </c>
      <c r="M598" s="5">
        <f>Sales_Data!G595</f>
        <v>6420.65</v>
      </c>
      <c r="N598" s="5" t="str">
        <f>IFERROR(INDEX(Branch_Master!$B$2:$B$9,MATCH($B598,Branch_Master!$A$2:$A$9,0)),"Not Found")</f>
        <v>Hyderabad</v>
      </c>
      <c r="O598" s="5" t="str">
        <f>IFERROR(INDEX(Branch_Master!$C$2:$C$9,MATCH($B598,Branch_Master!$A$2:$A$9,0)),"Not Found")</f>
        <v>Telangana</v>
      </c>
      <c r="P598" s="5">
        <f>IFERROR(INDEX(Targets!$B$2:$B$9,MATCH($B598,Targets!$A$2:$A$9,0)),0)</f>
        <v>1210000</v>
      </c>
      <c r="Q598" s="5" t="str">
        <f t="shared" si="18"/>
        <v>Yes</v>
      </c>
      <c r="R598" s="5" t="str">
        <f t="shared" si="19"/>
        <v>Aug</v>
      </c>
    </row>
    <row r="599" spans="1:18" ht="15" customHeight="1" x14ac:dyDescent="0.3">
      <c r="A599" s="5" t="str">
        <f>Sales_Data!A596</f>
        <v>2025-08-09</v>
      </c>
      <c r="B599" s="5" t="str">
        <f>Sales_Data!B596</f>
        <v>Mumbai Central</v>
      </c>
      <c r="C599" s="5" t="str">
        <f>Sales_Data!C596</f>
        <v>E021</v>
      </c>
      <c r="D599" s="5" t="str">
        <f>IFERROR(INDEX(Employee_Master!$B$2:$B$44,MATCH($C599,Employee_Master!$A$2:$A$44,0)),"Not Found")</f>
        <v>Maria Garcia</v>
      </c>
      <c r="E599" s="5" t="str">
        <f>IFERROR(INDEX(Employee_Master!$C$2:$C$44,MATCH($C599,Employee_Master!$A$2:$A$44,0)),"Not Found")</f>
        <v>Sales</v>
      </c>
      <c r="F599" s="5" t="str">
        <f>IFERROR(INDEX(Employee_Master!$D$2:$D$44,MATCH($C599,Employee_Master!$A$2:$A$44,0)),"Not Found")</f>
        <v>Justin Glass</v>
      </c>
      <c r="G599" s="5" t="str">
        <f>IFERROR(INDEX(Employee_Master!$E$2:$E$44,MATCH($C599,Employee_Master!$A$2:$A$44,0)),"Not Found")</f>
        <v>West</v>
      </c>
      <c r="H599" s="5" t="str">
        <f>Sales_Data!D596</f>
        <v>P008 - Denim Jeans</v>
      </c>
      <c r="I599" s="5" t="str">
        <f>IFERROR(INDEX(Product_Master!$B$2:$B$30,MATCH($H599,Product_Master!$A$2:$A$30,0)),"Invalid Product Code")</f>
        <v>Apparel</v>
      </c>
      <c r="J599" s="5">
        <f>IFERROR(INDEX(Product_Master!$C$2:$C$30,MATCH($H599,Product_Master!$A$2:$A$30,0)),0)</f>
        <v>614.48</v>
      </c>
      <c r="K599" s="5">
        <f>Sales_Data!E596</f>
        <v>12</v>
      </c>
      <c r="L599" s="5">
        <f>Sales_Data!F596</f>
        <v>7194.81</v>
      </c>
      <c r="M599" s="5">
        <f>Sales_Data!G596</f>
        <v>7800.22</v>
      </c>
      <c r="N599" s="5" t="str">
        <f>IFERROR(INDEX(Branch_Master!$B$2:$B$9,MATCH($B599,Branch_Master!$A$2:$A$9,0)),"Not Found")</f>
        <v>Mumbai</v>
      </c>
      <c r="O599" s="5" t="str">
        <f>IFERROR(INDEX(Branch_Master!$C$2:$C$9,MATCH($B599,Branch_Master!$A$2:$A$9,0)),"Not Found")</f>
        <v>Maharashtra</v>
      </c>
      <c r="P599" s="5">
        <f>IFERROR(INDEX(Targets!$B$2:$B$9,MATCH($B599,Targets!$A$2:$A$9,0)),0)</f>
        <v>900000</v>
      </c>
      <c r="Q599" s="5" t="str">
        <f t="shared" si="18"/>
        <v>No</v>
      </c>
      <c r="R599" s="5" t="str">
        <f t="shared" si="19"/>
        <v>Aug</v>
      </c>
    </row>
    <row r="600" spans="1:18" ht="15" customHeight="1" x14ac:dyDescent="0.3">
      <c r="A600" s="5" t="str">
        <f>Sales_Data!A597</f>
        <v>2025-08-09</v>
      </c>
      <c r="B600" s="5" t="str">
        <f>Sales_Data!B597</f>
        <v>Hyderabad Hitech</v>
      </c>
      <c r="C600" s="5" t="str">
        <f>Sales_Data!C597</f>
        <v>E011</v>
      </c>
      <c r="D600" s="5" t="str">
        <f>IFERROR(INDEX(Employee_Master!$B$2:$B$44,MATCH($C600,Employee_Master!$A$2:$A$44,0)),"Not Found")</f>
        <v>Mark Osborne</v>
      </c>
      <c r="E600" s="5" t="str">
        <f>IFERROR(INDEX(Employee_Master!$C$2:$C$44,MATCH($C600,Employee_Master!$A$2:$A$44,0)),"Not Found")</f>
        <v>Marketing</v>
      </c>
      <c r="F600" s="5" t="str">
        <f>IFERROR(INDEX(Employee_Master!$D$2:$D$44,MATCH($C600,Employee_Master!$A$2:$A$44,0)),"Not Found")</f>
        <v>Anna Turner</v>
      </c>
      <c r="G600" s="5" t="str">
        <f>IFERROR(INDEX(Employee_Master!$E$2:$E$44,MATCH($C600,Employee_Master!$A$2:$A$44,0)),"Not Found")</f>
        <v>South</v>
      </c>
      <c r="H600" s="5" t="str">
        <f>Sales_Data!D597</f>
        <v>P025 - Lipstick Set</v>
      </c>
      <c r="I600" s="5" t="str">
        <f>IFERROR(INDEX(Product_Master!$B$2:$B$30,MATCH($H600,Product_Master!$A$2:$A$30,0)),"Invalid Product Code")</f>
        <v>Beauty</v>
      </c>
      <c r="J600" s="5">
        <f>IFERROR(INDEX(Product_Master!$C$2:$C$30,MATCH($H600,Product_Master!$A$2:$A$30,0)),0)</f>
        <v>765.9</v>
      </c>
      <c r="K600" s="5">
        <f>Sales_Data!E597</f>
        <v>2</v>
      </c>
      <c r="L600" s="5">
        <f>Sales_Data!F597</f>
        <v>1641.67</v>
      </c>
      <c r="M600" s="5">
        <f>Sales_Data!G597</f>
        <v>1339.91</v>
      </c>
      <c r="N600" s="5" t="str">
        <f>IFERROR(INDEX(Branch_Master!$B$2:$B$9,MATCH($B600,Branch_Master!$A$2:$A$9,0)),"Not Found")</f>
        <v>Hyderabad</v>
      </c>
      <c r="O600" s="5" t="str">
        <f>IFERROR(INDEX(Branch_Master!$C$2:$C$9,MATCH($B600,Branch_Master!$A$2:$A$9,0)),"Not Found")</f>
        <v>Telangana</v>
      </c>
      <c r="P600" s="5">
        <f>IFERROR(INDEX(Targets!$B$2:$B$9,MATCH($B600,Targets!$A$2:$A$9,0)),0)</f>
        <v>1210000</v>
      </c>
      <c r="Q600" s="5" t="str">
        <f t="shared" si="18"/>
        <v>Yes</v>
      </c>
      <c r="R600" s="5" t="str">
        <f t="shared" si="19"/>
        <v>Aug</v>
      </c>
    </row>
    <row r="601" spans="1:18" ht="15" customHeight="1" x14ac:dyDescent="0.3">
      <c r="A601" s="5" t="str">
        <f>Sales_Data!A598</f>
        <v>2025-08-09</v>
      </c>
      <c r="B601" s="5" t="str">
        <f>Sales_Data!B598</f>
        <v>Hyderabad Hitech</v>
      </c>
      <c r="C601" s="5" t="str">
        <f>Sales_Data!C598</f>
        <v>E035</v>
      </c>
      <c r="D601" s="5" t="str">
        <f>IFERROR(INDEX(Employee_Master!$B$2:$B$44,MATCH($C601,Employee_Master!$A$2:$A$44,0)),"Not Found")</f>
        <v>Andrea Perez</v>
      </c>
      <c r="E601" s="5" t="str">
        <f>IFERROR(INDEX(Employee_Master!$C$2:$C$44,MATCH($C601,Employee_Master!$A$2:$A$44,0)),"Not Found")</f>
        <v>Sales</v>
      </c>
      <c r="F601" s="5" t="str">
        <f>IFERROR(INDEX(Employee_Master!$D$2:$D$44,MATCH($C601,Employee_Master!$A$2:$A$44,0)),"Not Found")</f>
        <v>Anna Turner</v>
      </c>
      <c r="G601" s="5" t="str">
        <f>IFERROR(INDEX(Employee_Master!$E$2:$E$44,MATCH($C601,Employee_Master!$A$2:$A$44,0)),"Not Found")</f>
        <v>South</v>
      </c>
      <c r="H601" s="5" t="str">
        <f>Sales_Data!D598</f>
        <v>P014 - Air Fryer</v>
      </c>
      <c r="I601" s="5" t="str">
        <f>IFERROR(INDEX(Product_Master!$B$2:$B$30,MATCH($H601,Product_Master!$A$2:$A$30,0)),"Invalid Product Code")</f>
        <v>Home &amp; Kitchen</v>
      </c>
      <c r="J601" s="5">
        <f>IFERROR(INDEX(Product_Master!$C$2:$C$30,MATCH($H601,Product_Master!$A$2:$A$30,0)),0)</f>
        <v>729.85</v>
      </c>
      <c r="K601" s="5">
        <f>Sales_Data!E598</f>
        <v>2</v>
      </c>
      <c r="L601" s="5">
        <f>Sales_Data!F598</f>
        <v>1499.72</v>
      </c>
      <c r="M601" s="5">
        <f>Sales_Data!G598</f>
        <v>1320.32</v>
      </c>
      <c r="N601" s="5" t="str">
        <f>IFERROR(INDEX(Branch_Master!$B$2:$B$9,MATCH($B601,Branch_Master!$A$2:$A$9,0)),"Not Found")</f>
        <v>Hyderabad</v>
      </c>
      <c r="O601" s="5" t="str">
        <f>IFERROR(INDEX(Branch_Master!$C$2:$C$9,MATCH($B601,Branch_Master!$A$2:$A$9,0)),"Not Found")</f>
        <v>Telangana</v>
      </c>
      <c r="P601" s="5">
        <f>IFERROR(INDEX(Targets!$B$2:$B$9,MATCH($B601,Targets!$A$2:$A$9,0)),0)</f>
        <v>1210000</v>
      </c>
      <c r="Q601" s="5" t="str">
        <f t="shared" si="18"/>
        <v>Yes</v>
      </c>
      <c r="R601" s="5" t="str">
        <f t="shared" si="19"/>
        <v>Aug</v>
      </c>
    </row>
    <row r="602" spans="1:18" ht="15" customHeight="1" x14ac:dyDescent="0.3">
      <c r="A602" s="5" t="str">
        <f>Sales_Data!A599</f>
        <v>2025-08-09</v>
      </c>
      <c r="B602" s="5" t="str">
        <f>Sales_Data!B599</f>
        <v>Hyderabad Hitech</v>
      </c>
      <c r="C602" s="5" t="str">
        <f>Sales_Data!C599</f>
        <v>E030</v>
      </c>
      <c r="D602" s="5" t="str">
        <f>IFERROR(INDEX(Employee_Master!$B$2:$B$44,MATCH($C602,Employee_Master!$A$2:$A$44,0)),"Not Found")</f>
        <v>Travis Khan</v>
      </c>
      <c r="E602" s="5" t="str">
        <f>IFERROR(INDEX(Employee_Master!$C$2:$C$44,MATCH($C602,Employee_Master!$A$2:$A$44,0)),"Not Found")</f>
        <v>Operations</v>
      </c>
      <c r="F602" s="5" t="str">
        <f>IFERROR(INDEX(Employee_Master!$D$2:$D$44,MATCH($C602,Employee_Master!$A$2:$A$44,0)),"Not Found")</f>
        <v>Anna Turner</v>
      </c>
      <c r="G602" s="5" t="str">
        <f>IFERROR(INDEX(Employee_Master!$E$2:$E$44,MATCH($C602,Employee_Master!$A$2:$A$44,0)),"Not Found")</f>
        <v>South</v>
      </c>
      <c r="H602" s="5" t="str">
        <f>Sales_Data!D599</f>
        <v>P012 - Non-Stick Pan</v>
      </c>
      <c r="I602" s="5" t="str">
        <f>IFERROR(INDEX(Product_Master!$B$2:$B$30,MATCH($H602,Product_Master!$A$2:$A$30,0)),"Invalid Product Code")</f>
        <v>Home &amp; Kitchen</v>
      </c>
      <c r="J602" s="5">
        <f>IFERROR(INDEX(Product_Master!$C$2:$C$30,MATCH($H602,Product_Master!$A$2:$A$30,0)),0)</f>
        <v>353.18</v>
      </c>
      <c r="K602" s="5">
        <f>Sales_Data!E599</f>
        <v>1</v>
      </c>
      <c r="L602" s="5">
        <f>Sales_Data!F599</f>
        <v>362.65</v>
      </c>
      <c r="M602" s="5">
        <f>Sales_Data!G599</f>
        <v>304.52999999999997</v>
      </c>
      <c r="N602" s="5" t="str">
        <f>IFERROR(INDEX(Branch_Master!$B$2:$B$9,MATCH($B602,Branch_Master!$A$2:$A$9,0)),"Not Found")</f>
        <v>Hyderabad</v>
      </c>
      <c r="O602" s="5" t="str">
        <f>IFERROR(INDEX(Branch_Master!$C$2:$C$9,MATCH($B602,Branch_Master!$A$2:$A$9,0)),"Not Found")</f>
        <v>Telangana</v>
      </c>
      <c r="P602" s="5">
        <f>IFERROR(INDEX(Targets!$B$2:$B$9,MATCH($B602,Targets!$A$2:$A$9,0)),0)</f>
        <v>1210000</v>
      </c>
      <c r="Q602" s="5" t="str">
        <f t="shared" si="18"/>
        <v>Yes</v>
      </c>
      <c r="R602" s="5" t="str">
        <f t="shared" si="19"/>
        <v>Aug</v>
      </c>
    </row>
    <row r="603" spans="1:18" ht="15" customHeight="1" x14ac:dyDescent="0.3">
      <c r="A603" s="5" t="str">
        <f>Sales_Data!A600</f>
        <v>2025-08-10</v>
      </c>
      <c r="B603" s="5" t="str">
        <f>Sales_Data!B600</f>
        <v>Ahmedabad West</v>
      </c>
      <c r="C603" s="5" t="str">
        <f>Sales_Data!C600</f>
        <v>E005</v>
      </c>
      <c r="D603" s="5" t="str">
        <f>IFERROR(INDEX(Employee_Master!$B$2:$B$44,MATCH($C603,Employee_Master!$A$2:$A$44,0)),"Not Found")</f>
        <v>Dr. Sara Zimmerman MD</v>
      </c>
      <c r="E603" s="5" t="str">
        <f>IFERROR(INDEX(Employee_Master!$C$2:$C$44,MATCH($C603,Employee_Master!$A$2:$A$44,0)),"Not Found")</f>
        <v>Operations</v>
      </c>
      <c r="F603" s="5" t="str">
        <f>IFERROR(INDEX(Employee_Master!$D$2:$D$44,MATCH($C603,Employee_Master!$A$2:$A$44,0)),"Not Found")</f>
        <v>Joseph Brown</v>
      </c>
      <c r="G603" s="5" t="str">
        <f>IFERROR(INDEX(Employee_Master!$E$2:$E$44,MATCH($C603,Employee_Master!$A$2:$A$44,0)),"Not Found")</f>
        <v>West</v>
      </c>
      <c r="H603" s="5" t="str">
        <f>Sales_Data!D600</f>
        <v>P025 - Lipstick Set</v>
      </c>
      <c r="I603" s="5" t="str">
        <f>IFERROR(INDEX(Product_Master!$B$2:$B$30,MATCH($H603,Product_Master!$A$2:$A$30,0)),"Invalid Product Code")</f>
        <v>Beauty</v>
      </c>
      <c r="J603" s="5">
        <f>IFERROR(INDEX(Product_Master!$C$2:$C$30,MATCH($H603,Product_Master!$A$2:$A$30,0)),0)</f>
        <v>765.9</v>
      </c>
      <c r="K603" s="5">
        <f>Sales_Data!E600</f>
        <v>1</v>
      </c>
      <c r="L603" s="5">
        <f>Sales_Data!F600</f>
        <v>764.71</v>
      </c>
      <c r="M603" s="5">
        <f>Sales_Data!G600</f>
        <v>742.78</v>
      </c>
      <c r="N603" s="5" t="str">
        <f>IFERROR(INDEX(Branch_Master!$B$2:$B$9,MATCH($B603,Branch_Master!$A$2:$A$9,0)),"Not Found")</f>
        <v>Ahmedabad</v>
      </c>
      <c r="O603" s="5" t="str">
        <f>IFERROR(INDEX(Branch_Master!$C$2:$C$9,MATCH($B603,Branch_Master!$A$2:$A$9,0)),"Not Found")</f>
        <v>Gujarat</v>
      </c>
      <c r="P603" s="5">
        <f>IFERROR(INDEX(Targets!$B$2:$B$9,MATCH($B603,Targets!$A$2:$A$9,0)),0)</f>
        <v>1590000</v>
      </c>
      <c r="Q603" s="5" t="str">
        <f t="shared" si="18"/>
        <v>Yes</v>
      </c>
      <c r="R603" s="5" t="str">
        <f t="shared" si="19"/>
        <v>Aug</v>
      </c>
    </row>
    <row r="604" spans="1:18" ht="15" customHeight="1" x14ac:dyDescent="0.3">
      <c r="A604" s="5" t="str">
        <f>Sales_Data!A601</f>
        <v>2025-08-10</v>
      </c>
      <c r="B604" s="5" t="str">
        <f>Sales_Data!B601</f>
        <v>Ahmedabad West</v>
      </c>
      <c r="C604" s="5" t="str">
        <f>Sales_Data!C601</f>
        <v>E037</v>
      </c>
      <c r="D604" s="5" t="str">
        <f>IFERROR(INDEX(Employee_Master!$B$2:$B$44,MATCH($C604,Employee_Master!$A$2:$A$44,0)),"Not Found")</f>
        <v>Thomas Harris</v>
      </c>
      <c r="E604" s="5" t="str">
        <f>IFERROR(INDEX(Employee_Master!$C$2:$C$44,MATCH($C604,Employee_Master!$A$2:$A$44,0)),"Not Found")</f>
        <v>Customer Support</v>
      </c>
      <c r="F604" s="5" t="str">
        <f>IFERROR(INDEX(Employee_Master!$D$2:$D$44,MATCH($C604,Employee_Master!$A$2:$A$44,0)),"Not Found")</f>
        <v>Joseph Brown</v>
      </c>
      <c r="G604" s="5" t="str">
        <f>IFERROR(INDEX(Employee_Master!$E$2:$E$44,MATCH($C604,Employee_Master!$A$2:$A$44,0)),"Not Found")</f>
        <v>West</v>
      </c>
      <c r="H604" s="5" t="str">
        <f>Sales_Data!D601</f>
        <v>P029 - Dumbbell Set 10kg</v>
      </c>
      <c r="I604" s="5" t="str">
        <f>IFERROR(INDEX(Product_Master!$B$2:$B$30,MATCH($H604,Product_Master!$A$2:$A$30,0)),"Invalid Product Code")</f>
        <v>Sports</v>
      </c>
      <c r="J604" s="5">
        <f>IFERROR(INDEX(Product_Master!$C$2:$C$30,MATCH($H604,Product_Master!$A$2:$A$30,0)),0)</f>
        <v>435</v>
      </c>
      <c r="K604" s="5">
        <f>Sales_Data!E601</f>
        <v>12</v>
      </c>
      <c r="L604" s="5">
        <f>Sales_Data!F601</f>
        <v>5271.31</v>
      </c>
      <c r="M604" s="5">
        <f>Sales_Data!G601</f>
        <v>4994.6099999999997</v>
      </c>
      <c r="N604" s="5" t="str">
        <f>IFERROR(INDEX(Branch_Master!$B$2:$B$9,MATCH($B604,Branch_Master!$A$2:$A$9,0)),"Not Found")</f>
        <v>Ahmedabad</v>
      </c>
      <c r="O604" s="5" t="str">
        <f>IFERROR(INDEX(Branch_Master!$C$2:$C$9,MATCH($B604,Branch_Master!$A$2:$A$9,0)),"Not Found")</f>
        <v>Gujarat</v>
      </c>
      <c r="P604" s="5">
        <f>IFERROR(INDEX(Targets!$B$2:$B$9,MATCH($B604,Targets!$A$2:$A$9,0)),0)</f>
        <v>1590000</v>
      </c>
      <c r="Q604" s="5" t="str">
        <f t="shared" si="18"/>
        <v>Yes</v>
      </c>
      <c r="R604" s="5" t="str">
        <f t="shared" si="19"/>
        <v>Aug</v>
      </c>
    </row>
    <row r="605" spans="1:18" ht="15" customHeight="1" x14ac:dyDescent="0.3">
      <c r="A605" s="5" t="str">
        <f>Sales_Data!A602</f>
        <v>2025-08-11</v>
      </c>
      <c r="B605" s="5" t="str">
        <f>Sales_Data!B602</f>
        <v>Hyderabad Hitech</v>
      </c>
      <c r="C605" s="5" t="str">
        <f>Sales_Data!C602</f>
        <v>E014</v>
      </c>
      <c r="D605" s="5" t="str">
        <f>IFERROR(INDEX(Employee_Master!$B$2:$B$44,MATCH($C605,Employee_Master!$A$2:$A$44,0)),"Not Found")</f>
        <v>Brian Brown</v>
      </c>
      <c r="E605" s="5" t="str">
        <f>IFERROR(INDEX(Employee_Master!$C$2:$C$44,MATCH($C605,Employee_Master!$A$2:$A$44,0)),"Not Found")</f>
        <v>Marketing</v>
      </c>
      <c r="F605" s="5" t="str">
        <f>IFERROR(INDEX(Employee_Master!$D$2:$D$44,MATCH($C605,Employee_Master!$A$2:$A$44,0)),"Not Found")</f>
        <v>Anna Turner</v>
      </c>
      <c r="G605" s="5" t="str">
        <f>IFERROR(INDEX(Employee_Master!$E$2:$E$44,MATCH($C605,Employee_Master!$A$2:$A$44,0)),"Not Found")</f>
        <v>South</v>
      </c>
      <c r="H605" s="5" t="str">
        <f>Sales_Data!D602</f>
        <v>P024 - Hair Serum</v>
      </c>
      <c r="I605" s="5" t="str">
        <f>IFERROR(INDEX(Product_Master!$B$2:$B$30,MATCH($H605,Product_Master!$A$2:$A$30,0)),"Invalid Product Code")</f>
        <v>Beauty</v>
      </c>
      <c r="J605" s="5">
        <f>IFERROR(INDEX(Product_Master!$C$2:$C$30,MATCH($H605,Product_Master!$A$2:$A$30,0)),0)</f>
        <v>1457.31</v>
      </c>
      <c r="K605" s="5">
        <f>Sales_Data!E602</f>
        <v>4</v>
      </c>
      <c r="L605" s="5">
        <f>Sales_Data!F602</f>
        <v>5353.99</v>
      </c>
      <c r="M605" s="5">
        <f>Sales_Data!G602</f>
        <v>6682.4</v>
      </c>
      <c r="N605" s="5" t="str">
        <f>IFERROR(INDEX(Branch_Master!$B$2:$B$9,MATCH($B605,Branch_Master!$A$2:$A$9,0)),"Not Found")</f>
        <v>Hyderabad</v>
      </c>
      <c r="O605" s="5" t="str">
        <f>IFERROR(INDEX(Branch_Master!$C$2:$C$9,MATCH($B605,Branch_Master!$A$2:$A$9,0)),"Not Found")</f>
        <v>Telangana</v>
      </c>
      <c r="P605" s="5">
        <f>IFERROR(INDEX(Targets!$B$2:$B$9,MATCH($B605,Targets!$A$2:$A$9,0)),0)</f>
        <v>1210000</v>
      </c>
      <c r="Q605" s="5" t="str">
        <f t="shared" si="18"/>
        <v>No</v>
      </c>
      <c r="R605" s="5" t="str">
        <f t="shared" si="19"/>
        <v>Aug</v>
      </c>
    </row>
    <row r="606" spans="1:18" ht="15" customHeight="1" x14ac:dyDescent="0.3">
      <c r="A606" s="5" t="str">
        <f>Sales_Data!A603</f>
        <v>2025-08-11</v>
      </c>
      <c r="B606" s="5" t="str">
        <f>Sales_Data!B603</f>
        <v>Bangalore North</v>
      </c>
      <c r="C606" s="5" t="str">
        <f>Sales_Data!C603</f>
        <v>E040</v>
      </c>
      <c r="D606" s="5" t="str">
        <f>IFERROR(INDEX(Employee_Master!$B$2:$B$44,MATCH($C606,Employee_Master!$A$2:$A$44,0)),"Not Found")</f>
        <v>Bonnie Cox</v>
      </c>
      <c r="E606" s="5" t="str">
        <f>IFERROR(INDEX(Employee_Master!$C$2:$C$44,MATCH($C606,Employee_Master!$A$2:$A$44,0)),"Not Found")</f>
        <v>Customer Support</v>
      </c>
      <c r="F606" s="5" t="str">
        <f>IFERROR(INDEX(Employee_Master!$D$2:$D$44,MATCH($C606,Employee_Master!$A$2:$A$44,0)),"Not Found")</f>
        <v>Jose Soto</v>
      </c>
      <c r="G606" s="5" t="str">
        <f>IFERROR(INDEX(Employee_Master!$E$2:$E$44,MATCH($C606,Employee_Master!$A$2:$A$44,0)),"Not Found")</f>
        <v>South</v>
      </c>
      <c r="H606" s="5" t="str">
        <f>Sales_Data!D603</f>
        <v>P010 - Running Shoes</v>
      </c>
      <c r="I606" s="5" t="str">
        <f>IFERROR(INDEX(Product_Master!$B$2:$B$30,MATCH($H606,Product_Master!$A$2:$A$30,0)),"Invalid Product Code")</f>
        <v>Apparel</v>
      </c>
      <c r="J606" s="5">
        <f>IFERROR(INDEX(Product_Master!$C$2:$C$30,MATCH($H606,Product_Master!$A$2:$A$30,0)),0)</f>
        <v>233.71</v>
      </c>
      <c r="K606" s="5">
        <f>Sales_Data!E603</f>
        <v>1</v>
      </c>
      <c r="L606" s="5">
        <f>Sales_Data!F603</f>
        <v>253.88</v>
      </c>
      <c r="M606" s="5">
        <f>Sales_Data!G603</f>
        <v>262.27</v>
      </c>
      <c r="N606" s="5" t="str">
        <f>IFERROR(INDEX(Branch_Master!$B$2:$B$9,MATCH($B606,Branch_Master!$A$2:$A$9,0)),"Not Found")</f>
        <v>Bangalore</v>
      </c>
      <c r="O606" s="5" t="str">
        <f>IFERROR(INDEX(Branch_Master!$C$2:$C$9,MATCH($B606,Branch_Master!$A$2:$A$9,0)),"Not Found")</f>
        <v>Karnataka</v>
      </c>
      <c r="P606" s="5">
        <f>IFERROR(INDEX(Targets!$B$2:$B$9,MATCH($B606,Targets!$A$2:$A$9,0)),0)</f>
        <v>900000</v>
      </c>
      <c r="Q606" s="5" t="str">
        <f t="shared" si="18"/>
        <v>No</v>
      </c>
      <c r="R606" s="5" t="str">
        <f t="shared" si="19"/>
        <v>Aug</v>
      </c>
    </row>
    <row r="607" spans="1:18" ht="15" customHeight="1" x14ac:dyDescent="0.3">
      <c r="A607" s="5" t="str">
        <f>Sales_Data!A604</f>
        <v>2025-08-11</v>
      </c>
      <c r="B607" s="5" t="str">
        <f>Sales_Data!B604</f>
        <v>Mumbai Central</v>
      </c>
      <c r="C607" s="5" t="str">
        <f>Sales_Data!C604</f>
        <v>E027</v>
      </c>
      <c r="D607" s="5" t="str">
        <f>IFERROR(INDEX(Employee_Master!$B$2:$B$44,MATCH($C607,Employee_Master!$A$2:$A$44,0)),"Not Found")</f>
        <v>Catherine Moore</v>
      </c>
      <c r="E607" s="5" t="str">
        <f>IFERROR(INDEX(Employee_Master!$C$2:$C$44,MATCH($C607,Employee_Master!$A$2:$A$44,0)),"Not Found")</f>
        <v>Customer Support</v>
      </c>
      <c r="F607" s="5" t="str">
        <f>IFERROR(INDEX(Employee_Master!$D$2:$D$44,MATCH($C607,Employee_Master!$A$2:$A$44,0)),"Not Found")</f>
        <v>Justin Glass</v>
      </c>
      <c r="G607" s="5" t="str">
        <f>IFERROR(INDEX(Employee_Master!$E$2:$E$44,MATCH($C607,Employee_Master!$A$2:$A$44,0)),"Not Found")</f>
        <v>West</v>
      </c>
      <c r="H607" s="5" t="str">
        <f>Sales_Data!D604</f>
        <v>P019 - Organic Honey</v>
      </c>
      <c r="I607" s="5" t="str">
        <f>IFERROR(INDEX(Product_Master!$B$2:$B$30,MATCH($H607,Product_Master!$A$2:$A$30,0)),"Invalid Product Code")</f>
        <v>Grocery</v>
      </c>
      <c r="J607" s="5">
        <f>IFERROR(INDEX(Product_Master!$C$2:$C$30,MATCH($H607,Product_Master!$A$2:$A$30,0)),0)</f>
        <v>482.15</v>
      </c>
      <c r="K607" s="5">
        <f>Sales_Data!E604</f>
        <v>1</v>
      </c>
      <c r="L607" s="5">
        <f>Sales_Data!F604</f>
        <v>513.13</v>
      </c>
      <c r="M607" s="5">
        <f>Sales_Data!G604</f>
        <v>530.94000000000005</v>
      </c>
      <c r="N607" s="5" t="str">
        <f>IFERROR(INDEX(Branch_Master!$B$2:$B$9,MATCH($B607,Branch_Master!$A$2:$A$9,0)),"Not Found")</f>
        <v>Mumbai</v>
      </c>
      <c r="O607" s="5" t="str">
        <f>IFERROR(INDEX(Branch_Master!$C$2:$C$9,MATCH($B607,Branch_Master!$A$2:$A$9,0)),"Not Found")</f>
        <v>Maharashtra</v>
      </c>
      <c r="P607" s="5">
        <f>IFERROR(INDEX(Targets!$B$2:$B$9,MATCH($B607,Targets!$A$2:$A$9,0)),0)</f>
        <v>900000</v>
      </c>
      <c r="Q607" s="5" t="str">
        <f t="shared" si="18"/>
        <v>No</v>
      </c>
      <c r="R607" s="5" t="str">
        <f t="shared" si="19"/>
        <v>Aug</v>
      </c>
    </row>
    <row r="608" spans="1:18" ht="15" customHeight="1" x14ac:dyDescent="0.3">
      <c r="A608" s="5" t="str">
        <f>Sales_Data!A605</f>
        <v>2025-08-11</v>
      </c>
      <c r="B608" s="5" t="str">
        <f>Sales_Data!B605</f>
        <v>Ahmedabad West</v>
      </c>
      <c r="C608" s="5" t="str">
        <f>Sales_Data!C605</f>
        <v>E017</v>
      </c>
      <c r="D608" s="5" t="str">
        <f>IFERROR(INDEX(Employee_Master!$B$2:$B$44,MATCH($C608,Employee_Master!$A$2:$A$44,0)),"Not Found")</f>
        <v>Mathew Wilson</v>
      </c>
      <c r="E608" s="5" t="str">
        <f>IFERROR(INDEX(Employee_Master!$C$2:$C$44,MATCH($C608,Employee_Master!$A$2:$A$44,0)),"Not Found")</f>
        <v>Operations</v>
      </c>
      <c r="F608" s="5" t="str">
        <f>IFERROR(INDEX(Employee_Master!$D$2:$D$44,MATCH($C608,Employee_Master!$A$2:$A$44,0)),"Not Found")</f>
        <v>Joseph Brown</v>
      </c>
      <c r="G608" s="5" t="str">
        <f>IFERROR(INDEX(Employee_Master!$E$2:$E$44,MATCH($C608,Employee_Master!$A$2:$A$44,0)),"Not Found")</f>
        <v>West</v>
      </c>
      <c r="H608" s="5" t="str">
        <f>Sales_Data!D605</f>
        <v>P011 - Winter Jacket</v>
      </c>
      <c r="I608" s="5" t="str">
        <f>IFERROR(INDEX(Product_Master!$B$2:$B$30,MATCH($H608,Product_Master!$A$2:$A$30,0)),"Invalid Product Code")</f>
        <v>Apparel</v>
      </c>
      <c r="J608" s="5">
        <f>IFERROR(INDEX(Product_Master!$C$2:$C$30,MATCH($H608,Product_Master!$A$2:$A$30,0)),0)</f>
        <v>264.97000000000003</v>
      </c>
      <c r="K608" s="5">
        <f>Sales_Data!E605</f>
        <v>2</v>
      </c>
      <c r="L608" s="5">
        <f>Sales_Data!F605</f>
        <v>497.24</v>
      </c>
      <c r="M608" s="5">
        <f>Sales_Data!G605</f>
        <v>548.67999999999995</v>
      </c>
      <c r="N608" s="5" t="str">
        <f>IFERROR(INDEX(Branch_Master!$B$2:$B$9,MATCH($B608,Branch_Master!$A$2:$A$9,0)),"Not Found")</f>
        <v>Ahmedabad</v>
      </c>
      <c r="O608" s="5" t="str">
        <f>IFERROR(INDEX(Branch_Master!$C$2:$C$9,MATCH($B608,Branch_Master!$A$2:$A$9,0)),"Not Found")</f>
        <v>Gujarat</v>
      </c>
      <c r="P608" s="5">
        <f>IFERROR(INDEX(Targets!$B$2:$B$9,MATCH($B608,Targets!$A$2:$A$9,0)),0)</f>
        <v>1590000</v>
      </c>
      <c r="Q608" s="5" t="str">
        <f t="shared" si="18"/>
        <v>No</v>
      </c>
      <c r="R608" s="5" t="str">
        <f t="shared" si="19"/>
        <v>Aug</v>
      </c>
    </row>
    <row r="609" spans="1:18" ht="15" customHeight="1" x14ac:dyDescent="0.3">
      <c r="A609" s="5" t="str">
        <f>Sales_Data!A606</f>
        <v>2025-08-11</v>
      </c>
      <c r="B609" s="5" t="str">
        <f>Sales_Data!B606</f>
        <v>Chennai South</v>
      </c>
      <c r="C609" s="5" t="str">
        <f>Sales_Data!C606</f>
        <v>E032</v>
      </c>
      <c r="D609" s="5" t="str">
        <f>IFERROR(INDEX(Employee_Master!$B$2:$B$44,MATCH($C609,Employee_Master!$A$2:$A$44,0)),"Not Found")</f>
        <v>Victor Allen</v>
      </c>
      <c r="E609" s="5" t="str">
        <f>IFERROR(INDEX(Employee_Master!$C$2:$C$44,MATCH($C609,Employee_Master!$A$2:$A$44,0)),"Not Found")</f>
        <v>Operations</v>
      </c>
      <c r="F609" s="5" t="str">
        <f>IFERROR(INDEX(Employee_Master!$D$2:$D$44,MATCH($C609,Employee_Master!$A$2:$A$44,0)),"Not Found")</f>
        <v>Robert Steele</v>
      </c>
      <c r="G609" s="5" t="str">
        <f>IFERROR(INDEX(Employee_Master!$E$2:$E$44,MATCH($C609,Employee_Master!$A$2:$A$44,0)),"Not Found")</f>
        <v>South</v>
      </c>
      <c r="H609" s="5" t="str">
        <f>Sales_Data!D606</f>
        <v>P016 - Dinner Set</v>
      </c>
      <c r="I609" s="5" t="str">
        <f>IFERROR(INDEX(Product_Master!$B$2:$B$30,MATCH($H609,Product_Master!$A$2:$A$30,0)),"Invalid Product Code")</f>
        <v>Home &amp; Kitchen</v>
      </c>
      <c r="J609" s="5">
        <f>IFERROR(INDEX(Product_Master!$C$2:$C$30,MATCH($H609,Product_Master!$A$2:$A$30,0)),0)</f>
        <v>225.06</v>
      </c>
      <c r="K609" s="5">
        <f>Sales_Data!E606</f>
        <v>2</v>
      </c>
      <c r="L609" s="5">
        <f>Sales_Data!F606</f>
        <v>493.98</v>
      </c>
      <c r="M609" s="5">
        <f>Sales_Data!G606</f>
        <v>387.63</v>
      </c>
      <c r="N609" s="5" t="str">
        <f>IFERROR(INDEX(Branch_Master!$B$2:$B$9,MATCH($B609,Branch_Master!$A$2:$A$9,0)),"Not Found")</f>
        <v>Chennai</v>
      </c>
      <c r="O609" s="5" t="str">
        <f>IFERROR(INDEX(Branch_Master!$C$2:$C$9,MATCH($B609,Branch_Master!$A$2:$A$9,0)),"Not Found")</f>
        <v>Tamil Nadu</v>
      </c>
      <c r="P609" s="5">
        <f>IFERROR(INDEX(Targets!$B$2:$B$9,MATCH($B609,Targets!$A$2:$A$9,0)),0)</f>
        <v>1910000</v>
      </c>
      <c r="Q609" s="5" t="str">
        <f t="shared" si="18"/>
        <v>Yes</v>
      </c>
      <c r="R609" s="5" t="str">
        <f t="shared" si="19"/>
        <v>Aug</v>
      </c>
    </row>
    <row r="610" spans="1:18" ht="15" customHeight="1" x14ac:dyDescent="0.3">
      <c r="A610" s="5" t="str">
        <f>Sales_Data!A607</f>
        <v>2025-08-11</v>
      </c>
      <c r="B610" s="5" t="str">
        <f>Sales_Data!B607</f>
        <v>Delhi NCR</v>
      </c>
      <c r="C610" s="5" t="str">
        <f>Sales_Data!C607</f>
        <v>E013</v>
      </c>
      <c r="D610" s="5" t="str">
        <f>IFERROR(INDEX(Employee_Master!$B$2:$B$44,MATCH($C610,Employee_Master!$A$2:$A$44,0)),"Not Found")</f>
        <v>Norma Wilson</v>
      </c>
      <c r="E610" s="5" t="str">
        <f>IFERROR(INDEX(Employee_Master!$C$2:$C$44,MATCH($C610,Employee_Master!$A$2:$A$44,0)),"Not Found")</f>
        <v>Customer Support</v>
      </c>
      <c r="F610" s="5" t="str">
        <f>IFERROR(INDEX(Employee_Master!$D$2:$D$44,MATCH($C610,Employee_Master!$A$2:$A$44,0)),"Not Found")</f>
        <v>William Oconnell</v>
      </c>
      <c r="G610" s="5" t="str">
        <f>IFERROR(INDEX(Employee_Master!$E$2:$E$44,MATCH($C610,Employee_Master!$A$2:$A$44,0)),"Not Found")</f>
        <v>North</v>
      </c>
      <c r="H610" s="5" t="str">
        <f>Sales_Data!D607</f>
        <v>P020 - Green Tea Pack</v>
      </c>
      <c r="I610" s="5" t="str">
        <f>IFERROR(INDEX(Product_Master!$B$2:$B$30,MATCH($H610,Product_Master!$A$2:$A$30,0)),"Invalid Product Code")</f>
        <v>Grocery</v>
      </c>
      <c r="J610" s="5">
        <f>IFERROR(INDEX(Product_Master!$C$2:$C$30,MATCH($H610,Product_Master!$A$2:$A$30,0)),0)</f>
        <v>305.39</v>
      </c>
      <c r="K610" s="5">
        <f>Sales_Data!E607</f>
        <v>1</v>
      </c>
      <c r="L610" s="5">
        <f>Sales_Data!F607</f>
        <v>299.95999999999998</v>
      </c>
      <c r="M610" s="5">
        <f>Sales_Data!G607</f>
        <v>287.41000000000003</v>
      </c>
      <c r="N610" s="5" t="str">
        <f>IFERROR(INDEX(Branch_Master!$B$2:$B$9,MATCH($B610,Branch_Master!$A$2:$A$9,0)),"Not Found")</f>
        <v>New Delhi</v>
      </c>
      <c r="O610" s="5" t="str">
        <f>IFERROR(INDEX(Branch_Master!$C$2:$C$9,MATCH($B610,Branch_Master!$A$2:$A$9,0)),"Not Found")</f>
        <v>Delhi</v>
      </c>
      <c r="P610" s="5">
        <f>IFERROR(INDEX(Targets!$B$2:$B$9,MATCH($B610,Targets!$A$2:$A$9,0)),0)</f>
        <v>2070000</v>
      </c>
      <c r="Q610" s="5" t="str">
        <f t="shared" si="18"/>
        <v>Yes</v>
      </c>
      <c r="R610" s="5" t="str">
        <f t="shared" si="19"/>
        <v>Aug</v>
      </c>
    </row>
    <row r="611" spans="1:18" ht="15" customHeight="1" x14ac:dyDescent="0.3">
      <c r="A611" s="5" t="str">
        <f>Sales_Data!A608</f>
        <v>2025-08-12</v>
      </c>
      <c r="B611" s="5" t="str">
        <f>Sales_Data!B608</f>
        <v>Mumbai Central</v>
      </c>
      <c r="C611" s="5" t="str">
        <f>Sales_Data!C608</f>
        <v>E025</v>
      </c>
      <c r="D611" s="5" t="str">
        <f>IFERROR(INDEX(Employee_Master!$B$2:$B$44,MATCH($C611,Employee_Master!$A$2:$A$44,0)),"Not Found")</f>
        <v>Jacqueline Chavez</v>
      </c>
      <c r="E611" s="5" t="str">
        <f>IFERROR(INDEX(Employee_Master!$C$2:$C$44,MATCH($C611,Employee_Master!$A$2:$A$44,0)),"Not Found")</f>
        <v>Sales</v>
      </c>
      <c r="F611" s="5" t="str">
        <f>IFERROR(INDEX(Employee_Master!$D$2:$D$44,MATCH($C611,Employee_Master!$A$2:$A$44,0)),"Not Found")</f>
        <v>Justin Glass</v>
      </c>
      <c r="G611" s="5" t="str">
        <f>IFERROR(INDEX(Employee_Master!$E$2:$E$44,MATCH($C611,Employee_Master!$A$2:$A$44,0)),"Not Found")</f>
        <v>West</v>
      </c>
      <c r="H611" s="5" t="str">
        <f>Sales_Data!D608</f>
        <v>P021 - Assorted Spices Kit</v>
      </c>
      <c r="I611" s="5" t="str">
        <f>IFERROR(INDEX(Product_Master!$B$2:$B$30,MATCH($H611,Product_Master!$A$2:$A$30,0)),"Invalid Product Code")</f>
        <v>Grocery</v>
      </c>
      <c r="J611" s="5">
        <f>IFERROR(INDEX(Product_Master!$C$2:$C$30,MATCH($H611,Product_Master!$A$2:$A$30,0)),0)</f>
        <v>1060.97</v>
      </c>
      <c r="K611" s="5">
        <f>Sales_Data!E608</f>
        <v>7</v>
      </c>
      <c r="L611" s="5">
        <f>Sales_Data!F608</f>
        <v>7909.8</v>
      </c>
      <c r="M611" s="5">
        <f>Sales_Data!G608</f>
        <v>7684.78</v>
      </c>
      <c r="N611" s="5" t="str">
        <f>IFERROR(INDEX(Branch_Master!$B$2:$B$9,MATCH($B611,Branch_Master!$A$2:$A$9,0)),"Not Found")</f>
        <v>Mumbai</v>
      </c>
      <c r="O611" s="5" t="str">
        <f>IFERROR(INDEX(Branch_Master!$C$2:$C$9,MATCH($B611,Branch_Master!$A$2:$A$9,0)),"Not Found")</f>
        <v>Maharashtra</v>
      </c>
      <c r="P611" s="5">
        <f>IFERROR(INDEX(Targets!$B$2:$B$9,MATCH($B611,Targets!$A$2:$A$9,0)),0)</f>
        <v>900000</v>
      </c>
      <c r="Q611" s="5" t="str">
        <f t="shared" si="18"/>
        <v>Yes</v>
      </c>
      <c r="R611" s="5" t="str">
        <f t="shared" si="19"/>
        <v>Aug</v>
      </c>
    </row>
    <row r="612" spans="1:18" ht="15" customHeight="1" x14ac:dyDescent="0.3">
      <c r="A612" s="5" t="str">
        <f>Sales_Data!A609</f>
        <v>2025-08-12</v>
      </c>
      <c r="B612" s="5" t="str">
        <f>Sales_Data!B609</f>
        <v>Ahmedabad West</v>
      </c>
      <c r="C612" s="5" t="str">
        <f>Sales_Data!C609</f>
        <v>E017</v>
      </c>
      <c r="D612" s="5" t="str">
        <f>IFERROR(INDEX(Employee_Master!$B$2:$B$44,MATCH($C612,Employee_Master!$A$2:$A$44,0)),"Not Found")</f>
        <v>Mathew Wilson</v>
      </c>
      <c r="E612" s="5" t="str">
        <f>IFERROR(INDEX(Employee_Master!$C$2:$C$44,MATCH($C612,Employee_Master!$A$2:$A$44,0)),"Not Found")</f>
        <v>Operations</v>
      </c>
      <c r="F612" s="5" t="str">
        <f>IFERROR(INDEX(Employee_Master!$D$2:$D$44,MATCH($C612,Employee_Master!$A$2:$A$44,0)),"Not Found")</f>
        <v>Joseph Brown</v>
      </c>
      <c r="G612" s="5" t="str">
        <f>IFERROR(INDEX(Employee_Master!$E$2:$E$44,MATCH($C612,Employee_Master!$A$2:$A$44,0)),"Not Found")</f>
        <v>West</v>
      </c>
      <c r="H612" s="5" t="str">
        <f>Sales_Data!D609</f>
        <v>P027 - Cricket Bat</v>
      </c>
      <c r="I612" s="5" t="str">
        <f>IFERROR(INDEX(Product_Master!$B$2:$B$30,MATCH($H612,Product_Master!$A$2:$A$30,0)),"Invalid Product Code")</f>
        <v>Sports</v>
      </c>
      <c r="J612" s="5">
        <f>IFERROR(INDEX(Product_Master!$C$2:$C$30,MATCH($H612,Product_Master!$A$2:$A$30,0)),0)</f>
        <v>822.7</v>
      </c>
      <c r="K612" s="5">
        <f>Sales_Data!E609</f>
        <v>11</v>
      </c>
      <c r="L612" s="5">
        <f>Sales_Data!F609</f>
        <v>9360.83</v>
      </c>
      <c r="M612" s="5">
        <f>Sales_Data!G609</f>
        <v>8673.9</v>
      </c>
      <c r="N612" s="5" t="str">
        <f>IFERROR(INDEX(Branch_Master!$B$2:$B$9,MATCH($B612,Branch_Master!$A$2:$A$9,0)),"Not Found")</f>
        <v>Ahmedabad</v>
      </c>
      <c r="O612" s="5" t="str">
        <f>IFERROR(INDEX(Branch_Master!$C$2:$C$9,MATCH($B612,Branch_Master!$A$2:$A$9,0)),"Not Found")</f>
        <v>Gujarat</v>
      </c>
      <c r="P612" s="5">
        <f>IFERROR(INDEX(Targets!$B$2:$B$9,MATCH($B612,Targets!$A$2:$A$9,0)),0)</f>
        <v>1590000</v>
      </c>
      <c r="Q612" s="5" t="str">
        <f t="shared" si="18"/>
        <v>Yes</v>
      </c>
      <c r="R612" s="5" t="str">
        <f t="shared" si="19"/>
        <v>Aug</v>
      </c>
    </row>
    <row r="613" spans="1:18" ht="15" customHeight="1" x14ac:dyDescent="0.3">
      <c r="A613" s="5" t="str">
        <f>Sales_Data!A610</f>
        <v>2025-08-13</v>
      </c>
      <c r="B613" s="5" t="str">
        <f>Sales_Data!B610</f>
        <v>Bangalore North</v>
      </c>
      <c r="C613" s="5" t="str">
        <f>Sales_Data!C610</f>
        <v>E006</v>
      </c>
      <c r="D613" s="5" t="str">
        <f>IFERROR(INDEX(Employee_Master!$B$2:$B$44,MATCH($C613,Employee_Master!$A$2:$A$44,0)),"Not Found")</f>
        <v>Dylan Jones</v>
      </c>
      <c r="E613" s="5" t="str">
        <f>IFERROR(INDEX(Employee_Master!$C$2:$C$44,MATCH($C613,Employee_Master!$A$2:$A$44,0)),"Not Found")</f>
        <v>Sales</v>
      </c>
      <c r="F613" s="5" t="str">
        <f>IFERROR(INDEX(Employee_Master!$D$2:$D$44,MATCH($C613,Employee_Master!$A$2:$A$44,0)),"Not Found")</f>
        <v>Jose Soto</v>
      </c>
      <c r="G613" s="5" t="str">
        <f>IFERROR(INDEX(Employee_Master!$E$2:$E$44,MATCH($C613,Employee_Master!$A$2:$A$44,0)),"Not Found")</f>
        <v>South</v>
      </c>
      <c r="H613" s="5" t="str">
        <f>Sales_Data!D610</f>
        <v>P009 - Formal Shirt</v>
      </c>
      <c r="I613" s="5" t="str">
        <f>IFERROR(INDEX(Product_Master!$B$2:$B$30,MATCH($H613,Product_Master!$A$2:$A$30,0)),"Invalid Product Code")</f>
        <v>Apparel</v>
      </c>
      <c r="J613" s="5">
        <f>IFERROR(INDEX(Product_Master!$C$2:$C$30,MATCH($H613,Product_Master!$A$2:$A$30,0)),0)</f>
        <v>661.65</v>
      </c>
      <c r="K613" s="5">
        <f>Sales_Data!E610</f>
        <v>7</v>
      </c>
      <c r="L613" s="5">
        <f>Sales_Data!F610</f>
        <v>4880.68</v>
      </c>
      <c r="M613" s="5">
        <f>Sales_Data!G610</f>
        <v>5279.08</v>
      </c>
      <c r="N613" s="5" t="str">
        <f>IFERROR(INDEX(Branch_Master!$B$2:$B$9,MATCH($B613,Branch_Master!$A$2:$A$9,0)),"Not Found")</f>
        <v>Bangalore</v>
      </c>
      <c r="O613" s="5" t="str">
        <f>IFERROR(INDEX(Branch_Master!$C$2:$C$9,MATCH($B613,Branch_Master!$A$2:$A$9,0)),"Not Found")</f>
        <v>Karnataka</v>
      </c>
      <c r="P613" s="5">
        <f>IFERROR(INDEX(Targets!$B$2:$B$9,MATCH($B613,Targets!$A$2:$A$9,0)),0)</f>
        <v>900000</v>
      </c>
      <c r="Q613" s="5" t="str">
        <f t="shared" si="18"/>
        <v>No</v>
      </c>
      <c r="R613" s="5" t="str">
        <f t="shared" si="19"/>
        <v>Aug</v>
      </c>
    </row>
    <row r="614" spans="1:18" ht="15" customHeight="1" x14ac:dyDescent="0.3">
      <c r="A614" s="5" t="str">
        <f>Sales_Data!A611</f>
        <v>2025-08-13</v>
      </c>
      <c r="B614" s="5" t="str">
        <f>Sales_Data!B611</f>
        <v>Chennai South</v>
      </c>
      <c r="C614" s="5" t="str">
        <f>Sales_Data!C611</f>
        <v>E015</v>
      </c>
      <c r="D614" s="5" t="str">
        <f>IFERROR(INDEX(Employee_Master!$B$2:$B$44,MATCH($C614,Employee_Master!$A$2:$A$44,0)),"Not Found")</f>
        <v>Cassandra Hansen</v>
      </c>
      <c r="E614" s="5" t="str">
        <f>IFERROR(INDEX(Employee_Master!$C$2:$C$44,MATCH($C614,Employee_Master!$A$2:$A$44,0)),"Not Found")</f>
        <v>Customer Support</v>
      </c>
      <c r="F614" s="5" t="str">
        <f>IFERROR(INDEX(Employee_Master!$D$2:$D$44,MATCH($C614,Employee_Master!$A$2:$A$44,0)),"Not Found")</f>
        <v>Robert Steele</v>
      </c>
      <c r="G614" s="5" t="str">
        <f>IFERROR(INDEX(Employee_Master!$E$2:$E$44,MATCH($C614,Employee_Master!$A$2:$A$44,0)),"Not Found")</f>
        <v>South</v>
      </c>
      <c r="H614" s="5" t="str">
        <f>Sales_Data!D611</f>
        <v>P013 - Mixer Grinder</v>
      </c>
      <c r="I614" s="5" t="str">
        <f>IFERROR(INDEX(Product_Master!$B$2:$B$30,MATCH($H614,Product_Master!$A$2:$A$30,0)),"Invalid Product Code")</f>
        <v>Home &amp; Kitchen</v>
      </c>
      <c r="J614" s="5">
        <f>IFERROR(INDEX(Product_Master!$C$2:$C$30,MATCH($H614,Product_Master!$A$2:$A$30,0)),0)</f>
        <v>798.53</v>
      </c>
      <c r="K614" s="5">
        <f>Sales_Data!E611</f>
        <v>12</v>
      </c>
      <c r="L614" s="5">
        <f>Sales_Data!F611</f>
        <v>9808.0499999999993</v>
      </c>
      <c r="M614" s="5">
        <f>Sales_Data!G611</f>
        <v>10345.23</v>
      </c>
      <c r="N614" s="5" t="str">
        <f>IFERROR(INDEX(Branch_Master!$B$2:$B$9,MATCH($B614,Branch_Master!$A$2:$A$9,0)),"Not Found")</f>
        <v>Chennai</v>
      </c>
      <c r="O614" s="5" t="str">
        <f>IFERROR(INDEX(Branch_Master!$C$2:$C$9,MATCH($B614,Branch_Master!$A$2:$A$9,0)),"Not Found")</f>
        <v>Tamil Nadu</v>
      </c>
      <c r="P614" s="5">
        <f>IFERROR(INDEX(Targets!$B$2:$B$9,MATCH($B614,Targets!$A$2:$A$9,0)),0)</f>
        <v>1910000</v>
      </c>
      <c r="Q614" s="5" t="str">
        <f t="shared" si="18"/>
        <v>No</v>
      </c>
      <c r="R614" s="5" t="str">
        <f t="shared" si="19"/>
        <v>Aug</v>
      </c>
    </row>
    <row r="615" spans="1:18" ht="15" customHeight="1" x14ac:dyDescent="0.3">
      <c r="A615" s="5" t="str">
        <f>Sales_Data!A612</f>
        <v>2025-08-13</v>
      </c>
      <c r="B615" s="5" t="str">
        <f>Sales_Data!B612</f>
        <v>Kolkata Central</v>
      </c>
      <c r="C615" s="5" t="str">
        <f>Sales_Data!C612</f>
        <v>E029</v>
      </c>
      <c r="D615" s="5" t="str">
        <f>IFERROR(INDEX(Employee_Master!$B$2:$B$44,MATCH($C615,Employee_Master!$A$2:$A$44,0)),"Not Found")</f>
        <v>Patrick Shepard</v>
      </c>
      <c r="E615" s="5" t="str">
        <f>IFERROR(INDEX(Employee_Master!$C$2:$C$44,MATCH($C615,Employee_Master!$A$2:$A$44,0)),"Not Found")</f>
        <v>Sales</v>
      </c>
      <c r="F615" s="5" t="str">
        <f>IFERROR(INDEX(Employee_Master!$D$2:$D$44,MATCH($C615,Employee_Master!$A$2:$A$44,0)),"Not Found")</f>
        <v>Lisa Moore</v>
      </c>
      <c r="G615" s="5" t="str">
        <f>IFERROR(INDEX(Employee_Master!$E$2:$E$44,MATCH($C615,Employee_Master!$A$2:$A$44,0)),"Not Found")</f>
        <v>East</v>
      </c>
      <c r="H615" s="5" t="str">
        <f>Sales_Data!D612</f>
        <v>P014 - Air Fryer</v>
      </c>
      <c r="I615" s="5" t="str">
        <f>IFERROR(INDEX(Product_Master!$B$2:$B$30,MATCH($H615,Product_Master!$A$2:$A$30,0)),"Invalid Product Code")</f>
        <v>Home &amp; Kitchen</v>
      </c>
      <c r="J615" s="5">
        <f>IFERROR(INDEX(Product_Master!$C$2:$C$30,MATCH($H615,Product_Master!$A$2:$A$30,0)),0)</f>
        <v>729.85</v>
      </c>
      <c r="K615" s="5">
        <f>Sales_Data!E612</f>
        <v>10</v>
      </c>
      <c r="L615" s="5">
        <f>Sales_Data!F612</f>
        <v>6779.19</v>
      </c>
      <c r="M615" s="5">
        <f>Sales_Data!G612</f>
        <v>8205.7999999999993</v>
      </c>
      <c r="N615" s="5" t="str">
        <f>IFERROR(INDEX(Branch_Master!$B$2:$B$9,MATCH($B615,Branch_Master!$A$2:$A$9,0)),"Not Found")</f>
        <v>Kolkata</v>
      </c>
      <c r="O615" s="5" t="str">
        <f>IFERROR(INDEX(Branch_Master!$C$2:$C$9,MATCH($B615,Branch_Master!$A$2:$A$9,0)),"Not Found")</f>
        <v>West Bengal</v>
      </c>
      <c r="P615" s="5">
        <f>IFERROR(INDEX(Targets!$B$2:$B$9,MATCH($B615,Targets!$A$2:$A$9,0)),0)</f>
        <v>1910000</v>
      </c>
      <c r="Q615" s="5" t="str">
        <f t="shared" si="18"/>
        <v>No</v>
      </c>
      <c r="R615" s="5" t="str">
        <f t="shared" si="19"/>
        <v>Aug</v>
      </c>
    </row>
    <row r="616" spans="1:18" ht="15" customHeight="1" x14ac:dyDescent="0.3">
      <c r="A616" s="5" t="str">
        <f>Sales_Data!A613</f>
        <v>2025-08-14</v>
      </c>
      <c r="B616" s="5" t="str">
        <f>Sales_Data!B613</f>
        <v>Mumbai Central</v>
      </c>
      <c r="C616" s="5" t="str">
        <f>Sales_Data!C613</f>
        <v>E016</v>
      </c>
      <c r="D616" s="5" t="str">
        <f>IFERROR(INDEX(Employee_Master!$B$2:$B$44,MATCH($C616,Employee_Master!$A$2:$A$44,0)),"Not Found")</f>
        <v>Connor Dennis</v>
      </c>
      <c r="E616" s="5" t="str">
        <f>IFERROR(INDEX(Employee_Master!$C$2:$C$44,MATCH($C616,Employee_Master!$A$2:$A$44,0)),"Not Found")</f>
        <v>Sales</v>
      </c>
      <c r="F616" s="5" t="str">
        <f>IFERROR(INDEX(Employee_Master!$D$2:$D$44,MATCH($C616,Employee_Master!$A$2:$A$44,0)),"Not Found")</f>
        <v>Justin Glass</v>
      </c>
      <c r="G616" s="5" t="str">
        <f>IFERROR(INDEX(Employee_Master!$E$2:$E$44,MATCH($C616,Employee_Master!$A$2:$A$44,0)),"Not Found")</f>
        <v>West</v>
      </c>
      <c r="H616" s="5" t="str">
        <f>Sales_Data!D613</f>
        <v>P012 - Non-Stick Pan</v>
      </c>
      <c r="I616" s="5" t="str">
        <f>IFERROR(INDEX(Product_Master!$B$2:$B$30,MATCH($H616,Product_Master!$A$2:$A$30,0)),"Invalid Product Code")</f>
        <v>Home &amp; Kitchen</v>
      </c>
      <c r="J616" s="5">
        <f>IFERROR(INDEX(Product_Master!$C$2:$C$30,MATCH($H616,Product_Master!$A$2:$A$30,0)),0)</f>
        <v>353.18</v>
      </c>
      <c r="K616" s="5">
        <f>Sales_Data!E613</f>
        <v>7</v>
      </c>
      <c r="L616" s="5">
        <f>Sales_Data!F613</f>
        <v>2600.2800000000002</v>
      </c>
      <c r="M616" s="5">
        <f>Sales_Data!G613</f>
        <v>2157.3000000000002</v>
      </c>
      <c r="N616" s="5" t="str">
        <f>IFERROR(INDEX(Branch_Master!$B$2:$B$9,MATCH($B616,Branch_Master!$A$2:$A$9,0)),"Not Found")</f>
        <v>Mumbai</v>
      </c>
      <c r="O616" s="5" t="str">
        <f>IFERROR(INDEX(Branch_Master!$C$2:$C$9,MATCH($B616,Branch_Master!$A$2:$A$9,0)),"Not Found")</f>
        <v>Maharashtra</v>
      </c>
      <c r="P616" s="5">
        <f>IFERROR(INDEX(Targets!$B$2:$B$9,MATCH($B616,Targets!$A$2:$A$9,0)),0)</f>
        <v>900000</v>
      </c>
      <c r="Q616" s="5" t="str">
        <f t="shared" si="18"/>
        <v>Yes</v>
      </c>
      <c r="R616" s="5" t="str">
        <f t="shared" si="19"/>
        <v>Aug</v>
      </c>
    </row>
    <row r="617" spans="1:18" ht="15" customHeight="1" x14ac:dyDescent="0.3">
      <c r="A617" s="5" t="str">
        <f>Sales_Data!A614</f>
        <v>2025-08-14</v>
      </c>
      <c r="B617" s="5" t="str">
        <f>Sales_Data!B614</f>
        <v>Ahmedabad West</v>
      </c>
      <c r="C617" s="5" t="str">
        <f>Sales_Data!C614</f>
        <v>E002</v>
      </c>
      <c r="D617" s="5" t="str">
        <f>IFERROR(INDEX(Employee_Master!$B$2:$B$44,MATCH($C617,Employee_Master!$A$2:$A$44,0)),"Not Found")</f>
        <v>Jeremiah Kirby</v>
      </c>
      <c r="E617" s="5" t="str">
        <f>IFERROR(INDEX(Employee_Master!$C$2:$C$44,MATCH($C617,Employee_Master!$A$2:$A$44,0)),"Not Found")</f>
        <v>Marketing</v>
      </c>
      <c r="F617" s="5" t="str">
        <f>IFERROR(INDEX(Employee_Master!$D$2:$D$44,MATCH($C617,Employee_Master!$A$2:$A$44,0)),"Not Found")</f>
        <v>Joseph Brown</v>
      </c>
      <c r="G617" s="5" t="str">
        <f>IFERROR(INDEX(Employee_Master!$E$2:$E$44,MATCH($C617,Employee_Master!$A$2:$A$44,0)),"Not Found")</f>
        <v>West</v>
      </c>
      <c r="H617" s="5" t="str">
        <f>Sales_Data!D614</f>
        <v>P003 - Bluetooth Speaker</v>
      </c>
      <c r="I617" s="5" t="str">
        <f>IFERROR(INDEX(Product_Master!$B$2:$B$30,MATCH($H617,Product_Master!$A$2:$A$30,0)),"Invalid Product Code")</f>
        <v>Electronics</v>
      </c>
      <c r="J617" s="5">
        <f>IFERROR(INDEX(Product_Master!$C$2:$C$30,MATCH($H617,Product_Master!$A$2:$A$30,0)),0)</f>
        <v>351.01</v>
      </c>
      <c r="K617" s="5">
        <f>Sales_Data!E614</f>
        <v>8</v>
      </c>
      <c r="L617" s="5">
        <f>Sales_Data!F614</f>
        <v>3007.48</v>
      </c>
      <c r="M617" s="5">
        <f>Sales_Data!G614</f>
        <v>3036.21</v>
      </c>
      <c r="N617" s="5" t="str">
        <f>IFERROR(INDEX(Branch_Master!$B$2:$B$9,MATCH($B617,Branch_Master!$A$2:$A$9,0)),"Not Found")</f>
        <v>Ahmedabad</v>
      </c>
      <c r="O617" s="5" t="str">
        <f>IFERROR(INDEX(Branch_Master!$C$2:$C$9,MATCH($B617,Branch_Master!$A$2:$A$9,0)),"Not Found")</f>
        <v>Gujarat</v>
      </c>
      <c r="P617" s="5">
        <f>IFERROR(INDEX(Targets!$B$2:$B$9,MATCH($B617,Targets!$A$2:$A$9,0)),0)</f>
        <v>1590000</v>
      </c>
      <c r="Q617" s="5" t="str">
        <f t="shared" si="18"/>
        <v>No</v>
      </c>
      <c r="R617" s="5" t="str">
        <f t="shared" si="19"/>
        <v>Aug</v>
      </c>
    </row>
    <row r="618" spans="1:18" ht="15" customHeight="1" x14ac:dyDescent="0.3">
      <c r="A618" s="5" t="str">
        <f>Sales_Data!A615</f>
        <v>2025-08-14</v>
      </c>
      <c r="B618" s="5" t="str">
        <f>Sales_Data!B615</f>
        <v>Delhi NCR</v>
      </c>
      <c r="C618" s="5" t="str">
        <f>Sales_Data!C615</f>
        <v>E031</v>
      </c>
      <c r="D618" s="5" t="str">
        <f>IFERROR(INDEX(Employee_Master!$B$2:$B$44,MATCH($C618,Employee_Master!$A$2:$A$44,0)),"Not Found")</f>
        <v>Jennifer Garcia</v>
      </c>
      <c r="E618" s="5" t="str">
        <f>IFERROR(INDEX(Employee_Master!$C$2:$C$44,MATCH($C618,Employee_Master!$A$2:$A$44,0)),"Not Found")</f>
        <v>Sales</v>
      </c>
      <c r="F618" s="5" t="str">
        <f>IFERROR(INDEX(Employee_Master!$D$2:$D$44,MATCH($C618,Employee_Master!$A$2:$A$44,0)),"Not Found")</f>
        <v>William Oconnell</v>
      </c>
      <c r="G618" s="5" t="str">
        <f>IFERROR(INDEX(Employee_Master!$E$2:$E$44,MATCH($C618,Employee_Master!$A$2:$A$44,0)),"Not Found")</f>
        <v>North</v>
      </c>
      <c r="H618" s="5" t="str">
        <f>Sales_Data!D615</f>
        <v>P025 - Lipstick Set</v>
      </c>
      <c r="I618" s="5" t="str">
        <f>IFERROR(INDEX(Product_Master!$B$2:$B$30,MATCH($H618,Product_Master!$A$2:$A$30,0)),"Invalid Product Code")</f>
        <v>Beauty</v>
      </c>
      <c r="J618" s="5">
        <f>IFERROR(INDEX(Product_Master!$C$2:$C$30,MATCH($H618,Product_Master!$A$2:$A$30,0)),0)</f>
        <v>765.9</v>
      </c>
      <c r="K618" s="5">
        <f>Sales_Data!E615</f>
        <v>5</v>
      </c>
      <c r="L618" s="5">
        <f>Sales_Data!F615</f>
        <v>3819.89</v>
      </c>
      <c r="M618" s="5">
        <f>Sales_Data!G615</f>
        <v>3287.71</v>
      </c>
      <c r="N618" s="5" t="str">
        <f>IFERROR(INDEX(Branch_Master!$B$2:$B$9,MATCH($B618,Branch_Master!$A$2:$A$9,0)),"Not Found")</f>
        <v>New Delhi</v>
      </c>
      <c r="O618" s="5" t="str">
        <f>IFERROR(INDEX(Branch_Master!$C$2:$C$9,MATCH($B618,Branch_Master!$A$2:$A$9,0)),"Not Found")</f>
        <v>Delhi</v>
      </c>
      <c r="P618" s="5">
        <f>IFERROR(INDEX(Targets!$B$2:$B$9,MATCH($B618,Targets!$A$2:$A$9,0)),0)</f>
        <v>2070000</v>
      </c>
      <c r="Q618" s="5" t="str">
        <f t="shared" si="18"/>
        <v>Yes</v>
      </c>
      <c r="R618" s="5" t="str">
        <f t="shared" si="19"/>
        <v>Aug</v>
      </c>
    </row>
    <row r="619" spans="1:18" ht="15" customHeight="1" x14ac:dyDescent="0.3">
      <c r="A619" s="5" t="str">
        <f>Sales_Data!A616</f>
        <v>2025-08-14</v>
      </c>
      <c r="B619" s="5" t="str">
        <f>Sales_Data!B616</f>
        <v>Hyderabad Hitech</v>
      </c>
      <c r="C619" s="5" t="str">
        <f>Sales_Data!C616</f>
        <v>E026</v>
      </c>
      <c r="D619" s="5" t="str">
        <f>IFERROR(INDEX(Employee_Master!$B$2:$B$44,MATCH($C619,Employee_Master!$A$2:$A$44,0)),"Not Found")</f>
        <v>Karen Andrews</v>
      </c>
      <c r="E619" s="5" t="str">
        <f>IFERROR(INDEX(Employee_Master!$C$2:$C$44,MATCH($C619,Employee_Master!$A$2:$A$44,0)),"Not Found")</f>
        <v>Marketing</v>
      </c>
      <c r="F619" s="5" t="str">
        <f>IFERROR(INDEX(Employee_Master!$D$2:$D$44,MATCH($C619,Employee_Master!$A$2:$A$44,0)),"Not Found")</f>
        <v>Anna Turner</v>
      </c>
      <c r="G619" s="5" t="str">
        <f>IFERROR(INDEX(Employee_Master!$E$2:$E$44,MATCH($C619,Employee_Master!$A$2:$A$44,0)),"Not Found")</f>
        <v>South</v>
      </c>
      <c r="H619" s="5" t="str">
        <f>Sales_Data!D616</f>
        <v>P015 - Water Bottle</v>
      </c>
      <c r="I619" s="5" t="str">
        <f>IFERROR(INDEX(Product_Master!$B$2:$B$30,MATCH($H619,Product_Master!$A$2:$A$30,0)),"Invalid Product Code")</f>
        <v>Home &amp; Kitchen</v>
      </c>
      <c r="J619" s="5">
        <f>IFERROR(INDEX(Product_Master!$C$2:$C$30,MATCH($H619,Product_Master!$A$2:$A$30,0)),0)</f>
        <v>197.57</v>
      </c>
      <c r="K619" s="5">
        <f>Sales_Data!E616</f>
        <v>3</v>
      </c>
      <c r="L619" s="5">
        <f>Sales_Data!F616</f>
        <v>535.16999999999996</v>
      </c>
      <c r="M619" s="5">
        <f>Sales_Data!G616</f>
        <v>595.23</v>
      </c>
      <c r="N619" s="5" t="str">
        <f>IFERROR(INDEX(Branch_Master!$B$2:$B$9,MATCH($B619,Branch_Master!$A$2:$A$9,0)),"Not Found")</f>
        <v>Hyderabad</v>
      </c>
      <c r="O619" s="5" t="str">
        <f>IFERROR(INDEX(Branch_Master!$C$2:$C$9,MATCH($B619,Branch_Master!$A$2:$A$9,0)),"Not Found")</f>
        <v>Telangana</v>
      </c>
      <c r="P619" s="5">
        <f>IFERROR(INDEX(Targets!$B$2:$B$9,MATCH($B619,Targets!$A$2:$A$9,0)),0)</f>
        <v>1210000</v>
      </c>
      <c r="Q619" s="5" t="str">
        <f t="shared" si="18"/>
        <v>No</v>
      </c>
      <c r="R619" s="5" t="str">
        <f t="shared" si="19"/>
        <v>Aug</v>
      </c>
    </row>
    <row r="620" spans="1:18" ht="15" customHeight="1" x14ac:dyDescent="0.3">
      <c r="A620" s="5" t="str">
        <f>Sales_Data!A617</f>
        <v>2025-08-14</v>
      </c>
      <c r="B620" s="5" t="str">
        <f>Sales_Data!B617</f>
        <v>Ahmedabad West</v>
      </c>
      <c r="C620" s="5" t="str">
        <f>Sales_Data!C617</f>
        <v>E017</v>
      </c>
      <c r="D620" s="5" t="str">
        <f>IFERROR(INDEX(Employee_Master!$B$2:$B$44,MATCH($C620,Employee_Master!$A$2:$A$44,0)),"Not Found")</f>
        <v>Mathew Wilson</v>
      </c>
      <c r="E620" s="5" t="str">
        <f>IFERROR(INDEX(Employee_Master!$C$2:$C$44,MATCH($C620,Employee_Master!$A$2:$A$44,0)),"Not Found")</f>
        <v>Operations</v>
      </c>
      <c r="F620" s="5" t="str">
        <f>IFERROR(INDEX(Employee_Master!$D$2:$D$44,MATCH($C620,Employee_Master!$A$2:$A$44,0)),"Not Found")</f>
        <v>Joseph Brown</v>
      </c>
      <c r="G620" s="5" t="str">
        <f>IFERROR(INDEX(Employee_Master!$E$2:$E$44,MATCH($C620,Employee_Master!$A$2:$A$44,0)),"Not Found")</f>
        <v>West</v>
      </c>
      <c r="H620" s="5" t="str">
        <f>Sales_Data!D617</f>
        <v>P023 - Sunscreen SPF50</v>
      </c>
      <c r="I620" s="5" t="str">
        <f>IFERROR(INDEX(Product_Master!$B$2:$B$30,MATCH($H620,Product_Master!$A$2:$A$30,0)),"Invalid Product Code")</f>
        <v>Beauty</v>
      </c>
      <c r="J620" s="5">
        <f>IFERROR(INDEX(Product_Master!$C$2:$C$30,MATCH($H620,Product_Master!$A$2:$A$30,0)),0)</f>
        <v>818.95</v>
      </c>
      <c r="K620" s="5">
        <f>Sales_Data!E617</f>
        <v>2</v>
      </c>
      <c r="L620" s="5">
        <f>Sales_Data!F617</f>
        <v>1722.36</v>
      </c>
      <c r="M620" s="5">
        <f>Sales_Data!G617</f>
        <v>1608.13</v>
      </c>
      <c r="N620" s="5" t="str">
        <f>IFERROR(INDEX(Branch_Master!$B$2:$B$9,MATCH($B620,Branch_Master!$A$2:$A$9,0)),"Not Found")</f>
        <v>Ahmedabad</v>
      </c>
      <c r="O620" s="5" t="str">
        <f>IFERROR(INDEX(Branch_Master!$C$2:$C$9,MATCH($B620,Branch_Master!$A$2:$A$9,0)),"Not Found")</f>
        <v>Gujarat</v>
      </c>
      <c r="P620" s="5">
        <f>IFERROR(INDEX(Targets!$B$2:$B$9,MATCH($B620,Targets!$A$2:$A$9,0)),0)</f>
        <v>1590000</v>
      </c>
      <c r="Q620" s="5" t="str">
        <f t="shared" si="18"/>
        <v>Yes</v>
      </c>
      <c r="R620" s="5" t="str">
        <f t="shared" si="19"/>
        <v>Aug</v>
      </c>
    </row>
    <row r="621" spans="1:18" ht="15" customHeight="1" x14ac:dyDescent="0.3">
      <c r="A621" s="5" t="str">
        <f>Sales_Data!A618</f>
        <v>2025-08-15</v>
      </c>
      <c r="B621" s="5" t="str">
        <f>Sales_Data!B618</f>
        <v>Pune East</v>
      </c>
      <c r="C621" s="5" t="str">
        <f>Sales_Data!C618</f>
        <v>E034</v>
      </c>
      <c r="D621" s="5" t="str">
        <f>IFERROR(INDEX(Employee_Master!$B$2:$B$44,MATCH($C621,Employee_Master!$A$2:$A$44,0)),"Not Found")</f>
        <v>Elaine Thompson</v>
      </c>
      <c r="E621" s="5" t="str">
        <f>IFERROR(INDEX(Employee_Master!$C$2:$C$44,MATCH($C621,Employee_Master!$A$2:$A$44,0)),"Not Found")</f>
        <v>Marketing</v>
      </c>
      <c r="F621" s="5" t="str">
        <f>IFERROR(INDEX(Employee_Master!$D$2:$D$44,MATCH($C621,Employee_Master!$A$2:$A$44,0)),"Not Found")</f>
        <v>Jordan Matthews</v>
      </c>
      <c r="G621" s="5" t="str">
        <f>IFERROR(INDEX(Employee_Master!$E$2:$E$44,MATCH($C621,Employee_Master!$A$2:$A$44,0)),"Not Found")</f>
        <v>West</v>
      </c>
      <c r="H621" s="5" t="str">
        <f>Sales_Data!D618</f>
        <v>P022 - Face Wash</v>
      </c>
      <c r="I621" s="5" t="str">
        <f>IFERROR(INDEX(Product_Master!$B$2:$B$30,MATCH($H621,Product_Master!$A$2:$A$30,0)),"Invalid Product Code")</f>
        <v>Beauty</v>
      </c>
      <c r="J621" s="5">
        <f>IFERROR(INDEX(Product_Master!$C$2:$C$30,MATCH($H621,Product_Master!$A$2:$A$30,0)),0)</f>
        <v>396.75</v>
      </c>
      <c r="K621" s="5">
        <f>Sales_Data!E618</f>
        <v>6</v>
      </c>
      <c r="L621" s="5">
        <f>Sales_Data!F618</f>
        <v>2239.5</v>
      </c>
      <c r="M621" s="5">
        <f>Sales_Data!G618</f>
        <v>2664.62</v>
      </c>
      <c r="N621" s="5" t="str">
        <f>IFERROR(INDEX(Branch_Master!$B$2:$B$9,MATCH($B621,Branch_Master!$A$2:$A$9,0)),"Not Found")</f>
        <v>Pune</v>
      </c>
      <c r="O621" s="5" t="str">
        <f>IFERROR(INDEX(Branch_Master!$C$2:$C$9,MATCH($B621,Branch_Master!$A$2:$A$9,0)),"Not Found")</f>
        <v>Maharashtra</v>
      </c>
      <c r="P621" s="5">
        <f>IFERROR(INDEX(Targets!$B$2:$B$9,MATCH($B621,Targets!$A$2:$A$9,0)),0)</f>
        <v>1250000</v>
      </c>
      <c r="Q621" s="5" t="str">
        <f t="shared" si="18"/>
        <v>No</v>
      </c>
      <c r="R621" s="5" t="str">
        <f t="shared" si="19"/>
        <v>Aug</v>
      </c>
    </row>
    <row r="622" spans="1:18" ht="15" customHeight="1" x14ac:dyDescent="0.3">
      <c r="A622" s="5" t="str">
        <f>Sales_Data!A619</f>
        <v>2025-08-16</v>
      </c>
      <c r="B622" s="5" t="str">
        <f>Sales_Data!B619</f>
        <v>Chennai South</v>
      </c>
      <c r="C622" s="5" t="str">
        <f>Sales_Data!C619</f>
        <v>E019</v>
      </c>
      <c r="D622" s="5" t="str">
        <f>IFERROR(INDEX(Employee_Master!$B$2:$B$44,MATCH($C622,Employee_Master!$A$2:$A$44,0)),"Not Found")</f>
        <v>Regina Torres</v>
      </c>
      <c r="E622" s="5" t="str">
        <f>IFERROR(INDEX(Employee_Master!$C$2:$C$44,MATCH($C622,Employee_Master!$A$2:$A$44,0)),"Not Found")</f>
        <v>Operations</v>
      </c>
      <c r="F622" s="5" t="str">
        <f>IFERROR(INDEX(Employee_Master!$D$2:$D$44,MATCH($C622,Employee_Master!$A$2:$A$44,0)),"Not Found")</f>
        <v>Robert Steele</v>
      </c>
      <c r="G622" s="5" t="str">
        <f>IFERROR(INDEX(Employee_Master!$E$2:$E$44,MATCH($C622,Employee_Master!$A$2:$A$44,0)),"Not Found")</f>
        <v>South</v>
      </c>
      <c r="H622" s="5" t="str">
        <f>Sales_Data!D619</f>
        <v>P012 - Non-Stick Pan</v>
      </c>
      <c r="I622" s="5" t="str">
        <f>IFERROR(INDEX(Product_Master!$B$2:$B$30,MATCH($H622,Product_Master!$A$2:$A$30,0)),"Invalid Product Code")</f>
        <v>Home &amp; Kitchen</v>
      </c>
      <c r="J622" s="5">
        <f>IFERROR(INDEX(Product_Master!$C$2:$C$30,MATCH($H622,Product_Master!$A$2:$A$30,0)),0)</f>
        <v>353.18</v>
      </c>
      <c r="K622" s="5">
        <f>Sales_Data!E619</f>
        <v>7</v>
      </c>
      <c r="L622" s="5">
        <f>Sales_Data!F619</f>
        <v>2664.28</v>
      </c>
      <c r="M622" s="5">
        <f>Sales_Data!G619</f>
        <v>2259.5700000000002</v>
      </c>
      <c r="N622" s="5" t="str">
        <f>IFERROR(INDEX(Branch_Master!$B$2:$B$9,MATCH($B622,Branch_Master!$A$2:$A$9,0)),"Not Found")</f>
        <v>Chennai</v>
      </c>
      <c r="O622" s="5" t="str">
        <f>IFERROR(INDEX(Branch_Master!$C$2:$C$9,MATCH($B622,Branch_Master!$A$2:$A$9,0)),"Not Found")</f>
        <v>Tamil Nadu</v>
      </c>
      <c r="P622" s="5">
        <f>IFERROR(INDEX(Targets!$B$2:$B$9,MATCH($B622,Targets!$A$2:$A$9,0)),0)</f>
        <v>1910000</v>
      </c>
      <c r="Q622" s="5" t="str">
        <f t="shared" si="18"/>
        <v>Yes</v>
      </c>
      <c r="R622" s="5" t="str">
        <f t="shared" si="19"/>
        <v>Aug</v>
      </c>
    </row>
    <row r="623" spans="1:18" ht="15" customHeight="1" x14ac:dyDescent="0.3">
      <c r="A623" s="5" t="str">
        <f>Sales_Data!A620</f>
        <v>2025-08-16</v>
      </c>
      <c r="B623" s="5" t="str">
        <f>Sales_Data!B620</f>
        <v>Bangalore North</v>
      </c>
      <c r="C623" s="5" t="str">
        <f>Sales_Data!C620</f>
        <v>E040</v>
      </c>
      <c r="D623" s="5" t="str">
        <f>IFERROR(INDEX(Employee_Master!$B$2:$B$44,MATCH($C623,Employee_Master!$A$2:$A$44,0)),"Not Found")</f>
        <v>Bonnie Cox</v>
      </c>
      <c r="E623" s="5" t="str">
        <f>IFERROR(INDEX(Employee_Master!$C$2:$C$44,MATCH($C623,Employee_Master!$A$2:$A$44,0)),"Not Found")</f>
        <v>Customer Support</v>
      </c>
      <c r="F623" s="5" t="str">
        <f>IFERROR(INDEX(Employee_Master!$D$2:$D$44,MATCH($C623,Employee_Master!$A$2:$A$44,0)),"Not Found")</f>
        <v>Jose Soto</v>
      </c>
      <c r="G623" s="5" t="str">
        <f>IFERROR(INDEX(Employee_Master!$E$2:$E$44,MATCH($C623,Employee_Master!$A$2:$A$44,0)),"Not Found")</f>
        <v>South</v>
      </c>
      <c r="H623" s="5" t="str">
        <f>Sales_Data!D620</f>
        <v>P014 - Air Fryer</v>
      </c>
      <c r="I623" s="5" t="str">
        <f>IFERROR(INDEX(Product_Master!$B$2:$B$30,MATCH($H623,Product_Master!$A$2:$A$30,0)),"Invalid Product Code")</f>
        <v>Home &amp; Kitchen</v>
      </c>
      <c r="J623" s="5">
        <f>IFERROR(INDEX(Product_Master!$C$2:$C$30,MATCH($H623,Product_Master!$A$2:$A$30,0)),0)</f>
        <v>729.85</v>
      </c>
      <c r="K623" s="5">
        <f>Sales_Data!E620</f>
        <v>2</v>
      </c>
      <c r="L623" s="5">
        <f>Sales_Data!F620</f>
        <v>1489.5</v>
      </c>
      <c r="M623" s="5">
        <f>Sales_Data!G620</f>
        <v>1575.14</v>
      </c>
      <c r="N623" s="5" t="str">
        <f>IFERROR(INDEX(Branch_Master!$B$2:$B$9,MATCH($B623,Branch_Master!$A$2:$A$9,0)),"Not Found")</f>
        <v>Bangalore</v>
      </c>
      <c r="O623" s="5" t="str">
        <f>IFERROR(INDEX(Branch_Master!$C$2:$C$9,MATCH($B623,Branch_Master!$A$2:$A$9,0)),"Not Found")</f>
        <v>Karnataka</v>
      </c>
      <c r="P623" s="5">
        <f>IFERROR(INDEX(Targets!$B$2:$B$9,MATCH($B623,Targets!$A$2:$A$9,0)),0)</f>
        <v>900000</v>
      </c>
      <c r="Q623" s="5" t="str">
        <f t="shared" si="18"/>
        <v>No</v>
      </c>
      <c r="R623" s="5" t="str">
        <f t="shared" si="19"/>
        <v>Aug</v>
      </c>
    </row>
    <row r="624" spans="1:18" ht="15" customHeight="1" x14ac:dyDescent="0.3">
      <c r="A624" s="5" t="str">
        <f>Sales_Data!A621</f>
        <v>2025-08-16</v>
      </c>
      <c r="B624" s="5" t="str">
        <f>Sales_Data!B621</f>
        <v>Kolkata Central</v>
      </c>
      <c r="C624" s="5" t="str">
        <f>Sales_Data!C621</f>
        <v>E024</v>
      </c>
      <c r="D624" s="5" t="str">
        <f>IFERROR(INDEX(Employee_Master!$B$2:$B$44,MATCH($C624,Employee_Master!$A$2:$A$44,0)),"Not Found")</f>
        <v>Kevin Sanchez</v>
      </c>
      <c r="E624" s="5" t="str">
        <f>IFERROR(INDEX(Employee_Master!$C$2:$C$44,MATCH($C624,Employee_Master!$A$2:$A$44,0)),"Not Found")</f>
        <v>Sales</v>
      </c>
      <c r="F624" s="5" t="str">
        <f>IFERROR(INDEX(Employee_Master!$D$2:$D$44,MATCH($C624,Employee_Master!$A$2:$A$44,0)),"Not Found")</f>
        <v>Lisa Moore</v>
      </c>
      <c r="G624" s="5" t="str">
        <f>IFERROR(INDEX(Employee_Master!$E$2:$E$44,MATCH($C624,Employee_Master!$A$2:$A$44,0)),"Not Found")</f>
        <v>East</v>
      </c>
      <c r="H624" s="5" t="str">
        <f>Sales_Data!D621</f>
        <v>P028 - Football</v>
      </c>
      <c r="I624" s="5" t="str">
        <f>IFERROR(INDEX(Product_Master!$B$2:$B$30,MATCH($H624,Product_Master!$A$2:$A$30,0)),"Invalid Product Code")</f>
        <v>Sports</v>
      </c>
      <c r="J624" s="5">
        <f>IFERROR(INDEX(Product_Master!$C$2:$C$30,MATCH($H624,Product_Master!$A$2:$A$30,0)),0)</f>
        <v>314.25</v>
      </c>
      <c r="K624" s="5">
        <f>Sales_Data!E621</f>
        <v>2</v>
      </c>
      <c r="L624" s="5">
        <f>Sales_Data!F621</f>
        <v>605.9</v>
      </c>
      <c r="M624" s="5">
        <f>Sales_Data!G621</f>
        <v>706.02</v>
      </c>
      <c r="N624" s="5" t="str">
        <f>IFERROR(INDEX(Branch_Master!$B$2:$B$9,MATCH($B624,Branch_Master!$A$2:$A$9,0)),"Not Found")</f>
        <v>Kolkata</v>
      </c>
      <c r="O624" s="5" t="str">
        <f>IFERROR(INDEX(Branch_Master!$C$2:$C$9,MATCH($B624,Branch_Master!$A$2:$A$9,0)),"Not Found")</f>
        <v>West Bengal</v>
      </c>
      <c r="P624" s="5">
        <f>IFERROR(INDEX(Targets!$B$2:$B$9,MATCH($B624,Targets!$A$2:$A$9,0)),0)</f>
        <v>1910000</v>
      </c>
      <c r="Q624" s="5" t="str">
        <f t="shared" si="18"/>
        <v>No</v>
      </c>
      <c r="R624" s="5" t="str">
        <f t="shared" si="19"/>
        <v>Aug</v>
      </c>
    </row>
    <row r="625" spans="1:18" ht="15" customHeight="1" x14ac:dyDescent="0.3">
      <c r="A625" s="5" t="str">
        <f>Sales_Data!A622</f>
        <v>2025-08-16</v>
      </c>
      <c r="B625" s="5" t="str">
        <f>Sales_Data!B622</f>
        <v>Kolkata Central</v>
      </c>
      <c r="C625" s="5" t="str">
        <f>Sales_Data!C622</f>
        <v>E028</v>
      </c>
      <c r="D625" s="5" t="str">
        <f>IFERROR(INDEX(Employee_Master!$B$2:$B$44,MATCH($C625,Employee_Master!$A$2:$A$44,0)),"Not Found")</f>
        <v>Sabrina Wright</v>
      </c>
      <c r="E625" s="5" t="str">
        <f>IFERROR(INDEX(Employee_Master!$C$2:$C$44,MATCH($C625,Employee_Master!$A$2:$A$44,0)),"Not Found")</f>
        <v>Customer Support</v>
      </c>
      <c r="F625" s="5" t="str">
        <f>IFERROR(INDEX(Employee_Master!$D$2:$D$44,MATCH($C625,Employee_Master!$A$2:$A$44,0)),"Not Found")</f>
        <v>Lisa Moore</v>
      </c>
      <c r="G625" s="5" t="str">
        <f>IFERROR(INDEX(Employee_Master!$E$2:$E$44,MATCH($C625,Employee_Master!$A$2:$A$44,0)),"Not Found")</f>
        <v>East</v>
      </c>
      <c r="H625" s="5" t="str">
        <f>Sales_Data!D622</f>
        <v>P013 - Mixer Grinder</v>
      </c>
      <c r="I625" s="5" t="str">
        <f>IFERROR(INDEX(Product_Master!$B$2:$B$30,MATCH($H625,Product_Master!$A$2:$A$30,0)),"Invalid Product Code")</f>
        <v>Home &amp; Kitchen</v>
      </c>
      <c r="J625" s="5">
        <f>IFERROR(INDEX(Product_Master!$C$2:$C$30,MATCH($H625,Product_Master!$A$2:$A$30,0)),0)</f>
        <v>798.53</v>
      </c>
      <c r="K625" s="5">
        <f>Sales_Data!E622</f>
        <v>3</v>
      </c>
      <c r="L625" s="5">
        <f>Sales_Data!F622</f>
        <v>2332.8000000000002</v>
      </c>
      <c r="M625" s="5">
        <f>Sales_Data!G622</f>
        <v>2506.02</v>
      </c>
      <c r="N625" s="5" t="str">
        <f>IFERROR(INDEX(Branch_Master!$B$2:$B$9,MATCH($B625,Branch_Master!$A$2:$A$9,0)),"Not Found")</f>
        <v>Kolkata</v>
      </c>
      <c r="O625" s="5" t="str">
        <f>IFERROR(INDEX(Branch_Master!$C$2:$C$9,MATCH($B625,Branch_Master!$A$2:$A$9,0)),"Not Found")</f>
        <v>West Bengal</v>
      </c>
      <c r="P625" s="5">
        <f>IFERROR(INDEX(Targets!$B$2:$B$9,MATCH($B625,Targets!$A$2:$A$9,0)),0)</f>
        <v>1910000</v>
      </c>
      <c r="Q625" s="5" t="str">
        <f t="shared" si="18"/>
        <v>No</v>
      </c>
      <c r="R625" s="5" t="str">
        <f t="shared" si="19"/>
        <v>Aug</v>
      </c>
    </row>
    <row r="626" spans="1:18" ht="15" customHeight="1" x14ac:dyDescent="0.3">
      <c r="A626" s="5" t="str">
        <f>Sales_Data!A623</f>
        <v>2025-08-17</v>
      </c>
      <c r="B626" s="5" t="str">
        <f>Sales_Data!B623</f>
        <v>Pune East</v>
      </c>
      <c r="C626" s="5" t="str">
        <f>Sales_Data!C623</f>
        <v>E022</v>
      </c>
      <c r="D626" s="5" t="str">
        <f>IFERROR(INDEX(Employee_Master!$B$2:$B$44,MATCH($C626,Employee_Master!$A$2:$A$44,0)),"Not Found")</f>
        <v>Cindy Green PhD</v>
      </c>
      <c r="E626" s="5" t="str">
        <f>IFERROR(INDEX(Employee_Master!$C$2:$C$44,MATCH($C626,Employee_Master!$A$2:$A$44,0)),"Not Found")</f>
        <v>Customer Support</v>
      </c>
      <c r="F626" s="5" t="str">
        <f>IFERROR(INDEX(Employee_Master!$D$2:$D$44,MATCH($C626,Employee_Master!$A$2:$A$44,0)),"Not Found")</f>
        <v>Jordan Matthews</v>
      </c>
      <c r="G626" s="5" t="str">
        <f>IFERROR(INDEX(Employee_Master!$E$2:$E$44,MATCH($C626,Employee_Master!$A$2:$A$44,0)),"Not Found")</f>
        <v>West</v>
      </c>
      <c r="H626" s="5" t="str">
        <f>Sales_Data!D623</f>
        <v>P004 - Power Bank</v>
      </c>
      <c r="I626" s="5" t="str">
        <f>IFERROR(INDEX(Product_Master!$B$2:$B$30,MATCH($H626,Product_Master!$A$2:$A$30,0)),"Invalid Product Code")</f>
        <v>Electronics</v>
      </c>
      <c r="J626" s="5">
        <f>IFERROR(INDEX(Product_Master!$C$2:$C$30,MATCH($H626,Product_Master!$A$2:$A$30,0)),0)</f>
        <v>76.91</v>
      </c>
      <c r="K626" s="5">
        <f>Sales_Data!E623</f>
        <v>6</v>
      </c>
      <c r="L626" s="5">
        <f>Sales_Data!F623</f>
        <v>466.73</v>
      </c>
      <c r="M626" s="5">
        <f>Sales_Data!G623</f>
        <v>474.19</v>
      </c>
      <c r="N626" s="5" t="str">
        <f>IFERROR(INDEX(Branch_Master!$B$2:$B$9,MATCH($B626,Branch_Master!$A$2:$A$9,0)),"Not Found")</f>
        <v>Pune</v>
      </c>
      <c r="O626" s="5" t="str">
        <f>IFERROR(INDEX(Branch_Master!$C$2:$C$9,MATCH($B626,Branch_Master!$A$2:$A$9,0)),"Not Found")</f>
        <v>Maharashtra</v>
      </c>
      <c r="P626" s="5">
        <f>IFERROR(INDEX(Targets!$B$2:$B$9,MATCH($B626,Targets!$A$2:$A$9,0)),0)</f>
        <v>1250000</v>
      </c>
      <c r="Q626" s="5" t="str">
        <f t="shared" si="18"/>
        <v>No</v>
      </c>
      <c r="R626" s="5" t="str">
        <f t="shared" si="19"/>
        <v>Aug</v>
      </c>
    </row>
    <row r="627" spans="1:18" ht="15" customHeight="1" x14ac:dyDescent="0.3">
      <c r="A627" s="5" t="str">
        <f>Sales_Data!A624</f>
        <v>2025-08-17</v>
      </c>
      <c r="B627" s="5" t="str">
        <f>Sales_Data!B624</f>
        <v>Hyderabad Hitech</v>
      </c>
      <c r="C627" s="5" t="str">
        <f>Sales_Data!C624</f>
        <v>E011</v>
      </c>
      <c r="D627" s="5" t="str">
        <f>IFERROR(INDEX(Employee_Master!$B$2:$B$44,MATCH($C627,Employee_Master!$A$2:$A$44,0)),"Not Found")</f>
        <v>Mark Osborne</v>
      </c>
      <c r="E627" s="5" t="str">
        <f>IFERROR(INDEX(Employee_Master!$C$2:$C$44,MATCH($C627,Employee_Master!$A$2:$A$44,0)),"Not Found")</f>
        <v>Marketing</v>
      </c>
      <c r="F627" s="5" t="str">
        <f>IFERROR(INDEX(Employee_Master!$D$2:$D$44,MATCH($C627,Employee_Master!$A$2:$A$44,0)),"Not Found")</f>
        <v>Anna Turner</v>
      </c>
      <c r="G627" s="5" t="str">
        <f>IFERROR(INDEX(Employee_Master!$E$2:$E$44,MATCH($C627,Employee_Master!$A$2:$A$44,0)),"Not Found")</f>
        <v>South</v>
      </c>
      <c r="H627" s="5" t="str">
        <f>Sales_Data!D624</f>
        <v>P002 - Smart Watch</v>
      </c>
      <c r="I627" s="5" t="str">
        <f>IFERROR(INDEX(Product_Master!$B$2:$B$30,MATCH($H627,Product_Master!$A$2:$A$30,0)),"Invalid Product Code")</f>
        <v>Electronics</v>
      </c>
      <c r="J627" s="5">
        <f>IFERROR(INDEX(Product_Master!$C$2:$C$30,MATCH($H627,Product_Master!$A$2:$A$30,0)),0)</f>
        <v>403.33</v>
      </c>
      <c r="K627" s="5">
        <f>Sales_Data!E624</f>
        <v>3</v>
      </c>
      <c r="L627" s="5">
        <f>Sales_Data!F624</f>
        <v>1157.23</v>
      </c>
      <c r="M627" s="5">
        <f>Sales_Data!G624</f>
        <v>1221.24</v>
      </c>
      <c r="N627" s="5" t="str">
        <f>IFERROR(INDEX(Branch_Master!$B$2:$B$9,MATCH($B627,Branch_Master!$A$2:$A$9,0)),"Not Found")</f>
        <v>Hyderabad</v>
      </c>
      <c r="O627" s="5" t="str">
        <f>IFERROR(INDEX(Branch_Master!$C$2:$C$9,MATCH($B627,Branch_Master!$A$2:$A$9,0)),"Not Found")</f>
        <v>Telangana</v>
      </c>
      <c r="P627" s="5">
        <f>IFERROR(INDEX(Targets!$B$2:$B$9,MATCH($B627,Targets!$A$2:$A$9,0)),0)</f>
        <v>1210000</v>
      </c>
      <c r="Q627" s="5" t="str">
        <f t="shared" si="18"/>
        <v>No</v>
      </c>
      <c r="R627" s="5" t="str">
        <f t="shared" si="19"/>
        <v>Aug</v>
      </c>
    </row>
    <row r="628" spans="1:18" ht="15" customHeight="1" x14ac:dyDescent="0.3">
      <c r="A628" s="5" t="str">
        <f>Sales_Data!A625</f>
        <v>2025-08-18</v>
      </c>
      <c r="B628" s="5" t="str">
        <f>Sales_Data!B625</f>
        <v>Pune East</v>
      </c>
      <c r="C628" s="5" t="str">
        <f>Sales_Data!C625</f>
        <v>E023</v>
      </c>
      <c r="D628" s="5" t="str">
        <f>IFERROR(INDEX(Employee_Master!$B$2:$B$44,MATCH($C628,Employee_Master!$A$2:$A$44,0)),"Not Found")</f>
        <v>Edward Jones</v>
      </c>
      <c r="E628" s="5" t="str">
        <f>IFERROR(INDEX(Employee_Master!$C$2:$C$44,MATCH($C628,Employee_Master!$A$2:$A$44,0)),"Not Found")</f>
        <v>Operations</v>
      </c>
      <c r="F628" s="5" t="str">
        <f>IFERROR(INDEX(Employee_Master!$D$2:$D$44,MATCH($C628,Employee_Master!$A$2:$A$44,0)),"Not Found")</f>
        <v>Jordan Matthews</v>
      </c>
      <c r="G628" s="5" t="str">
        <f>IFERROR(INDEX(Employee_Master!$E$2:$E$44,MATCH($C628,Employee_Master!$A$2:$A$44,0)),"Not Found")</f>
        <v>West</v>
      </c>
      <c r="H628" s="5" t="str">
        <f>Sales_Data!D625</f>
        <v>P019 - Organic Honey</v>
      </c>
      <c r="I628" s="5" t="str">
        <f>IFERROR(INDEX(Product_Master!$B$2:$B$30,MATCH($H628,Product_Master!$A$2:$A$30,0)),"Invalid Product Code")</f>
        <v>Grocery</v>
      </c>
      <c r="J628" s="5">
        <f>IFERROR(INDEX(Product_Master!$C$2:$C$30,MATCH($H628,Product_Master!$A$2:$A$30,0)),0)</f>
        <v>482.15</v>
      </c>
      <c r="K628" s="5">
        <f>Sales_Data!E625</f>
        <v>11</v>
      </c>
      <c r="L628" s="5">
        <f>Sales_Data!F625</f>
        <v>5727.24</v>
      </c>
      <c r="M628" s="5">
        <f>Sales_Data!G625</f>
        <v>4541.92</v>
      </c>
      <c r="N628" s="5" t="str">
        <f>IFERROR(INDEX(Branch_Master!$B$2:$B$9,MATCH($B628,Branch_Master!$A$2:$A$9,0)),"Not Found")</f>
        <v>Pune</v>
      </c>
      <c r="O628" s="5" t="str">
        <f>IFERROR(INDEX(Branch_Master!$C$2:$C$9,MATCH($B628,Branch_Master!$A$2:$A$9,0)),"Not Found")</f>
        <v>Maharashtra</v>
      </c>
      <c r="P628" s="5">
        <f>IFERROR(INDEX(Targets!$B$2:$B$9,MATCH($B628,Targets!$A$2:$A$9,0)),0)</f>
        <v>1250000</v>
      </c>
      <c r="Q628" s="5" t="str">
        <f t="shared" si="18"/>
        <v>Yes</v>
      </c>
      <c r="R628" s="5" t="str">
        <f t="shared" si="19"/>
        <v>Aug</v>
      </c>
    </row>
    <row r="629" spans="1:18" ht="15" customHeight="1" x14ac:dyDescent="0.3">
      <c r="A629" s="5" t="str">
        <f>Sales_Data!A626</f>
        <v>2025-08-18</v>
      </c>
      <c r="B629" s="5" t="str">
        <f>Sales_Data!B626</f>
        <v>Kolkata Central</v>
      </c>
      <c r="C629" s="5" t="str">
        <f>Sales_Data!C626</f>
        <v>E018</v>
      </c>
      <c r="D629" s="5" t="str">
        <f>IFERROR(INDEX(Employee_Master!$B$2:$B$44,MATCH($C629,Employee_Master!$A$2:$A$44,0)),"Not Found")</f>
        <v>Daniel Nelson</v>
      </c>
      <c r="E629" s="5" t="str">
        <f>IFERROR(INDEX(Employee_Master!$C$2:$C$44,MATCH($C629,Employee_Master!$A$2:$A$44,0)),"Not Found")</f>
        <v>Sales</v>
      </c>
      <c r="F629" s="5" t="str">
        <f>IFERROR(INDEX(Employee_Master!$D$2:$D$44,MATCH($C629,Employee_Master!$A$2:$A$44,0)),"Not Found")</f>
        <v>Lisa Moore</v>
      </c>
      <c r="G629" s="5" t="str">
        <f>IFERROR(INDEX(Employee_Master!$E$2:$E$44,MATCH($C629,Employee_Master!$A$2:$A$44,0)),"Not Found")</f>
        <v>East</v>
      </c>
      <c r="H629" s="5" t="str">
        <f>Sales_Data!D626</f>
        <v>P015 - Water Bottle</v>
      </c>
      <c r="I629" s="5" t="str">
        <f>IFERROR(INDEX(Product_Master!$B$2:$B$30,MATCH($H629,Product_Master!$A$2:$A$30,0)),"Invalid Product Code")</f>
        <v>Home &amp; Kitchen</v>
      </c>
      <c r="J629" s="5">
        <f>IFERROR(INDEX(Product_Master!$C$2:$C$30,MATCH($H629,Product_Master!$A$2:$A$30,0)),0)</f>
        <v>197.57</v>
      </c>
      <c r="K629" s="5">
        <f>Sales_Data!E626</f>
        <v>6</v>
      </c>
      <c r="L629" s="5">
        <f>Sales_Data!F626</f>
        <v>1279.6099999999999</v>
      </c>
      <c r="M629" s="5">
        <f>Sales_Data!G626</f>
        <v>1266.3900000000001</v>
      </c>
      <c r="N629" s="5" t="str">
        <f>IFERROR(INDEX(Branch_Master!$B$2:$B$9,MATCH($B629,Branch_Master!$A$2:$A$9,0)),"Not Found")</f>
        <v>Kolkata</v>
      </c>
      <c r="O629" s="5" t="str">
        <f>IFERROR(INDEX(Branch_Master!$C$2:$C$9,MATCH($B629,Branch_Master!$A$2:$A$9,0)),"Not Found")</f>
        <v>West Bengal</v>
      </c>
      <c r="P629" s="5">
        <f>IFERROR(INDEX(Targets!$B$2:$B$9,MATCH($B629,Targets!$A$2:$A$9,0)),0)</f>
        <v>1910000</v>
      </c>
      <c r="Q629" s="5" t="str">
        <f t="shared" si="18"/>
        <v>Yes</v>
      </c>
      <c r="R629" s="5" t="str">
        <f t="shared" si="19"/>
        <v>Aug</v>
      </c>
    </row>
    <row r="630" spans="1:18" ht="15" customHeight="1" x14ac:dyDescent="0.3">
      <c r="A630" s="5" t="str">
        <f>Sales_Data!A627</f>
        <v>2025-08-18</v>
      </c>
      <c r="B630" s="5" t="str">
        <f>Sales_Data!B627</f>
        <v>Pune East</v>
      </c>
      <c r="C630" s="5" t="str">
        <f>Sales_Data!C627</f>
        <v>E034</v>
      </c>
      <c r="D630" s="5" t="str">
        <f>IFERROR(INDEX(Employee_Master!$B$2:$B$44,MATCH($C630,Employee_Master!$A$2:$A$44,0)),"Not Found")</f>
        <v>Elaine Thompson</v>
      </c>
      <c r="E630" s="5" t="str">
        <f>IFERROR(INDEX(Employee_Master!$C$2:$C$44,MATCH($C630,Employee_Master!$A$2:$A$44,0)),"Not Found")</f>
        <v>Marketing</v>
      </c>
      <c r="F630" s="5" t="str">
        <f>IFERROR(INDEX(Employee_Master!$D$2:$D$44,MATCH($C630,Employee_Master!$A$2:$A$44,0)),"Not Found")</f>
        <v>Jordan Matthews</v>
      </c>
      <c r="G630" s="5" t="str">
        <f>IFERROR(INDEX(Employee_Master!$E$2:$E$44,MATCH($C630,Employee_Master!$A$2:$A$44,0)),"Not Found")</f>
        <v>West</v>
      </c>
      <c r="H630" s="5" t="str">
        <f>Sales_Data!D627</f>
        <v>P026 - Yoga Mat</v>
      </c>
      <c r="I630" s="5" t="str">
        <f>IFERROR(INDEX(Product_Master!$B$2:$B$30,MATCH($H630,Product_Master!$A$2:$A$30,0)),"Invalid Product Code")</f>
        <v>Sports</v>
      </c>
      <c r="J630" s="5">
        <f>IFERROR(INDEX(Product_Master!$C$2:$C$30,MATCH($H630,Product_Master!$A$2:$A$30,0)),0)</f>
        <v>518.76</v>
      </c>
      <c r="K630" s="5">
        <f>Sales_Data!E627</f>
        <v>8</v>
      </c>
      <c r="L630" s="5">
        <f>Sales_Data!F627</f>
        <v>4541.71</v>
      </c>
      <c r="M630" s="5">
        <f>Sales_Data!G627</f>
        <v>4592.41</v>
      </c>
      <c r="N630" s="5" t="str">
        <f>IFERROR(INDEX(Branch_Master!$B$2:$B$9,MATCH($B630,Branch_Master!$A$2:$A$9,0)),"Not Found")</f>
        <v>Pune</v>
      </c>
      <c r="O630" s="5" t="str">
        <f>IFERROR(INDEX(Branch_Master!$C$2:$C$9,MATCH($B630,Branch_Master!$A$2:$A$9,0)),"Not Found")</f>
        <v>Maharashtra</v>
      </c>
      <c r="P630" s="5">
        <f>IFERROR(INDEX(Targets!$B$2:$B$9,MATCH($B630,Targets!$A$2:$A$9,0)),0)</f>
        <v>1250000</v>
      </c>
      <c r="Q630" s="5" t="str">
        <f t="shared" si="18"/>
        <v>No</v>
      </c>
      <c r="R630" s="5" t="str">
        <f t="shared" si="19"/>
        <v>Aug</v>
      </c>
    </row>
    <row r="631" spans="1:18" ht="15" customHeight="1" x14ac:dyDescent="0.3">
      <c r="A631" s="5" t="str">
        <f>Sales_Data!A628</f>
        <v>2025-08-19</v>
      </c>
      <c r="B631" s="5" t="str">
        <f>Sales_Data!B628</f>
        <v>Kolkata Central</v>
      </c>
      <c r="C631" s="5" t="str">
        <f>Sales_Data!C628</f>
        <v>E024</v>
      </c>
      <c r="D631" s="5" t="str">
        <f>IFERROR(INDEX(Employee_Master!$B$2:$B$44,MATCH($C631,Employee_Master!$A$2:$A$44,0)),"Not Found")</f>
        <v>Kevin Sanchez</v>
      </c>
      <c r="E631" s="5" t="str">
        <f>IFERROR(INDEX(Employee_Master!$C$2:$C$44,MATCH($C631,Employee_Master!$A$2:$A$44,0)),"Not Found")</f>
        <v>Sales</v>
      </c>
      <c r="F631" s="5" t="str">
        <f>IFERROR(INDEX(Employee_Master!$D$2:$D$44,MATCH($C631,Employee_Master!$A$2:$A$44,0)),"Not Found")</f>
        <v>Lisa Moore</v>
      </c>
      <c r="G631" s="5" t="str">
        <f>IFERROR(INDEX(Employee_Master!$E$2:$E$44,MATCH($C631,Employee_Master!$A$2:$A$44,0)),"Not Found")</f>
        <v>East</v>
      </c>
      <c r="H631" s="5" t="str">
        <f>Sales_Data!D628</f>
        <v>P013 - Mixer Grinder</v>
      </c>
      <c r="I631" s="5" t="str">
        <f>IFERROR(INDEX(Product_Master!$B$2:$B$30,MATCH($H631,Product_Master!$A$2:$A$30,0)),"Invalid Product Code")</f>
        <v>Home &amp; Kitchen</v>
      </c>
      <c r="J631" s="5">
        <f>IFERROR(INDEX(Product_Master!$C$2:$C$30,MATCH($H631,Product_Master!$A$2:$A$30,0)),0)</f>
        <v>798.53</v>
      </c>
      <c r="K631" s="5">
        <f>Sales_Data!E628</f>
        <v>9</v>
      </c>
      <c r="L631" s="5">
        <f>Sales_Data!F628</f>
        <v>7712.8</v>
      </c>
      <c r="M631" s="5">
        <f>Sales_Data!G628</f>
        <v>6596.11</v>
      </c>
      <c r="N631" s="5" t="str">
        <f>IFERROR(INDEX(Branch_Master!$B$2:$B$9,MATCH($B631,Branch_Master!$A$2:$A$9,0)),"Not Found")</f>
        <v>Kolkata</v>
      </c>
      <c r="O631" s="5" t="str">
        <f>IFERROR(INDEX(Branch_Master!$C$2:$C$9,MATCH($B631,Branch_Master!$A$2:$A$9,0)),"Not Found")</f>
        <v>West Bengal</v>
      </c>
      <c r="P631" s="5">
        <f>IFERROR(INDEX(Targets!$B$2:$B$9,MATCH($B631,Targets!$A$2:$A$9,0)),0)</f>
        <v>1910000</v>
      </c>
      <c r="Q631" s="5" t="str">
        <f t="shared" si="18"/>
        <v>Yes</v>
      </c>
      <c r="R631" s="5" t="str">
        <f t="shared" si="19"/>
        <v>Aug</v>
      </c>
    </row>
    <row r="632" spans="1:18" ht="15" customHeight="1" x14ac:dyDescent="0.3">
      <c r="A632" s="5" t="str">
        <f>Sales_Data!A629</f>
        <v>2025-08-19</v>
      </c>
      <c r="B632" s="5" t="str">
        <f>Sales_Data!B629</f>
        <v>Ahmedabad West</v>
      </c>
      <c r="C632" s="5" t="str">
        <f>Sales_Data!C629</f>
        <v>E037</v>
      </c>
      <c r="D632" s="5" t="str">
        <f>IFERROR(INDEX(Employee_Master!$B$2:$B$44,MATCH($C632,Employee_Master!$A$2:$A$44,0)),"Not Found")</f>
        <v>Thomas Harris</v>
      </c>
      <c r="E632" s="5" t="str">
        <f>IFERROR(INDEX(Employee_Master!$C$2:$C$44,MATCH($C632,Employee_Master!$A$2:$A$44,0)),"Not Found")</f>
        <v>Customer Support</v>
      </c>
      <c r="F632" s="5" t="str">
        <f>IFERROR(INDEX(Employee_Master!$D$2:$D$44,MATCH($C632,Employee_Master!$A$2:$A$44,0)),"Not Found")</f>
        <v>Joseph Brown</v>
      </c>
      <c r="G632" s="5" t="str">
        <f>IFERROR(INDEX(Employee_Master!$E$2:$E$44,MATCH($C632,Employee_Master!$A$2:$A$44,0)),"Not Found")</f>
        <v>West</v>
      </c>
      <c r="H632" s="5" t="str">
        <f>Sales_Data!D629</f>
        <v>P028 - Football</v>
      </c>
      <c r="I632" s="5" t="str">
        <f>IFERROR(INDEX(Product_Master!$B$2:$B$30,MATCH($H632,Product_Master!$A$2:$A$30,0)),"Invalid Product Code")</f>
        <v>Sports</v>
      </c>
      <c r="J632" s="5">
        <f>IFERROR(INDEX(Product_Master!$C$2:$C$30,MATCH($H632,Product_Master!$A$2:$A$30,0)),0)</f>
        <v>314.25</v>
      </c>
      <c r="K632" s="5">
        <f>Sales_Data!E629</f>
        <v>7</v>
      </c>
      <c r="L632" s="5">
        <f>Sales_Data!F629</f>
        <v>2127.2600000000002</v>
      </c>
      <c r="M632" s="5">
        <f>Sales_Data!G629</f>
        <v>2100.8000000000002</v>
      </c>
      <c r="N632" s="5" t="str">
        <f>IFERROR(INDEX(Branch_Master!$B$2:$B$9,MATCH($B632,Branch_Master!$A$2:$A$9,0)),"Not Found")</f>
        <v>Ahmedabad</v>
      </c>
      <c r="O632" s="5" t="str">
        <f>IFERROR(INDEX(Branch_Master!$C$2:$C$9,MATCH($B632,Branch_Master!$A$2:$A$9,0)),"Not Found")</f>
        <v>Gujarat</v>
      </c>
      <c r="P632" s="5">
        <f>IFERROR(INDEX(Targets!$B$2:$B$9,MATCH($B632,Targets!$A$2:$A$9,0)),0)</f>
        <v>1590000</v>
      </c>
      <c r="Q632" s="5" t="str">
        <f t="shared" si="18"/>
        <v>Yes</v>
      </c>
      <c r="R632" s="5" t="str">
        <f t="shared" si="19"/>
        <v>Aug</v>
      </c>
    </row>
    <row r="633" spans="1:18" ht="15" customHeight="1" x14ac:dyDescent="0.3">
      <c r="A633" s="5" t="str">
        <f>Sales_Data!A630</f>
        <v>2025-08-19</v>
      </c>
      <c r="B633" s="5" t="str">
        <f>Sales_Data!B630</f>
        <v>Chennai South</v>
      </c>
      <c r="C633" s="5" t="str">
        <f>Sales_Data!C630</f>
        <v>E015</v>
      </c>
      <c r="D633" s="5" t="str">
        <f>IFERROR(INDEX(Employee_Master!$B$2:$B$44,MATCH($C633,Employee_Master!$A$2:$A$44,0)),"Not Found")</f>
        <v>Cassandra Hansen</v>
      </c>
      <c r="E633" s="5" t="str">
        <f>IFERROR(INDEX(Employee_Master!$C$2:$C$44,MATCH($C633,Employee_Master!$A$2:$A$44,0)),"Not Found")</f>
        <v>Customer Support</v>
      </c>
      <c r="F633" s="5" t="str">
        <f>IFERROR(INDEX(Employee_Master!$D$2:$D$44,MATCH($C633,Employee_Master!$A$2:$A$44,0)),"Not Found")</f>
        <v>Robert Steele</v>
      </c>
      <c r="G633" s="5" t="str">
        <f>IFERROR(INDEX(Employee_Master!$E$2:$E$44,MATCH($C633,Employee_Master!$A$2:$A$44,0)),"Not Found")</f>
        <v>South</v>
      </c>
      <c r="H633" s="5" t="str">
        <f>Sales_Data!D630</f>
        <v>P028 - Football</v>
      </c>
      <c r="I633" s="5" t="str">
        <f>IFERROR(INDEX(Product_Master!$B$2:$B$30,MATCH($H633,Product_Master!$A$2:$A$30,0)),"Invalid Product Code")</f>
        <v>Sports</v>
      </c>
      <c r="J633" s="5">
        <f>IFERROR(INDEX(Product_Master!$C$2:$C$30,MATCH($H633,Product_Master!$A$2:$A$30,0)),0)</f>
        <v>314.25</v>
      </c>
      <c r="K633" s="5">
        <f>Sales_Data!E630</f>
        <v>3</v>
      </c>
      <c r="L633" s="5">
        <f>Sales_Data!F630</f>
        <v>943.34</v>
      </c>
      <c r="M633" s="5">
        <f>Sales_Data!G630</f>
        <v>837.18</v>
      </c>
      <c r="N633" s="5" t="str">
        <f>IFERROR(INDEX(Branch_Master!$B$2:$B$9,MATCH($B633,Branch_Master!$A$2:$A$9,0)),"Not Found")</f>
        <v>Chennai</v>
      </c>
      <c r="O633" s="5" t="str">
        <f>IFERROR(INDEX(Branch_Master!$C$2:$C$9,MATCH($B633,Branch_Master!$A$2:$A$9,0)),"Not Found")</f>
        <v>Tamil Nadu</v>
      </c>
      <c r="P633" s="5">
        <f>IFERROR(INDEX(Targets!$B$2:$B$9,MATCH($B633,Targets!$A$2:$A$9,0)),0)</f>
        <v>1910000</v>
      </c>
      <c r="Q633" s="5" t="str">
        <f t="shared" si="18"/>
        <v>Yes</v>
      </c>
      <c r="R633" s="5" t="str">
        <f t="shared" si="19"/>
        <v>Aug</v>
      </c>
    </row>
    <row r="634" spans="1:18" ht="15" customHeight="1" x14ac:dyDescent="0.3">
      <c r="A634" s="5" t="str">
        <f>Sales_Data!A631</f>
        <v>2025-08-20</v>
      </c>
      <c r="B634" s="5" t="str">
        <f>Sales_Data!B631</f>
        <v>Ahmedabad West</v>
      </c>
      <c r="C634" s="5" t="str">
        <f>Sales_Data!C631</f>
        <v>E001</v>
      </c>
      <c r="D634" s="5" t="str">
        <f>IFERROR(INDEX(Employee_Master!$B$2:$B$44,MATCH($C634,Employee_Master!$A$2:$A$44,0)),"Not Found")</f>
        <v>David Johnson</v>
      </c>
      <c r="E634" s="5" t="str">
        <f>IFERROR(INDEX(Employee_Master!$C$2:$C$44,MATCH($C634,Employee_Master!$A$2:$A$44,0)),"Not Found")</f>
        <v>Customer Support</v>
      </c>
      <c r="F634" s="5" t="str">
        <f>IFERROR(INDEX(Employee_Master!$D$2:$D$44,MATCH($C634,Employee_Master!$A$2:$A$44,0)),"Not Found")</f>
        <v>Joseph Brown</v>
      </c>
      <c r="G634" s="5" t="str">
        <f>IFERROR(INDEX(Employee_Master!$E$2:$E$44,MATCH($C634,Employee_Master!$A$2:$A$44,0)),"Not Found")</f>
        <v>West</v>
      </c>
      <c r="H634" s="5" t="str">
        <f>Sales_Data!D631</f>
        <v>P006 - Laptop Stand</v>
      </c>
      <c r="I634" s="5" t="str">
        <f>IFERROR(INDEX(Product_Master!$B$2:$B$30,MATCH($H634,Product_Master!$A$2:$A$30,0)),"Invalid Product Code")</f>
        <v>Electronics</v>
      </c>
      <c r="J634" s="5">
        <f>IFERROR(INDEX(Product_Master!$C$2:$C$30,MATCH($H634,Product_Master!$A$2:$A$30,0)),0)</f>
        <v>393.96</v>
      </c>
      <c r="K634" s="5">
        <f>Sales_Data!E631</f>
        <v>10</v>
      </c>
      <c r="L634" s="5">
        <f>Sales_Data!F631</f>
        <v>4228.21</v>
      </c>
      <c r="M634" s="5">
        <f>Sales_Data!G631</f>
        <v>4376.6899999999996</v>
      </c>
      <c r="N634" s="5" t="str">
        <f>IFERROR(INDEX(Branch_Master!$B$2:$B$9,MATCH($B634,Branch_Master!$A$2:$A$9,0)),"Not Found")</f>
        <v>Ahmedabad</v>
      </c>
      <c r="O634" s="5" t="str">
        <f>IFERROR(INDEX(Branch_Master!$C$2:$C$9,MATCH($B634,Branch_Master!$A$2:$A$9,0)),"Not Found")</f>
        <v>Gujarat</v>
      </c>
      <c r="P634" s="5">
        <f>IFERROR(INDEX(Targets!$B$2:$B$9,MATCH($B634,Targets!$A$2:$A$9,0)),0)</f>
        <v>1590000</v>
      </c>
      <c r="Q634" s="5" t="str">
        <f t="shared" si="18"/>
        <v>No</v>
      </c>
      <c r="R634" s="5" t="str">
        <f t="shared" si="19"/>
        <v>Aug</v>
      </c>
    </row>
    <row r="635" spans="1:18" ht="15" customHeight="1" x14ac:dyDescent="0.3">
      <c r="A635" s="5" t="str">
        <f>Sales_Data!A632</f>
        <v>2025-08-20</v>
      </c>
      <c r="B635" s="5" t="str">
        <f>Sales_Data!B632</f>
        <v>Ahmedabad West</v>
      </c>
      <c r="C635" s="5" t="str">
        <f>Sales_Data!C632</f>
        <v>E005</v>
      </c>
      <c r="D635" s="5" t="str">
        <f>IFERROR(INDEX(Employee_Master!$B$2:$B$44,MATCH($C635,Employee_Master!$A$2:$A$44,0)),"Not Found")</f>
        <v>Dr. Sara Zimmerman MD</v>
      </c>
      <c r="E635" s="5" t="str">
        <f>IFERROR(INDEX(Employee_Master!$C$2:$C$44,MATCH($C635,Employee_Master!$A$2:$A$44,0)),"Not Found")</f>
        <v>Operations</v>
      </c>
      <c r="F635" s="5" t="str">
        <f>IFERROR(INDEX(Employee_Master!$D$2:$D$44,MATCH($C635,Employee_Master!$A$2:$A$44,0)),"Not Found")</f>
        <v>Joseph Brown</v>
      </c>
      <c r="G635" s="5" t="str">
        <f>IFERROR(INDEX(Employee_Master!$E$2:$E$44,MATCH($C635,Employee_Master!$A$2:$A$44,0)),"Not Found")</f>
        <v>West</v>
      </c>
      <c r="H635" s="5" t="str">
        <f>Sales_Data!D632</f>
        <v>P028 - Football</v>
      </c>
      <c r="I635" s="5" t="str">
        <f>IFERROR(INDEX(Product_Master!$B$2:$B$30,MATCH($H635,Product_Master!$A$2:$A$30,0)),"Invalid Product Code")</f>
        <v>Sports</v>
      </c>
      <c r="J635" s="5">
        <f>IFERROR(INDEX(Product_Master!$C$2:$C$30,MATCH($H635,Product_Master!$A$2:$A$30,0)),0)</f>
        <v>314.25</v>
      </c>
      <c r="K635" s="5">
        <f>Sales_Data!E632</f>
        <v>7</v>
      </c>
      <c r="L635" s="5">
        <f>Sales_Data!F632</f>
        <v>2009.31</v>
      </c>
      <c r="M635" s="5">
        <f>Sales_Data!G632</f>
        <v>2126.29</v>
      </c>
      <c r="N635" s="5" t="str">
        <f>IFERROR(INDEX(Branch_Master!$B$2:$B$9,MATCH($B635,Branch_Master!$A$2:$A$9,0)),"Not Found")</f>
        <v>Ahmedabad</v>
      </c>
      <c r="O635" s="5" t="str">
        <f>IFERROR(INDEX(Branch_Master!$C$2:$C$9,MATCH($B635,Branch_Master!$A$2:$A$9,0)),"Not Found")</f>
        <v>Gujarat</v>
      </c>
      <c r="P635" s="5">
        <f>IFERROR(INDEX(Targets!$B$2:$B$9,MATCH($B635,Targets!$A$2:$A$9,0)),0)</f>
        <v>1590000</v>
      </c>
      <c r="Q635" s="5" t="str">
        <f t="shared" si="18"/>
        <v>No</v>
      </c>
      <c r="R635" s="5" t="str">
        <f t="shared" si="19"/>
        <v>Aug</v>
      </c>
    </row>
    <row r="636" spans="1:18" ht="15" customHeight="1" x14ac:dyDescent="0.3">
      <c r="A636" s="5" t="str">
        <f>Sales_Data!A633</f>
        <v>2025-08-20</v>
      </c>
      <c r="B636" s="5" t="str">
        <f>Sales_Data!B633</f>
        <v>Bangalore North</v>
      </c>
      <c r="C636" s="5" t="str">
        <f>Sales_Data!C633</f>
        <v>E004</v>
      </c>
      <c r="D636" s="5" t="str">
        <f>IFERROR(INDEX(Employee_Master!$B$2:$B$44,MATCH($C636,Employee_Master!$A$2:$A$44,0)),"Not Found")</f>
        <v>Judith Ramirez</v>
      </c>
      <c r="E636" s="5" t="str">
        <f>IFERROR(INDEX(Employee_Master!$C$2:$C$44,MATCH($C636,Employee_Master!$A$2:$A$44,0)),"Not Found")</f>
        <v>Sales</v>
      </c>
      <c r="F636" s="5" t="str">
        <f>IFERROR(INDEX(Employee_Master!$D$2:$D$44,MATCH($C636,Employee_Master!$A$2:$A$44,0)),"Not Found")</f>
        <v>Jose Soto</v>
      </c>
      <c r="G636" s="5" t="str">
        <f>IFERROR(INDEX(Employee_Master!$E$2:$E$44,MATCH($C636,Employee_Master!$A$2:$A$44,0)),"Not Found")</f>
        <v>South</v>
      </c>
      <c r="H636" s="5" t="str">
        <f>Sales_Data!D633</f>
        <v>P029 - Dumbbell Set 10kg</v>
      </c>
      <c r="I636" s="5" t="str">
        <f>IFERROR(INDEX(Product_Master!$B$2:$B$30,MATCH($H636,Product_Master!$A$2:$A$30,0)),"Invalid Product Code")</f>
        <v>Sports</v>
      </c>
      <c r="J636" s="5">
        <f>IFERROR(INDEX(Product_Master!$C$2:$C$30,MATCH($H636,Product_Master!$A$2:$A$30,0)),0)</f>
        <v>435</v>
      </c>
      <c r="K636" s="5">
        <f>Sales_Data!E633</f>
        <v>10</v>
      </c>
      <c r="L636" s="5">
        <f>Sales_Data!F633</f>
        <v>4387.78</v>
      </c>
      <c r="M636" s="5">
        <f>Sales_Data!G633</f>
        <v>4429.25</v>
      </c>
      <c r="N636" s="5" t="str">
        <f>IFERROR(INDEX(Branch_Master!$B$2:$B$9,MATCH($B636,Branch_Master!$A$2:$A$9,0)),"Not Found")</f>
        <v>Bangalore</v>
      </c>
      <c r="O636" s="5" t="str">
        <f>IFERROR(INDEX(Branch_Master!$C$2:$C$9,MATCH($B636,Branch_Master!$A$2:$A$9,0)),"Not Found")</f>
        <v>Karnataka</v>
      </c>
      <c r="P636" s="5">
        <f>IFERROR(INDEX(Targets!$B$2:$B$9,MATCH($B636,Targets!$A$2:$A$9,0)),0)</f>
        <v>900000</v>
      </c>
      <c r="Q636" s="5" t="str">
        <f t="shared" si="18"/>
        <v>No</v>
      </c>
      <c r="R636" s="5" t="str">
        <f t="shared" si="19"/>
        <v>Aug</v>
      </c>
    </row>
    <row r="637" spans="1:18" ht="15" customHeight="1" x14ac:dyDescent="0.3">
      <c r="A637" s="5" t="str">
        <f>Sales_Data!A634</f>
        <v>2025-08-21</v>
      </c>
      <c r="B637" s="5" t="str">
        <f>Sales_Data!B634</f>
        <v>Mumbai Central</v>
      </c>
      <c r="C637" s="5" t="str">
        <f>Sales_Data!C634</f>
        <v>E021</v>
      </c>
      <c r="D637" s="5" t="str">
        <f>IFERROR(INDEX(Employee_Master!$B$2:$B$44,MATCH($C637,Employee_Master!$A$2:$A$44,0)),"Not Found")</f>
        <v>Maria Garcia</v>
      </c>
      <c r="E637" s="5" t="str">
        <f>IFERROR(INDEX(Employee_Master!$C$2:$C$44,MATCH($C637,Employee_Master!$A$2:$A$44,0)),"Not Found")</f>
        <v>Sales</v>
      </c>
      <c r="F637" s="5" t="str">
        <f>IFERROR(INDEX(Employee_Master!$D$2:$D$44,MATCH($C637,Employee_Master!$A$2:$A$44,0)),"Not Found")</f>
        <v>Justin Glass</v>
      </c>
      <c r="G637" s="5" t="str">
        <f>IFERROR(INDEX(Employee_Master!$E$2:$E$44,MATCH($C637,Employee_Master!$A$2:$A$44,0)),"Not Found")</f>
        <v>West</v>
      </c>
      <c r="H637" s="5" t="str">
        <f>Sales_Data!D634</f>
        <v>P014 - Air Fryer</v>
      </c>
      <c r="I637" s="5" t="str">
        <f>IFERROR(INDEX(Product_Master!$B$2:$B$30,MATCH($H637,Product_Master!$A$2:$A$30,0)),"Invalid Product Code")</f>
        <v>Home &amp; Kitchen</v>
      </c>
      <c r="J637" s="5">
        <f>IFERROR(INDEX(Product_Master!$C$2:$C$30,MATCH($H637,Product_Master!$A$2:$A$30,0)),0)</f>
        <v>729.85</v>
      </c>
      <c r="K637" s="5">
        <f>Sales_Data!E634</f>
        <v>8</v>
      </c>
      <c r="L637" s="5">
        <f>Sales_Data!F634</f>
        <v>5680.48</v>
      </c>
      <c r="M637" s="5">
        <f>Sales_Data!G634</f>
        <v>5341.94</v>
      </c>
      <c r="N637" s="5" t="str">
        <f>IFERROR(INDEX(Branch_Master!$B$2:$B$9,MATCH($B637,Branch_Master!$A$2:$A$9,0)),"Not Found")</f>
        <v>Mumbai</v>
      </c>
      <c r="O637" s="5" t="str">
        <f>IFERROR(INDEX(Branch_Master!$C$2:$C$9,MATCH($B637,Branch_Master!$A$2:$A$9,0)),"Not Found")</f>
        <v>Maharashtra</v>
      </c>
      <c r="P637" s="5">
        <f>IFERROR(INDEX(Targets!$B$2:$B$9,MATCH($B637,Targets!$A$2:$A$9,0)),0)</f>
        <v>900000</v>
      </c>
      <c r="Q637" s="5" t="str">
        <f t="shared" si="18"/>
        <v>Yes</v>
      </c>
      <c r="R637" s="5" t="str">
        <f t="shared" si="19"/>
        <v>Aug</v>
      </c>
    </row>
    <row r="638" spans="1:18" ht="15" customHeight="1" x14ac:dyDescent="0.3">
      <c r="A638" s="5" t="str">
        <f>Sales_Data!A635</f>
        <v>2025-08-22</v>
      </c>
      <c r="B638" s="5" t="str">
        <f>Sales_Data!B635</f>
        <v>Mumbai Central</v>
      </c>
      <c r="C638" s="5" t="str">
        <f>Sales_Data!C635</f>
        <v>E007</v>
      </c>
      <c r="D638" s="5" t="str">
        <f>IFERROR(INDEX(Employee_Master!$B$2:$B$44,MATCH($C638,Employee_Master!$A$2:$A$44,0)),"Not Found")</f>
        <v>Jennifer Bradford</v>
      </c>
      <c r="E638" s="5" t="str">
        <f>IFERROR(INDEX(Employee_Master!$C$2:$C$44,MATCH($C638,Employee_Master!$A$2:$A$44,0)),"Not Found")</f>
        <v>Customer Support</v>
      </c>
      <c r="F638" s="5" t="str">
        <f>IFERROR(INDEX(Employee_Master!$D$2:$D$44,MATCH($C638,Employee_Master!$A$2:$A$44,0)),"Not Found")</f>
        <v>Justin Glass</v>
      </c>
      <c r="G638" s="5" t="str">
        <f>IFERROR(INDEX(Employee_Master!$E$2:$E$44,MATCH($C638,Employee_Master!$A$2:$A$44,0)),"Not Found")</f>
        <v>West</v>
      </c>
      <c r="H638" s="5" t="str">
        <f>Sales_Data!D635</f>
        <v>P008 - Denim Jeans</v>
      </c>
      <c r="I638" s="5" t="str">
        <f>IFERROR(INDEX(Product_Master!$B$2:$B$30,MATCH($H638,Product_Master!$A$2:$A$30,0)),"Invalid Product Code")</f>
        <v>Apparel</v>
      </c>
      <c r="J638" s="5">
        <f>IFERROR(INDEX(Product_Master!$C$2:$C$30,MATCH($H638,Product_Master!$A$2:$A$30,0)),0)</f>
        <v>614.48</v>
      </c>
      <c r="K638" s="5">
        <f>Sales_Data!E635</f>
        <v>7</v>
      </c>
      <c r="L638" s="5">
        <f>Sales_Data!F635</f>
        <v>4636.9399999999996</v>
      </c>
      <c r="M638" s="5">
        <f>Sales_Data!G635</f>
        <v>3838.81</v>
      </c>
      <c r="N638" s="5" t="str">
        <f>IFERROR(INDEX(Branch_Master!$B$2:$B$9,MATCH($B638,Branch_Master!$A$2:$A$9,0)),"Not Found")</f>
        <v>Mumbai</v>
      </c>
      <c r="O638" s="5" t="str">
        <f>IFERROR(INDEX(Branch_Master!$C$2:$C$9,MATCH($B638,Branch_Master!$A$2:$A$9,0)),"Not Found")</f>
        <v>Maharashtra</v>
      </c>
      <c r="P638" s="5">
        <f>IFERROR(INDEX(Targets!$B$2:$B$9,MATCH($B638,Targets!$A$2:$A$9,0)),0)</f>
        <v>900000</v>
      </c>
      <c r="Q638" s="5" t="str">
        <f t="shared" si="18"/>
        <v>Yes</v>
      </c>
      <c r="R638" s="5" t="str">
        <f t="shared" si="19"/>
        <v>Aug</v>
      </c>
    </row>
    <row r="639" spans="1:18" ht="15" customHeight="1" x14ac:dyDescent="0.3">
      <c r="A639" s="5" t="str">
        <f>Sales_Data!A636</f>
        <v>2025-08-22</v>
      </c>
      <c r="B639" s="5" t="str">
        <f>Sales_Data!B636</f>
        <v>Delhi NCR</v>
      </c>
      <c r="C639" s="5" t="str">
        <f>Sales_Data!C636</f>
        <v>E013</v>
      </c>
      <c r="D639" s="5" t="str">
        <f>IFERROR(INDEX(Employee_Master!$B$2:$B$44,MATCH($C639,Employee_Master!$A$2:$A$44,0)),"Not Found")</f>
        <v>Norma Wilson</v>
      </c>
      <c r="E639" s="5" t="str">
        <f>IFERROR(INDEX(Employee_Master!$C$2:$C$44,MATCH($C639,Employee_Master!$A$2:$A$44,0)),"Not Found")</f>
        <v>Customer Support</v>
      </c>
      <c r="F639" s="5" t="str">
        <f>IFERROR(INDEX(Employee_Master!$D$2:$D$44,MATCH($C639,Employee_Master!$A$2:$A$44,0)),"Not Found")</f>
        <v>William Oconnell</v>
      </c>
      <c r="G639" s="5" t="str">
        <f>IFERROR(INDEX(Employee_Master!$E$2:$E$44,MATCH($C639,Employee_Master!$A$2:$A$44,0)),"Not Found")</f>
        <v>North</v>
      </c>
      <c r="H639" s="5" t="str">
        <f>Sales_Data!D636</f>
        <v>P005 - LED Monitor</v>
      </c>
      <c r="I639" s="5" t="str">
        <f>IFERROR(INDEX(Product_Master!$B$2:$B$30,MATCH($H639,Product_Master!$A$2:$A$30,0)),"Invalid Product Code")</f>
        <v>Electronics</v>
      </c>
      <c r="J639" s="5">
        <f>IFERROR(INDEX(Product_Master!$C$2:$C$30,MATCH($H639,Product_Master!$A$2:$A$30,0)),0)</f>
        <v>489.9</v>
      </c>
      <c r="K639" s="5">
        <f>Sales_Data!E636</f>
        <v>1</v>
      </c>
      <c r="L639" s="5">
        <f>Sales_Data!F636</f>
        <v>492.43</v>
      </c>
      <c r="M639" s="5">
        <f>Sales_Data!G636</f>
        <v>499.1</v>
      </c>
      <c r="N639" s="5" t="str">
        <f>IFERROR(INDEX(Branch_Master!$B$2:$B$9,MATCH($B639,Branch_Master!$A$2:$A$9,0)),"Not Found")</f>
        <v>New Delhi</v>
      </c>
      <c r="O639" s="5" t="str">
        <f>IFERROR(INDEX(Branch_Master!$C$2:$C$9,MATCH($B639,Branch_Master!$A$2:$A$9,0)),"Not Found")</f>
        <v>Delhi</v>
      </c>
      <c r="P639" s="5">
        <f>IFERROR(INDEX(Targets!$B$2:$B$9,MATCH($B639,Targets!$A$2:$A$9,0)),0)</f>
        <v>2070000</v>
      </c>
      <c r="Q639" s="5" t="str">
        <f t="shared" si="18"/>
        <v>No</v>
      </c>
      <c r="R639" s="5" t="str">
        <f t="shared" si="19"/>
        <v>Aug</v>
      </c>
    </row>
    <row r="640" spans="1:18" ht="15" customHeight="1" x14ac:dyDescent="0.3">
      <c r="A640" s="5" t="str">
        <f>Sales_Data!A637</f>
        <v>2025-08-22</v>
      </c>
      <c r="B640" s="5" t="str">
        <f>Sales_Data!B637</f>
        <v>Chennai South</v>
      </c>
      <c r="C640" s="5" t="str">
        <f>Sales_Data!C637</f>
        <v>E032</v>
      </c>
      <c r="D640" s="5" t="str">
        <f>IFERROR(INDEX(Employee_Master!$B$2:$B$44,MATCH($C640,Employee_Master!$A$2:$A$44,0)),"Not Found")</f>
        <v>Victor Allen</v>
      </c>
      <c r="E640" s="5" t="str">
        <f>IFERROR(INDEX(Employee_Master!$C$2:$C$44,MATCH($C640,Employee_Master!$A$2:$A$44,0)),"Not Found")</f>
        <v>Operations</v>
      </c>
      <c r="F640" s="5" t="str">
        <f>IFERROR(INDEX(Employee_Master!$D$2:$D$44,MATCH($C640,Employee_Master!$A$2:$A$44,0)),"Not Found")</f>
        <v>Robert Steele</v>
      </c>
      <c r="G640" s="5" t="str">
        <f>IFERROR(INDEX(Employee_Master!$E$2:$E$44,MATCH($C640,Employee_Master!$A$2:$A$44,0)),"Not Found")</f>
        <v>South</v>
      </c>
      <c r="H640" s="5" t="str">
        <f>Sales_Data!D637</f>
        <v>P019 - Organic Honey</v>
      </c>
      <c r="I640" s="5" t="str">
        <f>IFERROR(INDEX(Product_Master!$B$2:$B$30,MATCH($H640,Product_Master!$A$2:$A$30,0)),"Invalid Product Code")</f>
        <v>Grocery</v>
      </c>
      <c r="J640" s="5">
        <f>IFERROR(INDEX(Product_Master!$C$2:$C$30,MATCH($H640,Product_Master!$A$2:$A$30,0)),0)</f>
        <v>482.15</v>
      </c>
      <c r="K640" s="5">
        <f>Sales_Data!E637</f>
        <v>11</v>
      </c>
      <c r="L640" s="5">
        <f>Sales_Data!F637</f>
        <v>5218.29</v>
      </c>
      <c r="M640" s="5">
        <f>Sales_Data!G637</f>
        <v>5745.92</v>
      </c>
      <c r="N640" s="5" t="str">
        <f>IFERROR(INDEX(Branch_Master!$B$2:$B$9,MATCH($B640,Branch_Master!$A$2:$A$9,0)),"Not Found")</f>
        <v>Chennai</v>
      </c>
      <c r="O640" s="5" t="str">
        <f>IFERROR(INDEX(Branch_Master!$C$2:$C$9,MATCH($B640,Branch_Master!$A$2:$A$9,0)),"Not Found")</f>
        <v>Tamil Nadu</v>
      </c>
      <c r="P640" s="5">
        <f>IFERROR(INDEX(Targets!$B$2:$B$9,MATCH($B640,Targets!$A$2:$A$9,0)),0)</f>
        <v>1910000</v>
      </c>
      <c r="Q640" s="5" t="str">
        <f t="shared" si="18"/>
        <v>No</v>
      </c>
      <c r="R640" s="5" t="str">
        <f t="shared" si="19"/>
        <v>Aug</v>
      </c>
    </row>
    <row r="641" spans="1:18" ht="15" customHeight="1" x14ac:dyDescent="0.3">
      <c r="A641" s="5" t="str">
        <f>Sales_Data!A638</f>
        <v>2025-08-23</v>
      </c>
      <c r="B641" s="5" t="str">
        <f>Sales_Data!B638</f>
        <v>Kolkata Central</v>
      </c>
      <c r="C641" s="5" t="str">
        <f>Sales_Data!C638</f>
        <v>E029</v>
      </c>
      <c r="D641" s="5" t="str">
        <f>IFERROR(INDEX(Employee_Master!$B$2:$B$44,MATCH($C641,Employee_Master!$A$2:$A$44,0)),"Not Found")</f>
        <v>Patrick Shepard</v>
      </c>
      <c r="E641" s="5" t="str">
        <f>IFERROR(INDEX(Employee_Master!$C$2:$C$44,MATCH($C641,Employee_Master!$A$2:$A$44,0)),"Not Found")</f>
        <v>Sales</v>
      </c>
      <c r="F641" s="5" t="str">
        <f>IFERROR(INDEX(Employee_Master!$D$2:$D$44,MATCH($C641,Employee_Master!$A$2:$A$44,0)),"Not Found")</f>
        <v>Lisa Moore</v>
      </c>
      <c r="G641" s="5" t="str">
        <f>IFERROR(INDEX(Employee_Master!$E$2:$E$44,MATCH($C641,Employee_Master!$A$2:$A$44,0)),"Not Found")</f>
        <v>East</v>
      </c>
      <c r="H641" s="5" t="str">
        <f>Sales_Data!D638</f>
        <v>P009 - Formal Shirt</v>
      </c>
      <c r="I641" s="5" t="str">
        <f>IFERROR(INDEX(Product_Master!$B$2:$B$30,MATCH($H641,Product_Master!$A$2:$A$30,0)),"Invalid Product Code")</f>
        <v>Apparel</v>
      </c>
      <c r="J641" s="5">
        <f>IFERROR(INDEX(Product_Master!$C$2:$C$30,MATCH($H641,Product_Master!$A$2:$A$30,0)),0)</f>
        <v>661.65</v>
      </c>
      <c r="K641" s="5">
        <f>Sales_Data!E638</f>
        <v>4</v>
      </c>
      <c r="L641" s="5">
        <f>Sales_Data!F638</f>
        <v>2632.39</v>
      </c>
      <c r="M641" s="5">
        <f>Sales_Data!G638</f>
        <v>2350.42</v>
      </c>
      <c r="N641" s="5" t="str">
        <f>IFERROR(INDEX(Branch_Master!$B$2:$B$9,MATCH($B641,Branch_Master!$A$2:$A$9,0)),"Not Found")</f>
        <v>Kolkata</v>
      </c>
      <c r="O641" s="5" t="str">
        <f>IFERROR(INDEX(Branch_Master!$C$2:$C$9,MATCH($B641,Branch_Master!$A$2:$A$9,0)),"Not Found")</f>
        <v>West Bengal</v>
      </c>
      <c r="P641" s="5">
        <f>IFERROR(INDEX(Targets!$B$2:$B$9,MATCH($B641,Targets!$A$2:$A$9,0)),0)</f>
        <v>1910000</v>
      </c>
      <c r="Q641" s="5" t="str">
        <f t="shared" si="18"/>
        <v>Yes</v>
      </c>
      <c r="R641" s="5" t="str">
        <f t="shared" si="19"/>
        <v>Aug</v>
      </c>
    </row>
    <row r="642" spans="1:18" ht="15" customHeight="1" x14ac:dyDescent="0.3">
      <c r="A642" s="5" t="str">
        <f>Sales_Data!A639</f>
        <v>2025-08-23</v>
      </c>
      <c r="B642" s="5" t="str">
        <f>Sales_Data!B639</f>
        <v>Ahmedabad West</v>
      </c>
      <c r="C642" s="5" t="str">
        <f>Sales_Data!C639</f>
        <v>E039</v>
      </c>
      <c r="D642" s="5" t="str">
        <f>IFERROR(INDEX(Employee_Master!$B$2:$B$44,MATCH($C642,Employee_Master!$A$2:$A$44,0)),"Not Found")</f>
        <v>Christopher Wood</v>
      </c>
      <c r="E642" s="5" t="str">
        <f>IFERROR(INDEX(Employee_Master!$C$2:$C$44,MATCH($C642,Employee_Master!$A$2:$A$44,0)),"Not Found")</f>
        <v>Marketing</v>
      </c>
      <c r="F642" s="5" t="str">
        <f>IFERROR(INDEX(Employee_Master!$D$2:$D$44,MATCH($C642,Employee_Master!$A$2:$A$44,0)),"Not Found")</f>
        <v>Joseph Brown</v>
      </c>
      <c r="G642" s="5" t="str">
        <f>IFERROR(INDEX(Employee_Master!$E$2:$E$44,MATCH($C642,Employee_Master!$A$2:$A$44,0)),"Not Found")</f>
        <v>West</v>
      </c>
      <c r="H642" s="5" t="str">
        <f>Sales_Data!D639</f>
        <v>P002 - Smart Watch</v>
      </c>
      <c r="I642" s="5" t="str">
        <f>IFERROR(INDEX(Product_Master!$B$2:$B$30,MATCH($H642,Product_Master!$A$2:$A$30,0)),"Invalid Product Code")</f>
        <v>Electronics</v>
      </c>
      <c r="J642" s="5">
        <f>IFERROR(INDEX(Product_Master!$C$2:$C$30,MATCH($H642,Product_Master!$A$2:$A$30,0)),0)</f>
        <v>403.33</v>
      </c>
      <c r="K642" s="5">
        <f>Sales_Data!E639</f>
        <v>2</v>
      </c>
      <c r="L642" s="5">
        <f>Sales_Data!F639</f>
        <v>817.92</v>
      </c>
      <c r="M642" s="5">
        <f>Sales_Data!G639</f>
        <v>784.38</v>
      </c>
      <c r="N642" s="5" t="str">
        <f>IFERROR(INDEX(Branch_Master!$B$2:$B$9,MATCH($B642,Branch_Master!$A$2:$A$9,0)),"Not Found")</f>
        <v>Ahmedabad</v>
      </c>
      <c r="O642" s="5" t="str">
        <f>IFERROR(INDEX(Branch_Master!$C$2:$C$9,MATCH($B642,Branch_Master!$A$2:$A$9,0)),"Not Found")</f>
        <v>Gujarat</v>
      </c>
      <c r="P642" s="5">
        <f>IFERROR(INDEX(Targets!$B$2:$B$9,MATCH($B642,Targets!$A$2:$A$9,0)),0)</f>
        <v>1590000</v>
      </c>
      <c r="Q642" s="5" t="str">
        <f t="shared" si="18"/>
        <v>Yes</v>
      </c>
      <c r="R642" s="5" t="str">
        <f t="shared" si="19"/>
        <v>Aug</v>
      </c>
    </row>
    <row r="643" spans="1:18" ht="15" customHeight="1" x14ac:dyDescent="0.3">
      <c r="A643" s="5" t="str">
        <f>Sales_Data!A640</f>
        <v>2025-08-25</v>
      </c>
      <c r="B643" s="5" t="str">
        <f>Sales_Data!B640</f>
        <v>Kolkata Central</v>
      </c>
      <c r="C643" s="5" t="str">
        <f>Sales_Data!C640</f>
        <v>E018</v>
      </c>
      <c r="D643" s="5" t="str">
        <f>IFERROR(INDEX(Employee_Master!$B$2:$B$44,MATCH($C643,Employee_Master!$A$2:$A$44,0)),"Not Found")</f>
        <v>Daniel Nelson</v>
      </c>
      <c r="E643" s="5" t="str">
        <f>IFERROR(INDEX(Employee_Master!$C$2:$C$44,MATCH($C643,Employee_Master!$A$2:$A$44,0)),"Not Found")</f>
        <v>Sales</v>
      </c>
      <c r="F643" s="5" t="str">
        <f>IFERROR(INDEX(Employee_Master!$D$2:$D$44,MATCH($C643,Employee_Master!$A$2:$A$44,0)),"Not Found")</f>
        <v>Lisa Moore</v>
      </c>
      <c r="G643" s="5" t="str">
        <f>IFERROR(INDEX(Employee_Master!$E$2:$E$44,MATCH($C643,Employee_Master!$A$2:$A$44,0)),"Not Found")</f>
        <v>East</v>
      </c>
      <c r="H643" s="5" t="str">
        <f>Sales_Data!D640</f>
        <v>P018 - Cooking Oil 1L</v>
      </c>
      <c r="I643" s="5" t="str">
        <f>IFERROR(INDEX(Product_Master!$B$2:$B$30,MATCH($H643,Product_Master!$A$2:$A$30,0)),"Invalid Product Code")</f>
        <v>Grocery</v>
      </c>
      <c r="J643" s="5">
        <f>IFERROR(INDEX(Product_Master!$C$2:$C$30,MATCH($H643,Product_Master!$A$2:$A$30,0)),0)</f>
        <v>1483.63</v>
      </c>
      <c r="K643" s="5">
        <f>Sales_Data!E640</f>
        <v>6</v>
      </c>
      <c r="L643" s="5">
        <f>Sales_Data!F640</f>
        <v>9645.0499999999993</v>
      </c>
      <c r="M643" s="5">
        <f>Sales_Data!G640</f>
        <v>7728.34</v>
      </c>
      <c r="N643" s="5" t="str">
        <f>IFERROR(INDEX(Branch_Master!$B$2:$B$9,MATCH($B643,Branch_Master!$A$2:$A$9,0)),"Not Found")</f>
        <v>Kolkata</v>
      </c>
      <c r="O643" s="5" t="str">
        <f>IFERROR(INDEX(Branch_Master!$C$2:$C$9,MATCH($B643,Branch_Master!$A$2:$A$9,0)),"Not Found")</f>
        <v>West Bengal</v>
      </c>
      <c r="P643" s="5">
        <f>IFERROR(INDEX(Targets!$B$2:$B$9,MATCH($B643,Targets!$A$2:$A$9,0)),0)</f>
        <v>1910000</v>
      </c>
      <c r="Q643" s="5" t="str">
        <f t="shared" si="18"/>
        <v>Yes</v>
      </c>
      <c r="R643" s="5" t="str">
        <f t="shared" si="19"/>
        <v>Aug</v>
      </c>
    </row>
    <row r="644" spans="1:18" ht="15" customHeight="1" x14ac:dyDescent="0.3">
      <c r="A644" s="5" t="str">
        <f>Sales_Data!A641</f>
        <v>2025-08-25</v>
      </c>
      <c r="B644" s="5" t="str">
        <f>Sales_Data!B641</f>
        <v>Pune East</v>
      </c>
      <c r="C644" s="5" t="str">
        <f>Sales_Data!C641</f>
        <v>E034</v>
      </c>
      <c r="D644" s="5" t="str">
        <f>IFERROR(INDEX(Employee_Master!$B$2:$B$44,MATCH($C644,Employee_Master!$A$2:$A$44,0)),"Not Found")</f>
        <v>Elaine Thompson</v>
      </c>
      <c r="E644" s="5" t="str">
        <f>IFERROR(INDEX(Employee_Master!$C$2:$C$44,MATCH($C644,Employee_Master!$A$2:$A$44,0)),"Not Found")</f>
        <v>Marketing</v>
      </c>
      <c r="F644" s="5" t="str">
        <f>IFERROR(INDEX(Employee_Master!$D$2:$D$44,MATCH($C644,Employee_Master!$A$2:$A$44,0)),"Not Found")</f>
        <v>Jordan Matthews</v>
      </c>
      <c r="G644" s="5" t="str">
        <f>IFERROR(INDEX(Employee_Master!$E$2:$E$44,MATCH($C644,Employee_Master!$A$2:$A$44,0)),"Not Found")</f>
        <v>West</v>
      </c>
      <c r="H644" s="5" t="str">
        <f>Sales_Data!D641</f>
        <v>P025 - Lipstick Set</v>
      </c>
      <c r="I644" s="5" t="str">
        <f>IFERROR(INDEX(Product_Master!$B$2:$B$30,MATCH($H644,Product_Master!$A$2:$A$30,0)),"Invalid Product Code")</f>
        <v>Beauty</v>
      </c>
      <c r="J644" s="5">
        <f>IFERROR(INDEX(Product_Master!$C$2:$C$30,MATCH($H644,Product_Master!$A$2:$A$30,0)),0)</f>
        <v>765.9</v>
      </c>
      <c r="K644" s="5">
        <f>Sales_Data!E641</f>
        <v>9</v>
      </c>
      <c r="L644" s="5">
        <f>Sales_Data!F641</f>
        <v>6244.86</v>
      </c>
      <c r="M644" s="5">
        <f>Sales_Data!G641</f>
        <v>7102.55</v>
      </c>
      <c r="N644" s="5" t="str">
        <f>IFERROR(INDEX(Branch_Master!$B$2:$B$9,MATCH($B644,Branch_Master!$A$2:$A$9,0)),"Not Found")</f>
        <v>Pune</v>
      </c>
      <c r="O644" s="5" t="str">
        <f>IFERROR(INDEX(Branch_Master!$C$2:$C$9,MATCH($B644,Branch_Master!$A$2:$A$9,0)),"Not Found")</f>
        <v>Maharashtra</v>
      </c>
      <c r="P644" s="5">
        <f>IFERROR(INDEX(Targets!$B$2:$B$9,MATCH($B644,Targets!$A$2:$A$9,0)),0)</f>
        <v>1250000</v>
      </c>
      <c r="Q644" s="5" t="str">
        <f t="shared" si="18"/>
        <v>No</v>
      </c>
      <c r="R644" s="5" t="str">
        <f t="shared" si="19"/>
        <v>Aug</v>
      </c>
    </row>
    <row r="645" spans="1:18" ht="15" customHeight="1" x14ac:dyDescent="0.3">
      <c r="A645" s="5" t="str">
        <f>Sales_Data!A642</f>
        <v>2025-08-25</v>
      </c>
      <c r="B645" s="5" t="str">
        <f>Sales_Data!B642</f>
        <v>Mumbai Central</v>
      </c>
      <c r="C645" s="5" t="str">
        <f>Sales_Data!C642</f>
        <v>E010</v>
      </c>
      <c r="D645" s="5" t="str">
        <f>IFERROR(INDEX(Employee_Master!$B$2:$B$44,MATCH($C645,Employee_Master!$A$2:$A$44,0)),"Not Found")</f>
        <v>William Sanders</v>
      </c>
      <c r="E645" s="5" t="str">
        <f>IFERROR(INDEX(Employee_Master!$C$2:$C$44,MATCH($C645,Employee_Master!$A$2:$A$44,0)),"Not Found")</f>
        <v>Sales</v>
      </c>
      <c r="F645" s="5" t="str">
        <f>IFERROR(INDEX(Employee_Master!$D$2:$D$44,MATCH($C645,Employee_Master!$A$2:$A$44,0)),"Not Found")</f>
        <v>Justin Glass</v>
      </c>
      <c r="G645" s="5" t="str">
        <f>IFERROR(INDEX(Employee_Master!$E$2:$E$44,MATCH($C645,Employee_Master!$A$2:$A$44,0)),"Not Found")</f>
        <v>West</v>
      </c>
      <c r="H645" s="5" t="str">
        <f>Sales_Data!D642</f>
        <v>P011 - Winter Jacket</v>
      </c>
      <c r="I645" s="5" t="str">
        <f>IFERROR(INDEX(Product_Master!$B$2:$B$30,MATCH($H645,Product_Master!$A$2:$A$30,0)),"Invalid Product Code")</f>
        <v>Apparel</v>
      </c>
      <c r="J645" s="5">
        <f>IFERROR(INDEX(Product_Master!$C$2:$C$30,MATCH($H645,Product_Master!$A$2:$A$30,0)),0)</f>
        <v>264.97000000000003</v>
      </c>
      <c r="K645" s="5">
        <f>Sales_Data!E642</f>
        <v>1</v>
      </c>
      <c r="L645" s="5">
        <f>Sales_Data!F642</f>
        <v>274.75</v>
      </c>
      <c r="M645" s="5">
        <f>Sales_Data!G642</f>
        <v>256.33</v>
      </c>
      <c r="N645" s="5" t="str">
        <f>IFERROR(INDEX(Branch_Master!$B$2:$B$9,MATCH($B645,Branch_Master!$A$2:$A$9,0)),"Not Found")</f>
        <v>Mumbai</v>
      </c>
      <c r="O645" s="5" t="str">
        <f>IFERROR(INDEX(Branch_Master!$C$2:$C$9,MATCH($B645,Branch_Master!$A$2:$A$9,0)),"Not Found")</f>
        <v>Maharashtra</v>
      </c>
      <c r="P645" s="5">
        <f>IFERROR(INDEX(Targets!$B$2:$B$9,MATCH($B645,Targets!$A$2:$A$9,0)),0)</f>
        <v>900000</v>
      </c>
      <c r="Q645" s="5" t="str">
        <f t="shared" ref="Q645:Q708" si="20">IF(L645&gt;=M645,"Yes","No")</f>
        <v>Yes</v>
      </c>
      <c r="R645" s="5" t="str">
        <f t="shared" ref="R645:R708" si="21">TEXT(A645,"MMM")</f>
        <v>Aug</v>
      </c>
    </row>
    <row r="646" spans="1:18" ht="15" customHeight="1" x14ac:dyDescent="0.3">
      <c r="A646" s="5" t="str">
        <f>Sales_Data!A643</f>
        <v>2025-08-25</v>
      </c>
      <c r="B646" s="5" t="str">
        <f>Sales_Data!B643</f>
        <v>Hyderabad Hitech</v>
      </c>
      <c r="C646" s="5" t="str">
        <f>Sales_Data!C643</f>
        <v>E014</v>
      </c>
      <c r="D646" s="5" t="str">
        <f>IFERROR(INDEX(Employee_Master!$B$2:$B$44,MATCH($C646,Employee_Master!$A$2:$A$44,0)),"Not Found")</f>
        <v>Brian Brown</v>
      </c>
      <c r="E646" s="5" t="str">
        <f>IFERROR(INDEX(Employee_Master!$C$2:$C$44,MATCH($C646,Employee_Master!$A$2:$A$44,0)),"Not Found")</f>
        <v>Marketing</v>
      </c>
      <c r="F646" s="5" t="str">
        <f>IFERROR(INDEX(Employee_Master!$D$2:$D$44,MATCH($C646,Employee_Master!$A$2:$A$44,0)),"Not Found")</f>
        <v>Anna Turner</v>
      </c>
      <c r="G646" s="5" t="str">
        <f>IFERROR(INDEX(Employee_Master!$E$2:$E$44,MATCH($C646,Employee_Master!$A$2:$A$44,0)),"Not Found")</f>
        <v>South</v>
      </c>
      <c r="H646" s="5" t="str">
        <f>Sales_Data!D643</f>
        <v>P015 - Water Bottle</v>
      </c>
      <c r="I646" s="5" t="str">
        <f>IFERROR(INDEX(Product_Master!$B$2:$B$30,MATCH($H646,Product_Master!$A$2:$A$30,0)),"Invalid Product Code")</f>
        <v>Home &amp; Kitchen</v>
      </c>
      <c r="J646" s="5">
        <f>IFERROR(INDEX(Product_Master!$C$2:$C$30,MATCH($H646,Product_Master!$A$2:$A$30,0)),0)</f>
        <v>197.57</v>
      </c>
      <c r="K646" s="5">
        <f>Sales_Data!E643</f>
        <v>8</v>
      </c>
      <c r="L646" s="5">
        <f>Sales_Data!F643</f>
        <v>1637.64</v>
      </c>
      <c r="M646" s="5">
        <f>Sales_Data!G643</f>
        <v>1603.4</v>
      </c>
      <c r="N646" s="5" t="str">
        <f>IFERROR(INDEX(Branch_Master!$B$2:$B$9,MATCH($B646,Branch_Master!$A$2:$A$9,0)),"Not Found")</f>
        <v>Hyderabad</v>
      </c>
      <c r="O646" s="5" t="str">
        <f>IFERROR(INDEX(Branch_Master!$C$2:$C$9,MATCH($B646,Branch_Master!$A$2:$A$9,0)),"Not Found")</f>
        <v>Telangana</v>
      </c>
      <c r="P646" s="5">
        <f>IFERROR(INDEX(Targets!$B$2:$B$9,MATCH($B646,Targets!$A$2:$A$9,0)),0)</f>
        <v>1210000</v>
      </c>
      <c r="Q646" s="5" t="str">
        <f t="shared" si="20"/>
        <v>Yes</v>
      </c>
      <c r="R646" s="5" t="str">
        <f t="shared" si="21"/>
        <v>Aug</v>
      </c>
    </row>
    <row r="647" spans="1:18" ht="15" customHeight="1" x14ac:dyDescent="0.3">
      <c r="A647" s="5" t="str">
        <f>Sales_Data!A644</f>
        <v>2025-08-25</v>
      </c>
      <c r="B647" s="5" t="str">
        <f>Sales_Data!B644</f>
        <v>Kolkata Central</v>
      </c>
      <c r="C647" s="5" t="str">
        <f>Sales_Data!C644</f>
        <v>E018</v>
      </c>
      <c r="D647" s="5" t="str">
        <f>IFERROR(INDEX(Employee_Master!$B$2:$B$44,MATCH($C647,Employee_Master!$A$2:$A$44,0)),"Not Found")</f>
        <v>Daniel Nelson</v>
      </c>
      <c r="E647" s="5" t="str">
        <f>IFERROR(INDEX(Employee_Master!$C$2:$C$44,MATCH($C647,Employee_Master!$A$2:$A$44,0)),"Not Found")</f>
        <v>Sales</v>
      </c>
      <c r="F647" s="5" t="str">
        <f>IFERROR(INDEX(Employee_Master!$D$2:$D$44,MATCH($C647,Employee_Master!$A$2:$A$44,0)),"Not Found")</f>
        <v>Lisa Moore</v>
      </c>
      <c r="G647" s="5" t="str">
        <f>IFERROR(INDEX(Employee_Master!$E$2:$E$44,MATCH($C647,Employee_Master!$A$2:$A$44,0)),"Not Found")</f>
        <v>East</v>
      </c>
      <c r="H647" s="5" t="str">
        <f>Sales_Data!D644</f>
        <v>P029 - Dumbbell Set 10kg</v>
      </c>
      <c r="I647" s="5" t="str">
        <f>IFERROR(INDEX(Product_Master!$B$2:$B$30,MATCH($H647,Product_Master!$A$2:$A$30,0)),"Invalid Product Code")</f>
        <v>Sports</v>
      </c>
      <c r="J647" s="5">
        <f>IFERROR(INDEX(Product_Master!$C$2:$C$30,MATCH($H647,Product_Master!$A$2:$A$30,0)),0)</f>
        <v>435</v>
      </c>
      <c r="K647" s="5">
        <f>Sales_Data!E644</f>
        <v>8</v>
      </c>
      <c r="L647" s="5">
        <f>Sales_Data!F644</f>
        <v>3173.91</v>
      </c>
      <c r="M647" s="5">
        <f>Sales_Data!G644</f>
        <v>3024.84</v>
      </c>
      <c r="N647" s="5" t="str">
        <f>IFERROR(INDEX(Branch_Master!$B$2:$B$9,MATCH($B647,Branch_Master!$A$2:$A$9,0)),"Not Found")</f>
        <v>Kolkata</v>
      </c>
      <c r="O647" s="5" t="str">
        <f>IFERROR(INDEX(Branch_Master!$C$2:$C$9,MATCH($B647,Branch_Master!$A$2:$A$9,0)),"Not Found")</f>
        <v>West Bengal</v>
      </c>
      <c r="P647" s="5">
        <f>IFERROR(INDEX(Targets!$B$2:$B$9,MATCH($B647,Targets!$A$2:$A$9,0)),0)</f>
        <v>1910000</v>
      </c>
      <c r="Q647" s="5" t="str">
        <f t="shared" si="20"/>
        <v>Yes</v>
      </c>
      <c r="R647" s="5" t="str">
        <f t="shared" si="21"/>
        <v>Aug</v>
      </c>
    </row>
    <row r="648" spans="1:18" ht="15" customHeight="1" x14ac:dyDescent="0.3">
      <c r="A648" s="5" t="str">
        <f>Sales_Data!A645</f>
        <v>2025-08-25</v>
      </c>
      <c r="B648" s="5" t="str">
        <f>Sales_Data!B645</f>
        <v>Pune East</v>
      </c>
      <c r="C648" s="5" t="str">
        <f>Sales_Data!C645</f>
        <v>E022</v>
      </c>
      <c r="D648" s="5" t="str">
        <f>IFERROR(INDEX(Employee_Master!$B$2:$B$44,MATCH($C648,Employee_Master!$A$2:$A$44,0)),"Not Found")</f>
        <v>Cindy Green PhD</v>
      </c>
      <c r="E648" s="5" t="str">
        <f>IFERROR(INDEX(Employee_Master!$C$2:$C$44,MATCH($C648,Employee_Master!$A$2:$A$44,0)),"Not Found")</f>
        <v>Customer Support</v>
      </c>
      <c r="F648" s="5" t="str">
        <f>IFERROR(INDEX(Employee_Master!$D$2:$D$44,MATCH($C648,Employee_Master!$A$2:$A$44,0)),"Not Found")</f>
        <v>Jordan Matthews</v>
      </c>
      <c r="G648" s="5" t="str">
        <f>IFERROR(INDEX(Employee_Master!$E$2:$E$44,MATCH($C648,Employee_Master!$A$2:$A$44,0)),"Not Found")</f>
        <v>West</v>
      </c>
      <c r="H648" s="5" t="str">
        <f>Sales_Data!D645</f>
        <v>P011 - Winter Jacket</v>
      </c>
      <c r="I648" s="5" t="str">
        <f>IFERROR(INDEX(Product_Master!$B$2:$B$30,MATCH($H648,Product_Master!$A$2:$A$30,0)),"Invalid Product Code")</f>
        <v>Apparel</v>
      </c>
      <c r="J648" s="5">
        <f>IFERROR(INDEX(Product_Master!$C$2:$C$30,MATCH($H648,Product_Master!$A$2:$A$30,0)),0)</f>
        <v>264.97000000000003</v>
      </c>
      <c r="K648" s="5">
        <f>Sales_Data!E645</f>
        <v>7</v>
      </c>
      <c r="L648" s="5">
        <f>Sales_Data!F645</f>
        <v>1842.53</v>
      </c>
      <c r="M648" s="5">
        <f>Sales_Data!G645</f>
        <v>1863.3</v>
      </c>
      <c r="N648" s="5" t="str">
        <f>IFERROR(INDEX(Branch_Master!$B$2:$B$9,MATCH($B648,Branch_Master!$A$2:$A$9,0)),"Not Found")</f>
        <v>Pune</v>
      </c>
      <c r="O648" s="5" t="str">
        <f>IFERROR(INDEX(Branch_Master!$C$2:$C$9,MATCH($B648,Branch_Master!$A$2:$A$9,0)),"Not Found")</f>
        <v>Maharashtra</v>
      </c>
      <c r="P648" s="5">
        <f>IFERROR(INDEX(Targets!$B$2:$B$9,MATCH($B648,Targets!$A$2:$A$9,0)),0)</f>
        <v>1250000</v>
      </c>
      <c r="Q648" s="5" t="str">
        <f t="shared" si="20"/>
        <v>No</v>
      </c>
      <c r="R648" s="5" t="str">
        <f t="shared" si="21"/>
        <v>Aug</v>
      </c>
    </row>
    <row r="649" spans="1:18" ht="15" customHeight="1" x14ac:dyDescent="0.3">
      <c r="A649" s="5" t="str">
        <f>Sales_Data!A646</f>
        <v>2025-08-25</v>
      </c>
      <c r="B649" s="5" t="str">
        <f>Sales_Data!B646</f>
        <v>Mumbai Central</v>
      </c>
      <c r="C649" s="5" t="str">
        <f>Sales_Data!C646</f>
        <v>E009</v>
      </c>
      <c r="D649" s="5" t="str">
        <f>IFERROR(INDEX(Employee_Master!$B$2:$B$44,MATCH($C649,Employee_Master!$A$2:$A$44,0)),"Not Found")</f>
        <v>Daniel Kent</v>
      </c>
      <c r="E649" s="5" t="str">
        <f>IFERROR(INDEX(Employee_Master!$C$2:$C$44,MATCH($C649,Employee_Master!$A$2:$A$44,0)),"Not Found")</f>
        <v>Sales</v>
      </c>
      <c r="F649" s="5" t="str">
        <f>IFERROR(INDEX(Employee_Master!$D$2:$D$44,MATCH($C649,Employee_Master!$A$2:$A$44,0)),"Not Found")</f>
        <v>Justin Glass</v>
      </c>
      <c r="G649" s="5" t="str">
        <f>IFERROR(INDEX(Employee_Master!$E$2:$E$44,MATCH($C649,Employee_Master!$A$2:$A$44,0)),"Not Found")</f>
        <v>West</v>
      </c>
      <c r="H649" s="5" t="str">
        <f>Sales_Data!D646</f>
        <v>P011 - Winter Jacket</v>
      </c>
      <c r="I649" s="5" t="str">
        <f>IFERROR(INDEX(Product_Master!$B$2:$B$30,MATCH($H649,Product_Master!$A$2:$A$30,0)),"Invalid Product Code")</f>
        <v>Apparel</v>
      </c>
      <c r="J649" s="5">
        <f>IFERROR(INDEX(Product_Master!$C$2:$C$30,MATCH($H649,Product_Master!$A$2:$A$30,0)),0)</f>
        <v>264.97000000000003</v>
      </c>
      <c r="K649" s="5">
        <f>Sales_Data!E646</f>
        <v>8</v>
      </c>
      <c r="L649" s="5">
        <f>Sales_Data!F646</f>
        <v>2178.77</v>
      </c>
      <c r="M649" s="5">
        <f>Sales_Data!G646</f>
        <v>1841.06</v>
      </c>
      <c r="N649" s="5" t="str">
        <f>IFERROR(INDEX(Branch_Master!$B$2:$B$9,MATCH($B649,Branch_Master!$A$2:$A$9,0)),"Not Found")</f>
        <v>Mumbai</v>
      </c>
      <c r="O649" s="5" t="str">
        <f>IFERROR(INDEX(Branch_Master!$C$2:$C$9,MATCH($B649,Branch_Master!$A$2:$A$9,0)),"Not Found")</f>
        <v>Maharashtra</v>
      </c>
      <c r="P649" s="5">
        <f>IFERROR(INDEX(Targets!$B$2:$B$9,MATCH($B649,Targets!$A$2:$A$9,0)),0)</f>
        <v>900000</v>
      </c>
      <c r="Q649" s="5" t="str">
        <f t="shared" si="20"/>
        <v>Yes</v>
      </c>
      <c r="R649" s="5" t="str">
        <f t="shared" si="21"/>
        <v>Aug</v>
      </c>
    </row>
    <row r="650" spans="1:18" ht="15" customHeight="1" x14ac:dyDescent="0.3">
      <c r="A650" s="5" t="str">
        <f>Sales_Data!A647</f>
        <v>2025-08-25</v>
      </c>
      <c r="B650" s="5" t="str">
        <f>Sales_Data!B647</f>
        <v>Pune East</v>
      </c>
      <c r="C650" s="5" t="str">
        <f>Sales_Data!C647</f>
        <v>E022</v>
      </c>
      <c r="D650" s="5" t="str">
        <f>IFERROR(INDEX(Employee_Master!$B$2:$B$44,MATCH($C650,Employee_Master!$A$2:$A$44,0)),"Not Found")</f>
        <v>Cindy Green PhD</v>
      </c>
      <c r="E650" s="5" t="str">
        <f>IFERROR(INDEX(Employee_Master!$C$2:$C$44,MATCH($C650,Employee_Master!$A$2:$A$44,0)),"Not Found")</f>
        <v>Customer Support</v>
      </c>
      <c r="F650" s="5" t="str">
        <f>IFERROR(INDEX(Employee_Master!$D$2:$D$44,MATCH($C650,Employee_Master!$A$2:$A$44,0)),"Not Found")</f>
        <v>Jordan Matthews</v>
      </c>
      <c r="G650" s="5" t="str">
        <f>IFERROR(INDEX(Employee_Master!$E$2:$E$44,MATCH($C650,Employee_Master!$A$2:$A$44,0)),"Not Found")</f>
        <v>West</v>
      </c>
      <c r="H650" s="5" t="str">
        <f>Sales_Data!D647</f>
        <v>P012 - Non-Stick Pan</v>
      </c>
      <c r="I650" s="5" t="str">
        <f>IFERROR(INDEX(Product_Master!$B$2:$B$30,MATCH($H650,Product_Master!$A$2:$A$30,0)),"Invalid Product Code")</f>
        <v>Home &amp; Kitchen</v>
      </c>
      <c r="J650" s="5">
        <f>IFERROR(INDEX(Product_Master!$C$2:$C$30,MATCH($H650,Product_Master!$A$2:$A$30,0)),0)</f>
        <v>353.18</v>
      </c>
      <c r="K650" s="5">
        <f>Sales_Data!E647</f>
        <v>5</v>
      </c>
      <c r="L650" s="5">
        <f>Sales_Data!F647</f>
        <v>1708.35</v>
      </c>
      <c r="M650" s="5">
        <f>Sales_Data!G647</f>
        <v>2020.85</v>
      </c>
      <c r="N650" s="5" t="str">
        <f>IFERROR(INDEX(Branch_Master!$B$2:$B$9,MATCH($B650,Branch_Master!$A$2:$A$9,0)),"Not Found")</f>
        <v>Pune</v>
      </c>
      <c r="O650" s="5" t="str">
        <f>IFERROR(INDEX(Branch_Master!$C$2:$C$9,MATCH($B650,Branch_Master!$A$2:$A$9,0)),"Not Found")</f>
        <v>Maharashtra</v>
      </c>
      <c r="P650" s="5">
        <f>IFERROR(INDEX(Targets!$B$2:$B$9,MATCH($B650,Targets!$A$2:$A$9,0)),0)</f>
        <v>1250000</v>
      </c>
      <c r="Q650" s="5" t="str">
        <f t="shared" si="20"/>
        <v>No</v>
      </c>
      <c r="R650" s="5" t="str">
        <f t="shared" si="21"/>
        <v>Aug</v>
      </c>
    </row>
    <row r="651" spans="1:18" ht="15" customHeight="1" x14ac:dyDescent="0.3">
      <c r="A651" s="5" t="str">
        <f>Sales_Data!A648</f>
        <v>2025-08-25</v>
      </c>
      <c r="B651" s="5" t="str">
        <f>Sales_Data!B648</f>
        <v>Ahmedabad West</v>
      </c>
      <c r="C651" s="5" t="str">
        <f>Sales_Data!C648</f>
        <v>E039</v>
      </c>
      <c r="D651" s="5" t="str">
        <f>IFERROR(INDEX(Employee_Master!$B$2:$B$44,MATCH($C651,Employee_Master!$A$2:$A$44,0)),"Not Found")</f>
        <v>Christopher Wood</v>
      </c>
      <c r="E651" s="5" t="str">
        <f>IFERROR(INDEX(Employee_Master!$C$2:$C$44,MATCH($C651,Employee_Master!$A$2:$A$44,0)),"Not Found")</f>
        <v>Marketing</v>
      </c>
      <c r="F651" s="5" t="str">
        <f>IFERROR(INDEX(Employee_Master!$D$2:$D$44,MATCH($C651,Employee_Master!$A$2:$A$44,0)),"Not Found")</f>
        <v>Joseph Brown</v>
      </c>
      <c r="G651" s="5" t="str">
        <f>IFERROR(INDEX(Employee_Master!$E$2:$E$44,MATCH($C651,Employee_Master!$A$2:$A$44,0)),"Not Found")</f>
        <v>West</v>
      </c>
      <c r="H651" s="5" t="str">
        <f>Sales_Data!D648</f>
        <v>P001 - Wireless Earbuds</v>
      </c>
      <c r="I651" s="5" t="str">
        <f>IFERROR(INDEX(Product_Master!$B$2:$B$30,MATCH($H651,Product_Master!$A$2:$A$30,0)),"Invalid Product Code")</f>
        <v>Electronics</v>
      </c>
      <c r="J651" s="5">
        <f>IFERROR(INDEX(Product_Master!$C$2:$C$30,MATCH($H651,Product_Master!$A$2:$A$30,0)),0)</f>
        <v>1676.76</v>
      </c>
      <c r="K651" s="5">
        <f>Sales_Data!E648</f>
        <v>10</v>
      </c>
      <c r="L651" s="5">
        <f>Sales_Data!F648</f>
        <v>17151.009999999998</v>
      </c>
      <c r="M651" s="5">
        <f>Sales_Data!G648</f>
        <v>17464.11</v>
      </c>
      <c r="N651" s="5" t="str">
        <f>IFERROR(INDEX(Branch_Master!$B$2:$B$9,MATCH($B651,Branch_Master!$A$2:$A$9,0)),"Not Found")</f>
        <v>Ahmedabad</v>
      </c>
      <c r="O651" s="5" t="str">
        <f>IFERROR(INDEX(Branch_Master!$C$2:$C$9,MATCH($B651,Branch_Master!$A$2:$A$9,0)),"Not Found")</f>
        <v>Gujarat</v>
      </c>
      <c r="P651" s="5">
        <f>IFERROR(INDEX(Targets!$B$2:$B$9,MATCH($B651,Targets!$A$2:$A$9,0)),0)</f>
        <v>1590000</v>
      </c>
      <c r="Q651" s="5" t="str">
        <f t="shared" si="20"/>
        <v>No</v>
      </c>
      <c r="R651" s="5" t="str">
        <f t="shared" si="21"/>
        <v>Aug</v>
      </c>
    </row>
    <row r="652" spans="1:18" ht="15" customHeight="1" x14ac:dyDescent="0.3">
      <c r="A652" s="5" t="str">
        <f>Sales_Data!A649</f>
        <v>2025-08-26</v>
      </c>
      <c r="B652" s="5" t="str">
        <f>Sales_Data!B649</f>
        <v>Ahmedabad West</v>
      </c>
      <c r="C652" s="5" t="str">
        <f>Sales_Data!C649</f>
        <v>E037</v>
      </c>
      <c r="D652" s="5" t="str">
        <f>IFERROR(INDEX(Employee_Master!$B$2:$B$44,MATCH($C652,Employee_Master!$A$2:$A$44,0)),"Not Found")</f>
        <v>Thomas Harris</v>
      </c>
      <c r="E652" s="5" t="str">
        <f>IFERROR(INDEX(Employee_Master!$C$2:$C$44,MATCH($C652,Employee_Master!$A$2:$A$44,0)),"Not Found")</f>
        <v>Customer Support</v>
      </c>
      <c r="F652" s="5" t="str">
        <f>IFERROR(INDEX(Employee_Master!$D$2:$D$44,MATCH($C652,Employee_Master!$A$2:$A$44,0)),"Not Found")</f>
        <v>Joseph Brown</v>
      </c>
      <c r="G652" s="5" t="str">
        <f>IFERROR(INDEX(Employee_Master!$E$2:$E$44,MATCH($C652,Employee_Master!$A$2:$A$44,0)),"Not Found")</f>
        <v>West</v>
      </c>
      <c r="H652" s="5" t="str">
        <f>Sales_Data!D649</f>
        <v>P014 - Air Fryer</v>
      </c>
      <c r="I652" s="5" t="str">
        <f>IFERROR(INDEX(Product_Master!$B$2:$B$30,MATCH($H652,Product_Master!$A$2:$A$30,0)),"Invalid Product Code")</f>
        <v>Home &amp; Kitchen</v>
      </c>
      <c r="J652" s="5">
        <f>IFERROR(INDEX(Product_Master!$C$2:$C$30,MATCH($H652,Product_Master!$A$2:$A$30,0)),0)</f>
        <v>729.85</v>
      </c>
      <c r="K652" s="5">
        <f>Sales_Data!E649</f>
        <v>5</v>
      </c>
      <c r="L652" s="5">
        <f>Sales_Data!F649</f>
        <v>3516.21</v>
      </c>
      <c r="M652" s="5">
        <f>Sales_Data!G649</f>
        <v>3537.01</v>
      </c>
      <c r="N652" s="5" t="str">
        <f>IFERROR(INDEX(Branch_Master!$B$2:$B$9,MATCH($B652,Branch_Master!$A$2:$A$9,0)),"Not Found")</f>
        <v>Ahmedabad</v>
      </c>
      <c r="O652" s="5" t="str">
        <f>IFERROR(INDEX(Branch_Master!$C$2:$C$9,MATCH($B652,Branch_Master!$A$2:$A$9,0)),"Not Found")</f>
        <v>Gujarat</v>
      </c>
      <c r="P652" s="5">
        <f>IFERROR(INDEX(Targets!$B$2:$B$9,MATCH($B652,Targets!$A$2:$A$9,0)),0)</f>
        <v>1590000</v>
      </c>
      <c r="Q652" s="5" t="str">
        <f t="shared" si="20"/>
        <v>No</v>
      </c>
      <c r="R652" s="5" t="str">
        <f t="shared" si="21"/>
        <v>Aug</v>
      </c>
    </row>
    <row r="653" spans="1:18" ht="15" customHeight="1" x14ac:dyDescent="0.3">
      <c r="A653" s="5" t="str">
        <f>Sales_Data!A650</f>
        <v>2025-08-27</v>
      </c>
      <c r="B653" s="5" t="str">
        <f>Sales_Data!B650</f>
        <v>Mumbai Central</v>
      </c>
      <c r="C653" s="5" t="str">
        <f>Sales_Data!C650</f>
        <v>E021</v>
      </c>
      <c r="D653" s="5" t="str">
        <f>IFERROR(INDEX(Employee_Master!$B$2:$B$44,MATCH($C653,Employee_Master!$A$2:$A$44,0)),"Not Found")</f>
        <v>Maria Garcia</v>
      </c>
      <c r="E653" s="5" t="str">
        <f>IFERROR(INDEX(Employee_Master!$C$2:$C$44,MATCH($C653,Employee_Master!$A$2:$A$44,0)),"Not Found")</f>
        <v>Sales</v>
      </c>
      <c r="F653" s="5" t="str">
        <f>IFERROR(INDEX(Employee_Master!$D$2:$D$44,MATCH($C653,Employee_Master!$A$2:$A$44,0)),"Not Found")</f>
        <v>Justin Glass</v>
      </c>
      <c r="G653" s="5" t="str">
        <f>IFERROR(INDEX(Employee_Master!$E$2:$E$44,MATCH($C653,Employee_Master!$A$2:$A$44,0)),"Not Found")</f>
        <v>West</v>
      </c>
      <c r="H653" s="5" t="str">
        <f>Sales_Data!D650</f>
        <v>P018 - Cooking Oil 1L</v>
      </c>
      <c r="I653" s="5" t="str">
        <f>IFERROR(INDEX(Product_Master!$B$2:$B$30,MATCH($H653,Product_Master!$A$2:$A$30,0)),"Invalid Product Code")</f>
        <v>Grocery</v>
      </c>
      <c r="J653" s="5">
        <f>IFERROR(INDEX(Product_Master!$C$2:$C$30,MATCH($H653,Product_Master!$A$2:$A$30,0)),0)</f>
        <v>1483.63</v>
      </c>
      <c r="K653" s="5">
        <f>Sales_Data!E650</f>
        <v>10</v>
      </c>
      <c r="L653" s="5">
        <f>Sales_Data!F650</f>
        <v>14594.64</v>
      </c>
      <c r="M653" s="5">
        <f>Sales_Data!G650</f>
        <v>15941.75</v>
      </c>
      <c r="N653" s="5" t="str">
        <f>IFERROR(INDEX(Branch_Master!$B$2:$B$9,MATCH($B653,Branch_Master!$A$2:$A$9,0)),"Not Found")</f>
        <v>Mumbai</v>
      </c>
      <c r="O653" s="5" t="str">
        <f>IFERROR(INDEX(Branch_Master!$C$2:$C$9,MATCH($B653,Branch_Master!$A$2:$A$9,0)),"Not Found")</f>
        <v>Maharashtra</v>
      </c>
      <c r="P653" s="5">
        <f>IFERROR(INDEX(Targets!$B$2:$B$9,MATCH($B653,Targets!$A$2:$A$9,0)),0)</f>
        <v>900000</v>
      </c>
      <c r="Q653" s="5" t="str">
        <f t="shared" si="20"/>
        <v>No</v>
      </c>
      <c r="R653" s="5" t="str">
        <f t="shared" si="21"/>
        <v>Aug</v>
      </c>
    </row>
    <row r="654" spans="1:18" ht="15" customHeight="1" x14ac:dyDescent="0.3">
      <c r="A654" s="5" t="str">
        <f>Sales_Data!A651</f>
        <v>2025-08-28</v>
      </c>
      <c r="B654" s="5" t="str">
        <f>Sales_Data!B651</f>
        <v>Pune East</v>
      </c>
      <c r="C654" s="5" t="str">
        <f>Sales_Data!C651</f>
        <v>E022</v>
      </c>
      <c r="D654" s="5" t="str">
        <f>IFERROR(INDEX(Employee_Master!$B$2:$B$44,MATCH($C654,Employee_Master!$A$2:$A$44,0)),"Not Found")</f>
        <v>Cindy Green PhD</v>
      </c>
      <c r="E654" s="5" t="str">
        <f>IFERROR(INDEX(Employee_Master!$C$2:$C$44,MATCH($C654,Employee_Master!$A$2:$A$44,0)),"Not Found")</f>
        <v>Customer Support</v>
      </c>
      <c r="F654" s="5" t="str">
        <f>IFERROR(INDEX(Employee_Master!$D$2:$D$44,MATCH($C654,Employee_Master!$A$2:$A$44,0)),"Not Found")</f>
        <v>Jordan Matthews</v>
      </c>
      <c r="G654" s="5" t="str">
        <f>IFERROR(INDEX(Employee_Master!$E$2:$E$44,MATCH($C654,Employee_Master!$A$2:$A$44,0)),"Not Found")</f>
        <v>West</v>
      </c>
      <c r="H654" s="5" t="str">
        <f>Sales_Data!D651</f>
        <v>P008 - Denim Jeans</v>
      </c>
      <c r="I654" s="5" t="str">
        <f>IFERROR(INDEX(Product_Master!$B$2:$B$30,MATCH($H654,Product_Master!$A$2:$A$30,0)),"Invalid Product Code")</f>
        <v>Apparel</v>
      </c>
      <c r="J654" s="5">
        <f>IFERROR(INDEX(Product_Master!$C$2:$C$30,MATCH($H654,Product_Master!$A$2:$A$30,0)),0)</f>
        <v>614.48</v>
      </c>
      <c r="K654" s="5">
        <f>Sales_Data!E651</f>
        <v>12</v>
      </c>
      <c r="L654" s="5">
        <f>Sales_Data!F651</f>
        <v>7354.07</v>
      </c>
      <c r="M654" s="5">
        <f>Sales_Data!G651</f>
        <v>7567.95</v>
      </c>
      <c r="N654" s="5" t="str">
        <f>IFERROR(INDEX(Branch_Master!$B$2:$B$9,MATCH($B654,Branch_Master!$A$2:$A$9,0)),"Not Found")</f>
        <v>Pune</v>
      </c>
      <c r="O654" s="5" t="str">
        <f>IFERROR(INDEX(Branch_Master!$C$2:$C$9,MATCH($B654,Branch_Master!$A$2:$A$9,0)),"Not Found")</f>
        <v>Maharashtra</v>
      </c>
      <c r="P654" s="5">
        <f>IFERROR(INDEX(Targets!$B$2:$B$9,MATCH($B654,Targets!$A$2:$A$9,0)),0)</f>
        <v>1250000</v>
      </c>
      <c r="Q654" s="5" t="str">
        <f t="shared" si="20"/>
        <v>No</v>
      </c>
      <c r="R654" s="5" t="str">
        <f t="shared" si="21"/>
        <v>Aug</v>
      </c>
    </row>
    <row r="655" spans="1:18" ht="15" customHeight="1" x14ac:dyDescent="0.3">
      <c r="A655" s="5" t="str">
        <f>Sales_Data!A652</f>
        <v>2025-08-28</v>
      </c>
      <c r="B655" s="5" t="str">
        <f>Sales_Data!B652</f>
        <v>Hyderabad Hitech</v>
      </c>
      <c r="C655" s="5" t="str">
        <f>Sales_Data!C652</f>
        <v>E014</v>
      </c>
      <c r="D655" s="5" t="str">
        <f>IFERROR(INDEX(Employee_Master!$B$2:$B$44,MATCH($C655,Employee_Master!$A$2:$A$44,0)),"Not Found")</f>
        <v>Brian Brown</v>
      </c>
      <c r="E655" s="5" t="str">
        <f>IFERROR(INDEX(Employee_Master!$C$2:$C$44,MATCH($C655,Employee_Master!$A$2:$A$44,0)),"Not Found")</f>
        <v>Marketing</v>
      </c>
      <c r="F655" s="5" t="str">
        <f>IFERROR(INDEX(Employee_Master!$D$2:$D$44,MATCH($C655,Employee_Master!$A$2:$A$44,0)),"Not Found")</f>
        <v>Anna Turner</v>
      </c>
      <c r="G655" s="5" t="str">
        <f>IFERROR(INDEX(Employee_Master!$E$2:$E$44,MATCH($C655,Employee_Master!$A$2:$A$44,0)),"Not Found")</f>
        <v>South</v>
      </c>
      <c r="H655" s="5" t="str">
        <f>Sales_Data!D652</f>
        <v>P012 - Non-Stick Pan</v>
      </c>
      <c r="I655" s="5" t="str">
        <f>IFERROR(INDEX(Product_Master!$B$2:$B$30,MATCH($H655,Product_Master!$A$2:$A$30,0)),"Invalid Product Code")</f>
        <v>Home &amp; Kitchen</v>
      </c>
      <c r="J655" s="5">
        <f>IFERROR(INDEX(Product_Master!$C$2:$C$30,MATCH($H655,Product_Master!$A$2:$A$30,0)),0)</f>
        <v>353.18</v>
      </c>
      <c r="K655" s="5">
        <f>Sales_Data!E652</f>
        <v>5</v>
      </c>
      <c r="L655" s="5">
        <f>Sales_Data!F652</f>
        <v>1873.82</v>
      </c>
      <c r="M655" s="5">
        <f>Sales_Data!G652</f>
        <v>1793.52</v>
      </c>
      <c r="N655" s="5" t="str">
        <f>IFERROR(INDEX(Branch_Master!$B$2:$B$9,MATCH($B655,Branch_Master!$A$2:$A$9,0)),"Not Found")</f>
        <v>Hyderabad</v>
      </c>
      <c r="O655" s="5" t="str">
        <f>IFERROR(INDEX(Branch_Master!$C$2:$C$9,MATCH($B655,Branch_Master!$A$2:$A$9,0)),"Not Found")</f>
        <v>Telangana</v>
      </c>
      <c r="P655" s="5">
        <f>IFERROR(INDEX(Targets!$B$2:$B$9,MATCH($B655,Targets!$A$2:$A$9,0)),0)</f>
        <v>1210000</v>
      </c>
      <c r="Q655" s="5" t="str">
        <f t="shared" si="20"/>
        <v>Yes</v>
      </c>
      <c r="R655" s="5" t="str">
        <f t="shared" si="21"/>
        <v>Aug</v>
      </c>
    </row>
    <row r="656" spans="1:18" ht="15" customHeight="1" x14ac:dyDescent="0.3">
      <c r="A656" s="5" t="str">
        <f>Sales_Data!A653</f>
        <v>2025-08-28</v>
      </c>
      <c r="B656" s="5" t="str">
        <f>Sales_Data!B653</f>
        <v>Chennai South</v>
      </c>
      <c r="C656" s="5" t="str">
        <f>Sales_Data!C653</f>
        <v>E015</v>
      </c>
      <c r="D656" s="5" t="str">
        <f>IFERROR(INDEX(Employee_Master!$B$2:$B$44,MATCH($C656,Employee_Master!$A$2:$A$44,0)),"Not Found")</f>
        <v>Cassandra Hansen</v>
      </c>
      <c r="E656" s="5" t="str">
        <f>IFERROR(INDEX(Employee_Master!$C$2:$C$44,MATCH($C656,Employee_Master!$A$2:$A$44,0)),"Not Found")</f>
        <v>Customer Support</v>
      </c>
      <c r="F656" s="5" t="str">
        <f>IFERROR(INDEX(Employee_Master!$D$2:$D$44,MATCH($C656,Employee_Master!$A$2:$A$44,0)),"Not Found")</f>
        <v>Robert Steele</v>
      </c>
      <c r="G656" s="5" t="str">
        <f>IFERROR(INDEX(Employee_Master!$E$2:$E$44,MATCH($C656,Employee_Master!$A$2:$A$44,0)),"Not Found")</f>
        <v>South</v>
      </c>
      <c r="H656" s="5" t="str">
        <f>Sales_Data!D653</f>
        <v>P012 - Non-Stick Pan</v>
      </c>
      <c r="I656" s="5" t="str">
        <f>IFERROR(INDEX(Product_Master!$B$2:$B$30,MATCH($H656,Product_Master!$A$2:$A$30,0)),"Invalid Product Code")</f>
        <v>Home &amp; Kitchen</v>
      </c>
      <c r="J656" s="5">
        <f>IFERROR(INDEX(Product_Master!$C$2:$C$30,MATCH($H656,Product_Master!$A$2:$A$30,0)),0)</f>
        <v>353.18</v>
      </c>
      <c r="K656" s="5">
        <f>Sales_Data!E653</f>
        <v>1</v>
      </c>
      <c r="L656" s="5">
        <f>Sales_Data!F653</f>
        <v>376.39</v>
      </c>
      <c r="M656" s="5">
        <f>Sales_Data!G653</f>
        <v>388.63</v>
      </c>
      <c r="N656" s="5" t="str">
        <f>IFERROR(INDEX(Branch_Master!$B$2:$B$9,MATCH($B656,Branch_Master!$A$2:$A$9,0)),"Not Found")</f>
        <v>Chennai</v>
      </c>
      <c r="O656" s="5" t="str">
        <f>IFERROR(INDEX(Branch_Master!$C$2:$C$9,MATCH($B656,Branch_Master!$A$2:$A$9,0)),"Not Found")</f>
        <v>Tamil Nadu</v>
      </c>
      <c r="P656" s="5">
        <f>IFERROR(INDEX(Targets!$B$2:$B$9,MATCH($B656,Targets!$A$2:$A$9,0)),0)</f>
        <v>1910000</v>
      </c>
      <c r="Q656" s="5" t="str">
        <f t="shared" si="20"/>
        <v>No</v>
      </c>
      <c r="R656" s="5" t="str">
        <f t="shared" si="21"/>
        <v>Aug</v>
      </c>
    </row>
    <row r="657" spans="1:18" ht="15" customHeight="1" x14ac:dyDescent="0.3">
      <c r="A657" s="5" t="str">
        <f>Sales_Data!A654</f>
        <v>2025-08-29</v>
      </c>
      <c r="B657" s="5" t="str">
        <f>Sales_Data!B654</f>
        <v>Pune East</v>
      </c>
      <c r="C657" s="5" t="str">
        <f>Sales_Data!C654</f>
        <v>E022</v>
      </c>
      <c r="D657" s="5" t="str">
        <f>IFERROR(INDEX(Employee_Master!$B$2:$B$44,MATCH($C657,Employee_Master!$A$2:$A$44,0)),"Not Found")</f>
        <v>Cindy Green PhD</v>
      </c>
      <c r="E657" s="5" t="str">
        <f>IFERROR(INDEX(Employee_Master!$C$2:$C$44,MATCH($C657,Employee_Master!$A$2:$A$44,0)),"Not Found")</f>
        <v>Customer Support</v>
      </c>
      <c r="F657" s="5" t="str">
        <f>IFERROR(INDEX(Employee_Master!$D$2:$D$44,MATCH($C657,Employee_Master!$A$2:$A$44,0)),"Not Found")</f>
        <v>Jordan Matthews</v>
      </c>
      <c r="G657" s="5" t="str">
        <f>IFERROR(INDEX(Employee_Master!$E$2:$E$44,MATCH($C657,Employee_Master!$A$2:$A$44,0)),"Not Found")</f>
        <v>West</v>
      </c>
      <c r="H657" s="5" t="str">
        <f>Sales_Data!D654</f>
        <v>P029 - Dumbbell Set 10kg</v>
      </c>
      <c r="I657" s="5" t="str">
        <f>IFERROR(INDEX(Product_Master!$B$2:$B$30,MATCH($H657,Product_Master!$A$2:$A$30,0)),"Invalid Product Code")</f>
        <v>Sports</v>
      </c>
      <c r="J657" s="5">
        <f>IFERROR(INDEX(Product_Master!$C$2:$C$30,MATCH($H657,Product_Master!$A$2:$A$30,0)),0)</f>
        <v>435</v>
      </c>
      <c r="K657" s="5">
        <f>Sales_Data!E654</f>
        <v>6</v>
      </c>
      <c r="L657" s="5">
        <f>Sales_Data!F654</f>
        <v>2866.08</v>
      </c>
      <c r="M657" s="5">
        <f>Sales_Data!G654</f>
        <v>2925.32</v>
      </c>
      <c r="N657" s="5" t="str">
        <f>IFERROR(INDEX(Branch_Master!$B$2:$B$9,MATCH($B657,Branch_Master!$A$2:$A$9,0)),"Not Found")</f>
        <v>Pune</v>
      </c>
      <c r="O657" s="5" t="str">
        <f>IFERROR(INDEX(Branch_Master!$C$2:$C$9,MATCH($B657,Branch_Master!$A$2:$A$9,0)),"Not Found")</f>
        <v>Maharashtra</v>
      </c>
      <c r="P657" s="5">
        <f>IFERROR(INDEX(Targets!$B$2:$B$9,MATCH($B657,Targets!$A$2:$A$9,0)),0)</f>
        <v>1250000</v>
      </c>
      <c r="Q657" s="5" t="str">
        <f t="shared" si="20"/>
        <v>No</v>
      </c>
      <c r="R657" s="5" t="str">
        <f t="shared" si="21"/>
        <v>Aug</v>
      </c>
    </row>
    <row r="658" spans="1:18" ht="15" customHeight="1" x14ac:dyDescent="0.3">
      <c r="A658" s="5" t="str">
        <f>Sales_Data!A655</f>
        <v>2025-08-29</v>
      </c>
      <c r="B658" s="5" t="str">
        <f>Sales_Data!B655</f>
        <v>Mumbai Central</v>
      </c>
      <c r="C658" s="5" t="str">
        <f>Sales_Data!C655</f>
        <v>E027</v>
      </c>
      <c r="D658" s="5" t="str">
        <f>IFERROR(INDEX(Employee_Master!$B$2:$B$44,MATCH($C658,Employee_Master!$A$2:$A$44,0)),"Not Found")</f>
        <v>Catherine Moore</v>
      </c>
      <c r="E658" s="5" t="str">
        <f>IFERROR(INDEX(Employee_Master!$C$2:$C$44,MATCH($C658,Employee_Master!$A$2:$A$44,0)),"Not Found")</f>
        <v>Customer Support</v>
      </c>
      <c r="F658" s="5" t="str">
        <f>IFERROR(INDEX(Employee_Master!$D$2:$D$44,MATCH($C658,Employee_Master!$A$2:$A$44,0)),"Not Found")</f>
        <v>Justin Glass</v>
      </c>
      <c r="G658" s="5" t="str">
        <f>IFERROR(INDEX(Employee_Master!$E$2:$E$44,MATCH($C658,Employee_Master!$A$2:$A$44,0)),"Not Found")</f>
        <v>West</v>
      </c>
      <c r="H658" s="5" t="str">
        <f>Sales_Data!D655</f>
        <v>P025 - Lipstick Set</v>
      </c>
      <c r="I658" s="5" t="str">
        <f>IFERROR(INDEX(Product_Master!$B$2:$B$30,MATCH($H658,Product_Master!$A$2:$A$30,0)),"Invalid Product Code")</f>
        <v>Beauty</v>
      </c>
      <c r="J658" s="5">
        <f>IFERROR(INDEX(Product_Master!$C$2:$C$30,MATCH($H658,Product_Master!$A$2:$A$30,0)),0)</f>
        <v>765.9</v>
      </c>
      <c r="K658" s="5">
        <f>Sales_Data!E655</f>
        <v>10</v>
      </c>
      <c r="L658" s="5">
        <f>Sales_Data!F655</f>
        <v>7506.64</v>
      </c>
      <c r="M658" s="5">
        <f>Sales_Data!G655</f>
        <v>6629.38</v>
      </c>
      <c r="N658" s="5" t="str">
        <f>IFERROR(INDEX(Branch_Master!$B$2:$B$9,MATCH($B658,Branch_Master!$A$2:$A$9,0)),"Not Found")</f>
        <v>Mumbai</v>
      </c>
      <c r="O658" s="5" t="str">
        <f>IFERROR(INDEX(Branch_Master!$C$2:$C$9,MATCH($B658,Branch_Master!$A$2:$A$9,0)),"Not Found")</f>
        <v>Maharashtra</v>
      </c>
      <c r="P658" s="5">
        <f>IFERROR(INDEX(Targets!$B$2:$B$9,MATCH($B658,Targets!$A$2:$A$9,0)),0)</f>
        <v>900000</v>
      </c>
      <c r="Q658" s="5" t="str">
        <f t="shared" si="20"/>
        <v>Yes</v>
      </c>
      <c r="R658" s="5" t="str">
        <f t="shared" si="21"/>
        <v>Aug</v>
      </c>
    </row>
    <row r="659" spans="1:18" ht="15" customHeight="1" x14ac:dyDescent="0.3">
      <c r="A659" s="5" t="str">
        <f>Sales_Data!A656</f>
        <v>2025-08-29</v>
      </c>
      <c r="B659" s="5" t="str">
        <f>Sales_Data!B656</f>
        <v>Chennai South</v>
      </c>
      <c r="C659" s="5" t="str">
        <f>Sales_Data!C656</f>
        <v>E032</v>
      </c>
      <c r="D659" s="5" t="str">
        <f>IFERROR(INDEX(Employee_Master!$B$2:$B$44,MATCH($C659,Employee_Master!$A$2:$A$44,0)),"Not Found")</f>
        <v>Victor Allen</v>
      </c>
      <c r="E659" s="5" t="str">
        <f>IFERROR(INDEX(Employee_Master!$C$2:$C$44,MATCH($C659,Employee_Master!$A$2:$A$44,0)),"Not Found")</f>
        <v>Operations</v>
      </c>
      <c r="F659" s="5" t="str">
        <f>IFERROR(INDEX(Employee_Master!$D$2:$D$44,MATCH($C659,Employee_Master!$A$2:$A$44,0)),"Not Found")</f>
        <v>Robert Steele</v>
      </c>
      <c r="G659" s="5" t="str">
        <f>IFERROR(INDEX(Employee_Master!$E$2:$E$44,MATCH($C659,Employee_Master!$A$2:$A$44,0)),"Not Found")</f>
        <v>South</v>
      </c>
      <c r="H659" s="5" t="str">
        <f>Sales_Data!D656</f>
        <v>P009 - Formal Shirt</v>
      </c>
      <c r="I659" s="5" t="str">
        <f>IFERROR(INDEX(Product_Master!$B$2:$B$30,MATCH($H659,Product_Master!$A$2:$A$30,0)),"Invalid Product Code")</f>
        <v>Apparel</v>
      </c>
      <c r="J659" s="5">
        <f>IFERROR(INDEX(Product_Master!$C$2:$C$30,MATCH($H659,Product_Master!$A$2:$A$30,0)),0)</f>
        <v>661.65</v>
      </c>
      <c r="K659" s="5">
        <f>Sales_Data!E656</f>
        <v>2</v>
      </c>
      <c r="L659" s="5">
        <f>Sales_Data!F656</f>
        <v>1319.86</v>
      </c>
      <c r="M659" s="5">
        <f>Sales_Data!G656</f>
        <v>1153.8699999999999</v>
      </c>
      <c r="N659" s="5" t="str">
        <f>IFERROR(INDEX(Branch_Master!$B$2:$B$9,MATCH($B659,Branch_Master!$A$2:$A$9,0)),"Not Found")</f>
        <v>Chennai</v>
      </c>
      <c r="O659" s="5" t="str">
        <f>IFERROR(INDEX(Branch_Master!$C$2:$C$9,MATCH($B659,Branch_Master!$A$2:$A$9,0)),"Not Found")</f>
        <v>Tamil Nadu</v>
      </c>
      <c r="P659" s="5">
        <f>IFERROR(INDEX(Targets!$B$2:$B$9,MATCH($B659,Targets!$A$2:$A$9,0)),0)</f>
        <v>1910000</v>
      </c>
      <c r="Q659" s="5" t="str">
        <f t="shared" si="20"/>
        <v>Yes</v>
      </c>
      <c r="R659" s="5" t="str">
        <f t="shared" si="21"/>
        <v>Aug</v>
      </c>
    </row>
    <row r="660" spans="1:18" ht="15" customHeight="1" x14ac:dyDescent="0.3">
      <c r="A660" s="5" t="str">
        <f>Sales_Data!A657</f>
        <v>2025-08-30</v>
      </c>
      <c r="B660" s="5" t="str">
        <f>Sales_Data!B657</f>
        <v>Hyderabad Hitech</v>
      </c>
      <c r="C660" s="5" t="str">
        <f>Sales_Data!C657</f>
        <v>E030</v>
      </c>
      <c r="D660" s="5" t="str">
        <f>IFERROR(INDEX(Employee_Master!$B$2:$B$44,MATCH($C660,Employee_Master!$A$2:$A$44,0)),"Not Found")</f>
        <v>Travis Khan</v>
      </c>
      <c r="E660" s="5" t="str">
        <f>IFERROR(INDEX(Employee_Master!$C$2:$C$44,MATCH($C660,Employee_Master!$A$2:$A$44,0)),"Not Found")</f>
        <v>Operations</v>
      </c>
      <c r="F660" s="5" t="str">
        <f>IFERROR(INDEX(Employee_Master!$D$2:$D$44,MATCH($C660,Employee_Master!$A$2:$A$44,0)),"Not Found")</f>
        <v>Anna Turner</v>
      </c>
      <c r="G660" s="5" t="str">
        <f>IFERROR(INDEX(Employee_Master!$E$2:$E$44,MATCH($C660,Employee_Master!$A$2:$A$44,0)),"Not Found")</f>
        <v>South</v>
      </c>
      <c r="H660" s="5" t="str">
        <f>Sales_Data!D657</f>
        <v>P028 - Football</v>
      </c>
      <c r="I660" s="5" t="str">
        <f>IFERROR(INDEX(Product_Master!$B$2:$B$30,MATCH($H660,Product_Master!$A$2:$A$30,0)),"Invalid Product Code")</f>
        <v>Sports</v>
      </c>
      <c r="J660" s="5">
        <f>IFERROR(INDEX(Product_Master!$C$2:$C$30,MATCH($H660,Product_Master!$A$2:$A$30,0)),0)</f>
        <v>314.25</v>
      </c>
      <c r="K660" s="5">
        <f>Sales_Data!E657</f>
        <v>5</v>
      </c>
      <c r="L660" s="5">
        <f>Sales_Data!F657</f>
        <v>1674.97</v>
      </c>
      <c r="M660" s="5">
        <f>Sales_Data!G657</f>
        <v>1546.2</v>
      </c>
      <c r="N660" s="5" t="str">
        <f>IFERROR(INDEX(Branch_Master!$B$2:$B$9,MATCH($B660,Branch_Master!$A$2:$A$9,0)),"Not Found")</f>
        <v>Hyderabad</v>
      </c>
      <c r="O660" s="5" t="str">
        <f>IFERROR(INDEX(Branch_Master!$C$2:$C$9,MATCH($B660,Branch_Master!$A$2:$A$9,0)),"Not Found")</f>
        <v>Telangana</v>
      </c>
      <c r="P660" s="5">
        <f>IFERROR(INDEX(Targets!$B$2:$B$9,MATCH($B660,Targets!$A$2:$A$9,0)),0)</f>
        <v>1210000</v>
      </c>
      <c r="Q660" s="5" t="str">
        <f t="shared" si="20"/>
        <v>Yes</v>
      </c>
      <c r="R660" s="5" t="str">
        <f t="shared" si="21"/>
        <v>Aug</v>
      </c>
    </row>
    <row r="661" spans="1:18" ht="15" customHeight="1" x14ac:dyDescent="0.3">
      <c r="A661" s="5" t="str">
        <f>Sales_Data!A658</f>
        <v>2025-08-30</v>
      </c>
      <c r="B661" s="5" t="str">
        <f>Sales_Data!B658</f>
        <v>Ahmedabad West</v>
      </c>
      <c r="C661" s="5" t="str">
        <f>Sales_Data!C658</f>
        <v>E008</v>
      </c>
      <c r="D661" s="5" t="str">
        <f>IFERROR(INDEX(Employee_Master!$B$2:$B$44,MATCH($C661,Employee_Master!$A$2:$A$44,0)),"Not Found")</f>
        <v>Tyler Boone</v>
      </c>
      <c r="E661" s="5" t="str">
        <f>IFERROR(INDEX(Employee_Master!$C$2:$C$44,MATCH($C661,Employee_Master!$A$2:$A$44,0)),"Not Found")</f>
        <v>Marketing</v>
      </c>
      <c r="F661" s="5" t="str">
        <f>IFERROR(INDEX(Employee_Master!$D$2:$D$44,MATCH($C661,Employee_Master!$A$2:$A$44,0)),"Not Found")</f>
        <v>Joseph Brown</v>
      </c>
      <c r="G661" s="5" t="str">
        <f>IFERROR(INDEX(Employee_Master!$E$2:$E$44,MATCH($C661,Employee_Master!$A$2:$A$44,0)),"Not Found")</f>
        <v>West</v>
      </c>
      <c r="H661" s="5" t="str">
        <f>Sales_Data!D658</f>
        <v>P021 - Assorted Spices Kit</v>
      </c>
      <c r="I661" s="5" t="str">
        <f>IFERROR(INDEX(Product_Master!$B$2:$B$30,MATCH($H661,Product_Master!$A$2:$A$30,0)),"Invalid Product Code")</f>
        <v>Grocery</v>
      </c>
      <c r="J661" s="5">
        <f>IFERROR(INDEX(Product_Master!$C$2:$C$30,MATCH($H661,Product_Master!$A$2:$A$30,0)),0)</f>
        <v>1060.97</v>
      </c>
      <c r="K661" s="5">
        <f>Sales_Data!E658</f>
        <v>11</v>
      </c>
      <c r="L661" s="5">
        <f>Sales_Data!F658</f>
        <v>10927.48</v>
      </c>
      <c r="M661" s="5">
        <f>Sales_Data!G658</f>
        <v>11625.52</v>
      </c>
      <c r="N661" s="5" t="str">
        <f>IFERROR(INDEX(Branch_Master!$B$2:$B$9,MATCH($B661,Branch_Master!$A$2:$A$9,0)),"Not Found")</f>
        <v>Ahmedabad</v>
      </c>
      <c r="O661" s="5" t="str">
        <f>IFERROR(INDEX(Branch_Master!$C$2:$C$9,MATCH($B661,Branch_Master!$A$2:$A$9,0)),"Not Found")</f>
        <v>Gujarat</v>
      </c>
      <c r="P661" s="5">
        <f>IFERROR(INDEX(Targets!$B$2:$B$9,MATCH($B661,Targets!$A$2:$A$9,0)),0)</f>
        <v>1590000</v>
      </c>
      <c r="Q661" s="5" t="str">
        <f t="shared" si="20"/>
        <v>No</v>
      </c>
      <c r="R661" s="5" t="str">
        <f t="shared" si="21"/>
        <v>Aug</v>
      </c>
    </row>
    <row r="662" spans="1:18" ht="15" customHeight="1" x14ac:dyDescent="0.3">
      <c r="A662" s="5" t="str">
        <f>Sales_Data!A659</f>
        <v>2025-08-30</v>
      </c>
      <c r="B662" s="5" t="str">
        <f>Sales_Data!B659</f>
        <v>Hyderabad Hitech</v>
      </c>
      <c r="C662" s="5" t="str">
        <f>Sales_Data!C659</f>
        <v>E026</v>
      </c>
      <c r="D662" s="5" t="str">
        <f>IFERROR(INDEX(Employee_Master!$B$2:$B$44,MATCH($C662,Employee_Master!$A$2:$A$44,0)),"Not Found")</f>
        <v>Karen Andrews</v>
      </c>
      <c r="E662" s="5" t="str">
        <f>IFERROR(INDEX(Employee_Master!$C$2:$C$44,MATCH($C662,Employee_Master!$A$2:$A$44,0)),"Not Found")</f>
        <v>Marketing</v>
      </c>
      <c r="F662" s="5" t="str">
        <f>IFERROR(INDEX(Employee_Master!$D$2:$D$44,MATCH($C662,Employee_Master!$A$2:$A$44,0)),"Not Found")</f>
        <v>Anna Turner</v>
      </c>
      <c r="G662" s="5" t="str">
        <f>IFERROR(INDEX(Employee_Master!$E$2:$E$44,MATCH($C662,Employee_Master!$A$2:$A$44,0)),"Not Found")</f>
        <v>South</v>
      </c>
      <c r="H662" s="5" t="str">
        <f>Sales_Data!D659</f>
        <v>P006 - Laptop Stand</v>
      </c>
      <c r="I662" s="5" t="str">
        <f>IFERROR(INDEX(Product_Master!$B$2:$B$30,MATCH($H662,Product_Master!$A$2:$A$30,0)),"Invalid Product Code")</f>
        <v>Electronics</v>
      </c>
      <c r="J662" s="5">
        <f>IFERROR(INDEX(Product_Master!$C$2:$C$30,MATCH($H662,Product_Master!$A$2:$A$30,0)),0)</f>
        <v>393.96</v>
      </c>
      <c r="K662" s="5">
        <f>Sales_Data!E659</f>
        <v>5</v>
      </c>
      <c r="L662" s="5">
        <f>Sales_Data!F659</f>
        <v>1931.38</v>
      </c>
      <c r="M662" s="5">
        <f>Sales_Data!G659</f>
        <v>2212.4899999999998</v>
      </c>
      <c r="N662" s="5" t="str">
        <f>IFERROR(INDEX(Branch_Master!$B$2:$B$9,MATCH($B662,Branch_Master!$A$2:$A$9,0)),"Not Found")</f>
        <v>Hyderabad</v>
      </c>
      <c r="O662" s="5" t="str">
        <f>IFERROR(INDEX(Branch_Master!$C$2:$C$9,MATCH($B662,Branch_Master!$A$2:$A$9,0)),"Not Found")</f>
        <v>Telangana</v>
      </c>
      <c r="P662" s="5">
        <f>IFERROR(INDEX(Targets!$B$2:$B$9,MATCH($B662,Targets!$A$2:$A$9,0)),0)</f>
        <v>1210000</v>
      </c>
      <c r="Q662" s="5" t="str">
        <f t="shared" si="20"/>
        <v>No</v>
      </c>
      <c r="R662" s="5" t="str">
        <f t="shared" si="21"/>
        <v>Aug</v>
      </c>
    </row>
    <row r="663" spans="1:18" ht="15" customHeight="1" x14ac:dyDescent="0.3">
      <c r="A663" s="5" t="str">
        <f>Sales_Data!A660</f>
        <v>2025-08-31</v>
      </c>
      <c r="B663" s="5" t="str">
        <f>Sales_Data!B660</f>
        <v>Delhi NCR</v>
      </c>
      <c r="C663" s="5" t="str">
        <f>Sales_Data!C660</f>
        <v>E031</v>
      </c>
      <c r="D663" s="5" t="str">
        <f>IFERROR(INDEX(Employee_Master!$B$2:$B$44,MATCH($C663,Employee_Master!$A$2:$A$44,0)),"Not Found")</f>
        <v>Jennifer Garcia</v>
      </c>
      <c r="E663" s="5" t="str">
        <f>IFERROR(INDEX(Employee_Master!$C$2:$C$44,MATCH($C663,Employee_Master!$A$2:$A$44,0)),"Not Found")</f>
        <v>Sales</v>
      </c>
      <c r="F663" s="5" t="str">
        <f>IFERROR(INDEX(Employee_Master!$D$2:$D$44,MATCH($C663,Employee_Master!$A$2:$A$44,0)),"Not Found")</f>
        <v>William Oconnell</v>
      </c>
      <c r="G663" s="5" t="str">
        <f>IFERROR(INDEX(Employee_Master!$E$2:$E$44,MATCH($C663,Employee_Master!$A$2:$A$44,0)),"Not Found")</f>
        <v>North</v>
      </c>
      <c r="H663" s="5" t="str">
        <f>Sales_Data!D660</f>
        <v>P029 - Dumbbell Set 10kg</v>
      </c>
      <c r="I663" s="5" t="str">
        <f>IFERROR(INDEX(Product_Master!$B$2:$B$30,MATCH($H663,Product_Master!$A$2:$A$30,0)),"Invalid Product Code")</f>
        <v>Sports</v>
      </c>
      <c r="J663" s="5">
        <f>IFERROR(INDEX(Product_Master!$C$2:$C$30,MATCH($H663,Product_Master!$A$2:$A$30,0)),0)</f>
        <v>435</v>
      </c>
      <c r="K663" s="5">
        <f>Sales_Data!E660</f>
        <v>12</v>
      </c>
      <c r="L663" s="5">
        <f>Sales_Data!F660</f>
        <v>4890.55</v>
      </c>
      <c r="M663" s="5">
        <f>Sales_Data!G660</f>
        <v>5431.6</v>
      </c>
      <c r="N663" s="5" t="str">
        <f>IFERROR(INDEX(Branch_Master!$B$2:$B$9,MATCH($B663,Branch_Master!$A$2:$A$9,0)),"Not Found")</f>
        <v>New Delhi</v>
      </c>
      <c r="O663" s="5" t="str">
        <f>IFERROR(INDEX(Branch_Master!$C$2:$C$9,MATCH($B663,Branch_Master!$A$2:$A$9,0)),"Not Found")</f>
        <v>Delhi</v>
      </c>
      <c r="P663" s="5">
        <f>IFERROR(INDEX(Targets!$B$2:$B$9,MATCH($B663,Targets!$A$2:$A$9,0)),0)</f>
        <v>2070000</v>
      </c>
      <c r="Q663" s="5" t="str">
        <f t="shared" si="20"/>
        <v>No</v>
      </c>
      <c r="R663" s="5" t="str">
        <f t="shared" si="21"/>
        <v>Aug</v>
      </c>
    </row>
    <row r="664" spans="1:18" ht="15" customHeight="1" x14ac:dyDescent="0.3">
      <c r="A664" s="5" t="str">
        <f>Sales_Data!A661</f>
        <v>2025-08-31</v>
      </c>
      <c r="B664" s="5" t="str">
        <f>Sales_Data!B661</f>
        <v>Ahmedabad West</v>
      </c>
      <c r="C664" s="5" t="str">
        <f>Sales_Data!C661</f>
        <v>E039</v>
      </c>
      <c r="D664" s="5" t="str">
        <f>IFERROR(INDEX(Employee_Master!$B$2:$B$44,MATCH($C664,Employee_Master!$A$2:$A$44,0)),"Not Found")</f>
        <v>Christopher Wood</v>
      </c>
      <c r="E664" s="5" t="str">
        <f>IFERROR(INDEX(Employee_Master!$C$2:$C$44,MATCH($C664,Employee_Master!$A$2:$A$44,0)),"Not Found")</f>
        <v>Marketing</v>
      </c>
      <c r="F664" s="5" t="str">
        <f>IFERROR(INDEX(Employee_Master!$D$2:$D$44,MATCH($C664,Employee_Master!$A$2:$A$44,0)),"Not Found")</f>
        <v>Joseph Brown</v>
      </c>
      <c r="G664" s="5" t="str">
        <f>IFERROR(INDEX(Employee_Master!$E$2:$E$44,MATCH($C664,Employee_Master!$A$2:$A$44,0)),"Not Found")</f>
        <v>West</v>
      </c>
      <c r="H664" s="5" t="str">
        <f>Sales_Data!D661</f>
        <v>P020 - Green Tea Pack</v>
      </c>
      <c r="I664" s="5" t="str">
        <f>IFERROR(INDEX(Product_Master!$B$2:$B$30,MATCH($H664,Product_Master!$A$2:$A$30,0)),"Invalid Product Code")</f>
        <v>Grocery</v>
      </c>
      <c r="J664" s="5">
        <f>IFERROR(INDEX(Product_Master!$C$2:$C$30,MATCH($H664,Product_Master!$A$2:$A$30,0)),0)</f>
        <v>305.39</v>
      </c>
      <c r="K664" s="5">
        <f>Sales_Data!E661</f>
        <v>11</v>
      </c>
      <c r="L664" s="5">
        <f>Sales_Data!F661</f>
        <v>3513.23</v>
      </c>
      <c r="M664" s="5">
        <f>Sales_Data!G661</f>
        <v>3097.43</v>
      </c>
      <c r="N664" s="5" t="str">
        <f>IFERROR(INDEX(Branch_Master!$B$2:$B$9,MATCH($B664,Branch_Master!$A$2:$A$9,0)),"Not Found")</f>
        <v>Ahmedabad</v>
      </c>
      <c r="O664" s="5" t="str">
        <f>IFERROR(INDEX(Branch_Master!$C$2:$C$9,MATCH($B664,Branch_Master!$A$2:$A$9,0)),"Not Found")</f>
        <v>Gujarat</v>
      </c>
      <c r="P664" s="5">
        <f>IFERROR(INDEX(Targets!$B$2:$B$9,MATCH($B664,Targets!$A$2:$A$9,0)),0)</f>
        <v>1590000</v>
      </c>
      <c r="Q664" s="5" t="str">
        <f t="shared" si="20"/>
        <v>Yes</v>
      </c>
      <c r="R664" s="5" t="str">
        <f t="shared" si="21"/>
        <v>Aug</v>
      </c>
    </row>
    <row r="665" spans="1:18" ht="15" customHeight="1" x14ac:dyDescent="0.3">
      <c r="A665" s="5" t="str">
        <f>Sales_Data!A662</f>
        <v>2025-09-01</v>
      </c>
      <c r="B665" s="5" t="str">
        <f>Sales_Data!B662</f>
        <v>Ahmedabad West</v>
      </c>
      <c r="C665" s="5" t="str">
        <f>Sales_Data!C662</f>
        <v>E017</v>
      </c>
      <c r="D665" s="5" t="str">
        <f>IFERROR(INDEX(Employee_Master!$B$2:$B$44,MATCH($C665,Employee_Master!$A$2:$A$44,0)),"Not Found")</f>
        <v>Mathew Wilson</v>
      </c>
      <c r="E665" s="5" t="str">
        <f>IFERROR(INDEX(Employee_Master!$C$2:$C$44,MATCH($C665,Employee_Master!$A$2:$A$44,0)),"Not Found")</f>
        <v>Operations</v>
      </c>
      <c r="F665" s="5" t="str">
        <f>IFERROR(INDEX(Employee_Master!$D$2:$D$44,MATCH($C665,Employee_Master!$A$2:$A$44,0)),"Not Found")</f>
        <v>Joseph Brown</v>
      </c>
      <c r="G665" s="5" t="str">
        <f>IFERROR(INDEX(Employee_Master!$E$2:$E$44,MATCH($C665,Employee_Master!$A$2:$A$44,0)),"Not Found")</f>
        <v>West</v>
      </c>
      <c r="H665" s="5" t="str">
        <f>Sales_Data!D662</f>
        <v>P012 - Non-Stick Pan</v>
      </c>
      <c r="I665" s="5" t="str">
        <f>IFERROR(INDEX(Product_Master!$B$2:$B$30,MATCH($H665,Product_Master!$A$2:$A$30,0)),"Invalid Product Code")</f>
        <v>Home &amp; Kitchen</v>
      </c>
      <c r="J665" s="5">
        <f>IFERROR(INDEX(Product_Master!$C$2:$C$30,MATCH($H665,Product_Master!$A$2:$A$30,0)),0)</f>
        <v>353.18</v>
      </c>
      <c r="K665" s="5">
        <f>Sales_Data!E662</f>
        <v>9</v>
      </c>
      <c r="L665" s="5">
        <f>Sales_Data!F662</f>
        <v>3051.52</v>
      </c>
      <c r="M665" s="5">
        <f>Sales_Data!G662</f>
        <v>2883.1</v>
      </c>
      <c r="N665" s="5" t="str">
        <f>IFERROR(INDEX(Branch_Master!$B$2:$B$9,MATCH($B665,Branch_Master!$A$2:$A$9,0)),"Not Found")</f>
        <v>Ahmedabad</v>
      </c>
      <c r="O665" s="5" t="str">
        <f>IFERROR(INDEX(Branch_Master!$C$2:$C$9,MATCH($B665,Branch_Master!$A$2:$A$9,0)),"Not Found")</f>
        <v>Gujarat</v>
      </c>
      <c r="P665" s="5">
        <f>IFERROR(INDEX(Targets!$B$2:$B$9,MATCH($B665,Targets!$A$2:$A$9,0)),0)</f>
        <v>1590000</v>
      </c>
      <c r="Q665" s="5" t="str">
        <f t="shared" si="20"/>
        <v>Yes</v>
      </c>
      <c r="R665" s="5" t="str">
        <f t="shared" si="21"/>
        <v>Sep</v>
      </c>
    </row>
    <row r="666" spans="1:18" ht="15" customHeight="1" x14ac:dyDescent="0.3">
      <c r="A666" s="5" t="str">
        <f>Sales_Data!A663</f>
        <v>2025-09-02</v>
      </c>
      <c r="B666" s="5" t="str">
        <f>Sales_Data!B663</f>
        <v>Hyderabad Hitech</v>
      </c>
      <c r="C666" s="5" t="str">
        <f>Sales_Data!C663</f>
        <v>E035</v>
      </c>
      <c r="D666" s="5" t="str">
        <f>IFERROR(INDEX(Employee_Master!$B$2:$B$44,MATCH($C666,Employee_Master!$A$2:$A$44,0)),"Not Found")</f>
        <v>Andrea Perez</v>
      </c>
      <c r="E666" s="5" t="str">
        <f>IFERROR(INDEX(Employee_Master!$C$2:$C$44,MATCH($C666,Employee_Master!$A$2:$A$44,0)),"Not Found")</f>
        <v>Sales</v>
      </c>
      <c r="F666" s="5" t="str">
        <f>IFERROR(INDEX(Employee_Master!$D$2:$D$44,MATCH($C666,Employee_Master!$A$2:$A$44,0)),"Not Found")</f>
        <v>Anna Turner</v>
      </c>
      <c r="G666" s="5" t="str">
        <f>IFERROR(INDEX(Employee_Master!$E$2:$E$44,MATCH($C666,Employee_Master!$A$2:$A$44,0)),"Not Found")</f>
        <v>South</v>
      </c>
      <c r="H666" s="5" t="str">
        <f>Sales_Data!D663</f>
        <v>P001 - Wireless Earbuds</v>
      </c>
      <c r="I666" s="5" t="str">
        <f>IFERROR(INDEX(Product_Master!$B$2:$B$30,MATCH($H666,Product_Master!$A$2:$A$30,0)),"Invalid Product Code")</f>
        <v>Electronics</v>
      </c>
      <c r="J666" s="5">
        <f>IFERROR(INDEX(Product_Master!$C$2:$C$30,MATCH($H666,Product_Master!$A$2:$A$30,0)),0)</f>
        <v>1676.76</v>
      </c>
      <c r="K666" s="5">
        <f>Sales_Data!E663</f>
        <v>6</v>
      </c>
      <c r="L666" s="5">
        <f>Sales_Data!F663</f>
        <v>9962.2800000000007</v>
      </c>
      <c r="M666" s="5">
        <f>Sales_Data!G663</f>
        <v>8703.8799999999992</v>
      </c>
      <c r="N666" s="5" t="str">
        <f>IFERROR(INDEX(Branch_Master!$B$2:$B$9,MATCH($B666,Branch_Master!$A$2:$A$9,0)),"Not Found")</f>
        <v>Hyderabad</v>
      </c>
      <c r="O666" s="5" t="str">
        <f>IFERROR(INDEX(Branch_Master!$C$2:$C$9,MATCH($B666,Branch_Master!$A$2:$A$9,0)),"Not Found")</f>
        <v>Telangana</v>
      </c>
      <c r="P666" s="5">
        <f>IFERROR(INDEX(Targets!$B$2:$B$9,MATCH($B666,Targets!$A$2:$A$9,0)),0)</f>
        <v>1210000</v>
      </c>
      <c r="Q666" s="5" t="str">
        <f t="shared" si="20"/>
        <v>Yes</v>
      </c>
      <c r="R666" s="5" t="str">
        <f t="shared" si="21"/>
        <v>Sep</v>
      </c>
    </row>
    <row r="667" spans="1:18" ht="15" customHeight="1" x14ac:dyDescent="0.3">
      <c r="A667" s="5" t="str">
        <f>Sales_Data!A664</f>
        <v>2025-09-03</v>
      </c>
      <c r="B667" s="5" t="str">
        <f>Sales_Data!B664</f>
        <v>Ahmedabad West</v>
      </c>
      <c r="C667" s="5" t="str">
        <f>Sales_Data!C664</f>
        <v>E037</v>
      </c>
      <c r="D667" s="5" t="str">
        <f>IFERROR(INDEX(Employee_Master!$B$2:$B$44,MATCH($C667,Employee_Master!$A$2:$A$44,0)),"Not Found")</f>
        <v>Thomas Harris</v>
      </c>
      <c r="E667" s="5" t="str">
        <f>IFERROR(INDEX(Employee_Master!$C$2:$C$44,MATCH($C667,Employee_Master!$A$2:$A$44,0)),"Not Found")</f>
        <v>Customer Support</v>
      </c>
      <c r="F667" s="5" t="str">
        <f>IFERROR(INDEX(Employee_Master!$D$2:$D$44,MATCH($C667,Employee_Master!$A$2:$A$44,0)),"Not Found")</f>
        <v>Joseph Brown</v>
      </c>
      <c r="G667" s="5" t="str">
        <f>IFERROR(INDEX(Employee_Master!$E$2:$E$44,MATCH($C667,Employee_Master!$A$2:$A$44,0)),"Not Found")</f>
        <v>West</v>
      </c>
      <c r="H667" s="5" t="str">
        <f>Sales_Data!D664</f>
        <v>P006 - Laptop Stand</v>
      </c>
      <c r="I667" s="5" t="str">
        <f>IFERROR(INDEX(Product_Master!$B$2:$B$30,MATCH($H667,Product_Master!$A$2:$A$30,0)),"Invalid Product Code")</f>
        <v>Electronics</v>
      </c>
      <c r="J667" s="5">
        <f>IFERROR(INDEX(Product_Master!$C$2:$C$30,MATCH($H667,Product_Master!$A$2:$A$30,0)),0)</f>
        <v>393.96</v>
      </c>
      <c r="K667" s="5">
        <f>Sales_Data!E664</f>
        <v>7</v>
      </c>
      <c r="L667" s="5">
        <f>Sales_Data!F664</f>
        <v>2763.99</v>
      </c>
      <c r="M667" s="5">
        <f>Sales_Data!G664</f>
        <v>2640.31</v>
      </c>
      <c r="N667" s="5" t="str">
        <f>IFERROR(INDEX(Branch_Master!$B$2:$B$9,MATCH($B667,Branch_Master!$A$2:$A$9,0)),"Not Found")</f>
        <v>Ahmedabad</v>
      </c>
      <c r="O667" s="5" t="str">
        <f>IFERROR(INDEX(Branch_Master!$C$2:$C$9,MATCH($B667,Branch_Master!$A$2:$A$9,0)),"Not Found")</f>
        <v>Gujarat</v>
      </c>
      <c r="P667" s="5">
        <f>IFERROR(INDEX(Targets!$B$2:$B$9,MATCH($B667,Targets!$A$2:$A$9,0)),0)</f>
        <v>1590000</v>
      </c>
      <c r="Q667" s="5" t="str">
        <f t="shared" si="20"/>
        <v>Yes</v>
      </c>
      <c r="R667" s="5" t="str">
        <f t="shared" si="21"/>
        <v>Sep</v>
      </c>
    </row>
    <row r="668" spans="1:18" ht="15" customHeight="1" x14ac:dyDescent="0.3">
      <c r="A668" s="5" t="str">
        <f>Sales_Data!A665</f>
        <v>2025-09-03</v>
      </c>
      <c r="B668" s="5" t="str">
        <f>Sales_Data!B665</f>
        <v>Mumbai Central</v>
      </c>
      <c r="C668" s="5" t="str">
        <f>Sales_Data!C665</f>
        <v>E012</v>
      </c>
      <c r="D668" s="5" t="str">
        <f>IFERROR(INDEX(Employee_Master!$B$2:$B$44,MATCH($C668,Employee_Master!$A$2:$A$44,0)),"Not Found")</f>
        <v>Brandon Cook</v>
      </c>
      <c r="E668" s="5" t="str">
        <f>IFERROR(INDEX(Employee_Master!$C$2:$C$44,MATCH($C668,Employee_Master!$A$2:$A$44,0)),"Not Found")</f>
        <v>Customer Support</v>
      </c>
      <c r="F668" s="5" t="str">
        <f>IFERROR(INDEX(Employee_Master!$D$2:$D$44,MATCH($C668,Employee_Master!$A$2:$A$44,0)),"Not Found")</f>
        <v>Justin Glass</v>
      </c>
      <c r="G668" s="5" t="str">
        <f>IFERROR(INDEX(Employee_Master!$E$2:$E$44,MATCH($C668,Employee_Master!$A$2:$A$44,0)),"Not Found")</f>
        <v>West</v>
      </c>
      <c r="H668" s="5" t="str">
        <f>Sales_Data!D665</f>
        <v>P001 - Wireless Earbuds</v>
      </c>
      <c r="I668" s="5" t="str">
        <f>IFERROR(INDEX(Product_Master!$B$2:$B$30,MATCH($H668,Product_Master!$A$2:$A$30,0)),"Invalid Product Code")</f>
        <v>Electronics</v>
      </c>
      <c r="J668" s="5">
        <f>IFERROR(INDEX(Product_Master!$C$2:$C$30,MATCH($H668,Product_Master!$A$2:$A$30,0)),0)</f>
        <v>1676.76</v>
      </c>
      <c r="K668" s="5">
        <f>Sales_Data!E665</f>
        <v>7</v>
      </c>
      <c r="L668" s="5">
        <f>Sales_Data!F665</f>
        <v>11580.91</v>
      </c>
      <c r="M668" s="5">
        <f>Sales_Data!G665</f>
        <v>10786.43</v>
      </c>
      <c r="N668" s="5" t="str">
        <f>IFERROR(INDEX(Branch_Master!$B$2:$B$9,MATCH($B668,Branch_Master!$A$2:$A$9,0)),"Not Found")</f>
        <v>Mumbai</v>
      </c>
      <c r="O668" s="5" t="str">
        <f>IFERROR(INDEX(Branch_Master!$C$2:$C$9,MATCH($B668,Branch_Master!$A$2:$A$9,0)),"Not Found")</f>
        <v>Maharashtra</v>
      </c>
      <c r="P668" s="5">
        <f>IFERROR(INDEX(Targets!$B$2:$B$9,MATCH($B668,Targets!$A$2:$A$9,0)),0)</f>
        <v>900000</v>
      </c>
      <c r="Q668" s="5" t="str">
        <f t="shared" si="20"/>
        <v>Yes</v>
      </c>
      <c r="R668" s="5" t="str">
        <f t="shared" si="21"/>
        <v>Sep</v>
      </c>
    </row>
    <row r="669" spans="1:18" ht="15" customHeight="1" x14ac:dyDescent="0.3">
      <c r="A669" s="5" t="str">
        <f>Sales_Data!A666</f>
        <v>2025-09-03</v>
      </c>
      <c r="B669" s="5" t="str">
        <f>Sales_Data!B666</f>
        <v>Kolkata Central</v>
      </c>
      <c r="C669" s="5" t="str">
        <f>Sales_Data!C666</f>
        <v>E018</v>
      </c>
      <c r="D669" s="5" t="str">
        <f>IFERROR(INDEX(Employee_Master!$B$2:$B$44,MATCH($C669,Employee_Master!$A$2:$A$44,0)),"Not Found")</f>
        <v>Daniel Nelson</v>
      </c>
      <c r="E669" s="5" t="str">
        <f>IFERROR(INDEX(Employee_Master!$C$2:$C$44,MATCH($C669,Employee_Master!$A$2:$A$44,0)),"Not Found")</f>
        <v>Sales</v>
      </c>
      <c r="F669" s="5" t="str">
        <f>IFERROR(INDEX(Employee_Master!$D$2:$D$44,MATCH($C669,Employee_Master!$A$2:$A$44,0)),"Not Found")</f>
        <v>Lisa Moore</v>
      </c>
      <c r="G669" s="5" t="str">
        <f>IFERROR(INDEX(Employee_Master!$E$2:$E$44,MATCH($C669,Employee_Master!$A$2:$A$44,0)),"Not Found")</f>
        <v>East</v>
      </c>
      <c r="H669" s="5" t="str">
        <f>Sales_Data!D666</f>
        <v>P013 - Mixer Grinder</v>
      </c>
      <c r="I669" s="5" t="str">
        <f>IFERROR(INDEX(Product_Master!$B$2:$B$30,MATCH($H669,Product_Master!$A$2:$A$30,0)),"Invalid Product Code")</f>
        <v>Home &amp; Kitchen</v>
      </c>
      <c r="J669" s="5">
        <f>IFERROR(INDEX(Product_Master!$C$2:$C$30,MATCH($H669,Product_Master!$A$2:$A$30,0)),0)</f>
        <v>798.53</v>
      </c>
      <c r="K669" s="5">
        <f>Sales_Data!E666</f>
        <v>11</v>
      </c>
      <c r="L669" s="5">
        <f>Sales_Data!F666</f>
        <v>9607.73</v>
      </c>
      <c r="M669" s="5">
        <f>Sales_Data!G666</f>
        <v>8993.5</v>
      </c>
      <c r="N669" s="5" t="str">
        <f>IFERROR(INDEX(Branch_Master!$B$2:$B$9,MATCH($B669,Branch_Master!$A$2:$A$9,0)),"Not Found")</f>
        <v>Kolkata</v>
      </c>
      <c r="O669" s="5" t="str">
        <f>IFERROR(INDEX(Branch_Master!$C$2:$C$9,MATCH($B669,Branch_Master!$A$2:$A$9,0)),"Not Found")</f>
        <v>West Bengal</v>
      </c>
      <c r="P669" s="5">
        <f>IFERROR(INDEX(Targets!$B$2:$B$9,MATCH($B669,Targets!$A$2:$A$9,0)),0)</f>
        <v>1910000</v>
      </c>
      <c r="Q669" s="5" t="str">
        <f t="shared" si="20"/>
        <v>Yes</v>
      </c>
      <c r="R669" s="5" t="str">
        <f t="shared" si="21"/>
        <v>Sep</v>
      </c>
    </row>
    <row r="670" spans="1:18" ht="15" customHeight="1" x14ac:dyDescent="0.3">
      <c r="A670" s="5" t="str">
        <f>Sales_Data!A667</f>
        <v>2025-09-04</v>
      </c>
      <c r="B670" s="5" t="str">
        <f>Sales_Data!B667</f>
        <v>Bangalore North</v>
      </c>
      <c r="C670" s="5" t="str">
        <f>Sales_Data!C667</f>
        <v>E040</v>
      </c>
      <c r="D670" s="5" t="str">
        <f>IFERROR(INDEX(Employee_Master!$B$2:$B$44,MATCH($C670,Employee_Master!$A$2:$A$44,0)),"Not Found")</f>
        <v>Bonnie Cox</v>
      </c>
      <c r="E670" s="5" t="str">
        <f>IFERROR(INDEX(Employee_Master!$C$2:$C$44,MATCH($C670,Employee_Master!$A$2:$A$44,0)),"Not Found")</f>
        <v>Customer Support</v>
      </c>
      <c r="F670" s="5" t="str">
        <f>IFERROR(INDEX(Employee_Master!$D$2:$D$44,MATCH($C670,Employee_Master!$A$2:$A$44,0)),"Not Found")</f>
        <v>Jose Soto</v>
      </c>
      <c r="G670" s="5" t="str">
        <f>IFERROR(INDEX(Employee_Master!$E$2:$E$44,MATCH($C670,Employee_Master!$A$2:$A$44,0)),"Not Found")</f>
        <v>South</v>
      </c>
      <c r="H670" s="5" t="str">
        <f>Sales_Data!D667</f>
        <v>P009 - Formal Shirt</v>
      </c>
      <c r="I670" s="5" t="str">
        <f>IFERROR(INDEX(Product_Master!$B$2:$B$30,MATCH($H670,Product_Master!$A$2:$A$30,0)),"Invalid Product Code")</f>
        <v>Apparel</v>
      </c>
      <c r="J670" s="5">
        <f>IFERROR(INDEX(Product_Master!$C$2:$C$30,MATCH($H670,Product_Master!$A$2:$A$30,0)),0)</f>
        <v>661.65</v>
      </c>
      <c r="K670" s="5">
        <f>Sales_Data!E667</f>
        <v>1</v>
      </c>
      <c r="L670" s="5">
        <f>Sales_Data!F667</f>
        <v>666.8</v>
      </c>
      <c r="M670" s="5">
        <f>Sales_Data!G667</f>
        <v>633.75</v>
      </c>
      <c r="N670" s="5" t="str">
        <f>IFERROR(INDEX(Branch_Master!$B$2:$B$9,MATCH($B670,Branch_Master!$A$2:$A$9,0)),"Not Found")</f>
        <v>Bangalore</v>
      </c>
      <c r="O670" s="5" t="str">
        <f>IFERROR(INDEX(Branch_Master!$C$2:$C$9,MATCH($B670,Branch_Master!$A$2:$A$9,0)),"Not Found")</f>
        <v>Karnataka</v>
      </c>
      <c r="P670" s="5">
        <f>IFERROR(INDEX(Targets!$B$2:$B$9,MATCH($B670,Targets!$A$2:$A$9,0)),0)</f>
        <v>900000</v>
      </c>
      <c r="Q670" s="5" t="str">
        <f t="shared" si="20"/>
        <v>Yes</v>
      </c>
      <c r="R670" s="5" t="str">
        <f t="shared" si="21"/>
        <v>Sep</v>
      </c>
    </row>
    <row r="671" spans="1:18" ht="15" customHeight="1" x14ac:dyDescent="0.3">
      <c r="A671" s="5" t="str">
        <f>Sales_Data!A668</f>
        <v>2025-09-04</v>
      </c>
      <c r="B671" s="5" t="str">
        <f>Sales_Data!B668</f>
        <v>Mumbai Central</v>
      </c>
      <c r="C671" s="5" t="str">
        <f>Sales_Data!C668</f>
        <v>E010</v>
      </c>
      <c r="D671" s="5" t="str">
        <f>IFERROR(INDEX(Employee_Master!$B$2:$B$44,MATCH($C671,Employee_Master!$A$2:$A$44,0)),"Not Found")</f>
        <v>William Sanders</v>
      </c>
      <c r="E671" s="5" t="str">
        <f>IFERROR(INDEX(Employee_Master!$C$2:$C$44,MATCH($C671,Employee_Master!$A$2:$A$44,0)),"Not Found")</f>
        <v>Sales</v>
      </c>
      <c r="F671" s="5" t="str">
        <f>IFERROR(INDEX(Employee_Master!$D$2:$D$44,MATCH($C671,Employee_Master!$A$2:$A$44,0)),"Not Found")</f>
        <v>Justin Glass</v>
      </c>
      <c r="G671" s="5" t="str">
        <f>IFERROR(INDEX(Employee_Master!$E$2:$E$44,MATCH($C671,Employee_Master!$A$2:$A$44,0)),"Not Found")</f>
        <v>West</v>
      </c>
      <c r="H671" s="5" t="str">
        <f>Sales_Data!D668</f>
        <v>P011 - Winter Jacket</v>
      </c>
      <c r="I671" s="5" t="str">
        <f>IFERROR(INDEX(Product_Master!$B$2:$B$30,MATCH($H671,Product_Master!$A$2:$A$30,0)),"Invalid Product Code")</f>
        <v>Apparel</v>
      </c>
      <c r="J671" s="5">
        <f>IFERROR(INDEX(Product_Master!$C$2:$C$30,MATCH($H671,Product_Master!$A$2:$A$30,0)),0)</f>
        <v>264.97000000000003</v>
      </c>
      <c r="K671" s="5">
        <f>Sales_Data!E668</f>
        <v>1</v>
      </c>
      <c r="L671" s="5">
        <f>Sales_Data!F668</f>
        <v>277.64999999999998</v>
      </c>
      <c r="M671" s="5">
        <f>Sales_Data!G668</f>
        <v>255.06</v>
      </c>
      <c r="N671" s="5" t="str">
        <f>IFERROR(INDEX(Branch_Master!$B$2:$B$9,MATCH($B671,Branch_Master!$A$2:$A$9,0)),"Not Found")</f>
        <v>Mumbai</v>
      </c>
      <c r="O671" s="5" t="str">
        <f>IFERROR(INDEX(Branch_Master!$C$2:$C$9,MATCH($B671,Branch_Master!$A$2:$A$9,0)),"Not Found")</f>
        <v>Maharashtra</v>
      </c>
      <c r="P671" s="5">
        <f>IFERROR(INDEX(Targets!$B$2:$B$9,MATCH($B671,Targets!$A$2:$A$9,0)),0)</f>
        <v>900000</v>
      </c>
      <c r="Q671" s="5" t="str">
        <f t="shared" si="20"/>
        <v>Yes</v>
      </c>
      <c r="R671" s="5" t="str">
        <f t="shared" si="21"/>
        <v>Sep</v>
      </c>
    </row>
    <row r="672" spans="1:18" ht="15" customHeight="1" x14ac:dyDescent="0.3">
      <c r="A672" s="5" t="str">
        <f>Sales_Data!A669</f>
        <v>2025-09-04</v>
      </c>
      <c r="B672" s="5" t="str">
        <f>Sales_Data!B669</f>
        <v>Bangalore North</v>
      </c>
      <c r="C672" s="5" t="str">
        <f>Sales_Data!C669</f>
        <v>E006</v>
      </c>
      <c r="D672" s="5" t="str">
        <f>IFERROR(INDEX(Employee_Master!$B$2:$B$44,MATCH($C672,Employee_Master!$A$2:$A$44,0)),"Not Found")</f>
        <v>Dylan Jones</v>
      </c>
      <c r="E672" s="5" t="str">
        <f>IFERROR(INDEX(Employee_Master!$C$2:$C$44,MATCH($C672,Employee_Master!$A$2:$A$44,0)),"Not Found")</f>
        <v>Sales</v>
      </c>
      <c r="F672" s="5" t="str">
        <f>IFERROR(INDEX(Employee_Master!$D$2:$D$44,MATCH($C672,Employee_Master!$A$2:$A$44,0)),"Not Found")</f>
        <v>Jose Soto</v>
      </c>
      <c r="G672" s="5" t="str">
        <f>IFERROR(INDEX(Employee_Master!$E$2:$E$44,MATCH($C672,Employee_Master!$A$2:$A$44,0)),"Not Found")</f>
        <v>South</v>
      </c>
      <c r="H672" s="5" t="str">
        <f>Sales_Data!D669</f>
        <v>P011 - Winter Jacket</v>
      </c>
      <c r="I672" s="5" t="str">
        <f>IFERROR(INDEX(Product_Master!$B$2:$B$30,MATCH($H672,Product_Master!$A$2:$A$30,0)),"Invalid Product Code")</f>
        <v>Apparel</v>
      </c>
      <c r="J672" s="5">
        <f>IFERROR(INDEX(Product_Master!$C$2:$C$30,MATCH($H672,Product_Master!$A$2:$A$30,0)),0)</f>
        <v>264.97000000000003</v>
      </c>
      <c r="K672" s="5">
        <f>Sales_Data!E669</f>
        <v>11</v>
      </c>
      <c r="L672" s="5">
        <f>Sales_Data!F669</f>
        <v>2916.43</v>
      </c>
      <c r="M672" s="5">
        <f>Sales_Data!G669</f>
        <v>2776.94</v>
      </c>
      <c r="N672" s="5" t="str">
        <f>IFERROR(INDEX(Branch_Master!$B$2:$B$9,MATCH($B672,Branch_Master!$A$2:$A$9,0)),"Not Found")</f>
        <v>Bangalore</v>
      </c>
      <c r="O672" s="5" t="str">
        <f>IFERROR(INDEX(Branch_Master!$C$2:$C$9,MATCH($B672,Branch_Master!$A$2:$A$9,0)),"Not Found")</f>
        <v>Karnataka</v>
      </c>
      <c r="P672" s="5">
        <f>IFERROR(INDEX(Targets!$B$2:$B$9,MATCH($B672,Targets!$A$2:$A$9,0)),0)</f>
        <v>900000</v>
      </c>
      <c r="Q672" s="5" t="str">
        <f t="shared" si="20"/>
        <v>Yes</v>
      </c>
      <c r="R672" s="5" t="str">
        <f t="shared" si="21"/>
        <v>Sep</v>
      </c>
    </row>
    <row r="673" spans="1:18" ht="15" customHeight="1" x14ac:dyDescent="0.3">
      <c r="A673" s="5" t="str">
        <f>Sales_Data!A670</f>
        <v>2025-09-04</v>
      </c>
      <c r="B673" s="5" t="str">
        <f>Sales_Data!B670</f>
        <v>Mumbai Central</v>
      </c>
      <c r="C673" s="5" t="str">
        <f>Sales_Data!C670</f>
        <v>E012</v>
      </c>
      <c r="D673" s="5" t="str">
        <f>IFERROR(INDEX(Employee_Master!$B$2:$B$44,MATCH($C673,Employee_Master!$A$2:$A$44,0)),"Not Found")</f>
        <v>Brandon Cook</v>
      </c>
      <c r="E673" s="5" t="str">
        <f>IFERROR(INDEX(Employee_Master!$C$2:$C$44,MATCH($C673,Employee_Master!$A$2:$A$44,0)),"Not Found")</f>
        <v>Customer Support</v>
      </c>
      <c r="F673" s="5" t="str">
        <f>IFERROR(INDEX(Employee_Master!$D$2:$D$44,MATCH($C673,Employee_Master!$A$2:$A$44,0)),"Not Found")</f>
        <v>Justin Glass</v>
      </c>
      <c r="G673" s="5" t="str">
        <f>IFERROR(INDEX(Employee_Master!$E$2:$E$44,MATCH($C673,Employee_Master!$A$2:$A$44,0)),"Not Found")</f>
        <v>West</v>
      </c>
      <c r="H673" s="5" t="str">
        <f>Sales_Data!D670</f>
        <v>P023 - Sunscreen SPF50</v>
      </c>
      <c r="I673" s="5" t="str">
        <f>IFERROR(INDEX(Product_Master!$B$2:$B$30,MATCH($H673,Product_Master!$A$2:$A$30,0)),"Invalid Product Code")</f>
        <v>Beauty</v>
      </c>
      <c r="J673" s="5">
        <f>IFERROR(INDEX(Product_Master!$C$2:$C$30,MATCH($H673,Product_Master!$A$2:$A$30,0)),0)</f>
        <v>818.95</v>
      </c>
      <c r="K673" s="5">
        <f>Sales_Data!E670</f>
        <v>2</v>
      </c>
      <c r="L673" s="5">
        <f>Sales_Data!F670</f>
        <v>1637</v>
      </c>
      <c r="M673" s="5">
        <f>Sales_Data!G670</f>
        <v>1694.16</v>
      </c>
      <c r="N673" s="5" t="str">
        <f>IFERROR(INDEX(Branch_Master!$B$2:$B$9,MATCH($B673,Branch_Master!$A$2:$A$9,0)),"Not Found")</f>
        <v>Mumbai</v>
      </c>
      <c r="O673" s="5" t="str">
        <f>IFERROR(INDEX(Branch_Master!$C$2:$C$9,MATCH($B673,Branch_Master!$A$2:$A$9,0)),"Not Found")</f>
        <v>Maharashtra</v>
      </c>
      <c r="P673" s="5">
        <f>IFERROR(INDEX(Targets!$B$2:$B$9,MATCH($B673,Targets!$A$2:$A$9,0)),0)</f>
        <v>900000</v>
      </c>
      <c r="Q673" s="5" t="str">
        <f t="shared" si="20"/>
        <v>No</v>
      </c>
      <c r="R673" s="5" t="str">
        <f t="shared" si="21"/>
        <v>Sep</v>
      </c>
    </row>
    <row r="674" spans="1:18" ht="15" customHeight="1" x14ac:dyDescent="0.3">
      <c r="A674" s="5" t="str">
        <f>Sales_Data!A671</f>
        <v>2025-09-05</v>
      </c>
      <c r="B674" s="5" t="str">
        <f>Sales_Data!B671</f>
        <v>Hyderabad Hitech</v>
      </c>
      <c r="C674" s="5" t="str">
        <f>Sales_Data!C671</f>
        <v>E020</v>
      </c>
      <c r="D674" s="5" t="str">
        <f>IFERROR(INDEX(Employee_Master!$B$2:$B$44,MATCH($C674,Employee_Master!$A$2:$A$44,0)),"Not Found")</f>
        <v>Christine Long</v>
      </c>
      <c r="E674" s="5" t="str">
        <f>IFERROR(INDEX(Employee_Master!$C$2:$C$44,MATCH($C674,Employee_Master!$A$2:$A$44,0)),"Not Found")</f>
        <v>Operations</v>
      </c>
      <c r="F674" s="5" t="str">
        <f>IFERROR(INDEX(Employee_Master!$D$2:$D$44,MATCH($C674,Employee_Master!$A$2:$A$44,0)),"Not Found")</f>
        <v>Anna Turner</v>
      </c>
      <c r="G674" s="5" t="str">
        <f>IFERROR(INDEX(Employee_Master!$E$2:$E$44,MATCH($C674,Employee_Master!$A$2:$A$44,0)),"Not Found")</f>
        <v>South</v>
      </c>
      <c r="H674" s="5" t="str">
        <f>Sales_Data!D671</f>
        <v>P014 - Air Fryer</v>
      </c>
      <c r="I674" s="5" t="str">
        <f>IFERROR(INDEX(Product_Master!$B$2:$B$30,MATCH($H674,Product_Master!$A$2:$A$30,0)),"Invalid Product Code")</f>
        <v>Home &amp; Kitchen</v>
      </c>
      <c r="J674" s="5">
        <f>IFERROR(INDEX(Product_Master!$C$2:$C$30,MATCH($H674,Product_Master!$A$2:$A$30,0)),0)</f>
        <v>729.85</v>
      </c>
      <c r="K674" s="5">
        <f>Sales_Data!E671</f>
        <v>9</v>
      </c>
      <c r="L674" s="5">
        <f>Sales_Data!F671</f>
        <v>7053.92</v>
      </c>
      <c r="M674" s="5">
        <f>Sales_Data!G671</f>
        <v>6245.93</v>
      </c>
      <c r="N674" s="5" t="str">
        <f>IFERROR(INDEX(Branch_Master!$B$2:$B$9,MATCH($B674,Branch_Master!$A$2:$A$9,0)),"Not Found")</f>
        <v>Hyderabad</v>
      </c>
      <c r="O674" s="5" t="str">
        <f>IFERROR(INDEX(Branch_Master!$C$2:$C$9,MATCH($B674,Branch_Master!$A$2:$A$9,0)),"Not Found")</f>
        <v>Telangana</v>
      </c>
      <c r="P674" s="5">
        <f>IFERROR(INDEX(Targets!$B$2:$B$9,MATCH($B674,Targets!$A$2:$A$9,0)),0)</f>
        <v>1210000</v>
      </c>
      <c r="Q674" s="5" t="str">
        <f t="shared" si="20"/>
        <v>Yes</v>
      </c>
      <c r="R674" s="5" t="str">
        <f t="shared" si="21"/>
        <v>Sep</v>
      </c>
    </row>
    <row r="675" spans="1:18" ht="15" customHeight="1" x14ac:dyDescent="0.3">
      <c r="A675" s="5" t="str">
        <f>Sales_Data!A672</f>
        <v>2025-09-05</v>
      </c>
      <c r="B675" s="5" t="str">
        <f>Sales_Data!B672</f>
        <v>Pune East</v>
      </c>
      <c r="C675" s="5" t="str">
        <f>Sales_Data!C672</f>
        <v>E023</v>
      </c>
      <c r="D675" s="5" t="str">
        <f>IFERROR(INDEX(Employee_Master!$B$2:$B$44,MATCH($C675,Employee_Master!$A$2:$A$44,0)),"Not Found")</f>
        <v>Edward Jones</v>
      </c>
      <c r="E675" s="5" t="str">
        <f>IFERROR(INDEX(Employee_Master!$C$2:$C$44,MATCH($C675,Employee_Master!$A$2:$A$44,0)),"Not Found")</f>
        <v>Operations</v>
      </c>
      <c r="F675" s="5" t="str">
        <f>IFERROR(INDEX(Employee_Master!$D$2:$D$44,MATCH($C675,Employee_Master!$A$2:$A$44,0)),"Not Found")</f>
        <v>Jordan Matthews</v>
      </c>
      <c r="G675" s="5" t="str">
        <f>IFERROR(INDEX(Employee_Master!$E$2:$E$44,MATCH($C675,Employee_Master!$A$2:$A$44,0)),"Not Found")</f>
        <v>West</v>
      </c>
      <c r="H675" s="5" t="str">
        <f>Sales_Data!D672</f>
        <v>P001 - Wireless Earbuds</v>
      </c>
      <c r="I675" s="5" t="str">
        <f>IFERROR(INDEX(Product_Master!$B$2:$B$30,MATCH($H675,Product_Master!$A$2:$A$30,0)),"Invalid Product Code")</f>
        <v>Electronics</v>
      </c>
      <c r="J675" s="5">
        <f>IFERROR(INDEX(Product_Master!$C$2:$C$30,MATCH($H675,Product_Master!$A$2:$A$30,0)),0)</f>
        <v>1676.76</v>
      </c>
      <c r="K675" s="5">
        <f>Sales_Data!E672</f>
        <v>11</v>
      </c>
      <c r="L675" s="5">
        <f>Sales_Data!F672</f>
        <v>17592.939999999999</v>
      </c>
      <c r="M675" s="5">
        <f>Sales_Data!G672</f>
        <v>18921.53</v>
      </c>
      <c r="N675" s="5" t="str">
        <f>IFERROR(INDEX(Branch_Master!$B$2:$B$9,MATCH($B675,Branch_Master!$A$2:$A$9,0)),"Not Found")</f>
        <v>Pune</v>
      </c>
      <c r="O675" s="5" t="str">
        <f>IFERROR(INDEX(Branch_Master!$C$2:$C$9,MATCH($B675,Branch_Master!$A$2:$A$9,0)),"Not Found")</f>
        <v>Maharashtra</v>
      </c>
      <c r="P675" s="5">
        <f>IFERROR(INDEX(Targets!$B$2:$B$9,MATCH($B675,Targets!$A$2:$A$9,0)),0)</f>
        <v>1250000</v>
      </c>
      <c r="Q675" s="5" t="str">
        <f t="shared" si="20"/>
        <v>No</v>
      </c>
      <c r="R675" s="5" t="str">
        <f t="shared" si="21"/>
        <v>Sep</v>
      </c>
    </row>
    <row r="676" spans="1:18" ht="15" customHeight="1" x14ac:dyDescent="0.3">
      <c r="A676" s="5" t="str">
        <f>Sales_Data!A673</f>
        <v>2025-09-06</v>
      </c>
      <c r="B676" s="5" t="str">
        <f>Sales_Data!B673</f>
        <v>Chennai South</v>
      </c>
      <c r="C676" s="5" t="str">
        <f>Sales_Data!C673</f>
        <v>E015</v>
      </c>
      <c r="D676" s="5" t="str">
        <f>IFERROR(INDEX(Employee_Master!$B$2:$B$44,MATCH($C676,Employee_Master!$A$2:$A$44,0)),"Not Found")</f>
        <v>Cassandra Hansen</v>
      </c>
      <c r="E676" s="5" t="str">
        <f>IFERROR(INDEX(Employee_Master!$C$2:$C$44,MATCH($C676,Employee_Master!$A$2:$A$44,0)),"Not Found")</f>
        <v>Customer Support</v>
      </c>
      <c r="F676" s="5" t="str">
        <f>IFERROR(INDEX(Employee_Master!$D$2:$D$44,MATCH($C676,Employee_Master!$A$2:$A$44,0)),"Not Found")</f>
        <v>Robert Steele</v>
      </c>
      <c r="G676" s="5" t="str">
        <f>IFERROR(INDEX(Employee_Master!$E$2:$E$44,MATCH($C676,Employee_Master!$A$2:$A$44,0)),"Not Found")</f>
        <v>South</v>
      </c>
      <c r="H676" s="5" t="str">
        <f>Sales_Data!D673</f>
        <v>P012 - Non-Stick Pan</v>
      </c>
      <c r="I676" s="5" t="str">
        <f>IFERROR(INDEX(Product_Master!$B$2:$B$30,MATCH($H676,Product_Master!$A$2:$A$30,0)),"Invalid Product Code")</f>
        <v>Home &amp; Kitchen</v>
      </c>
      <c r="J676" s="5">
        <f>IFERROR(INDEX(Product_Master!$C$2:$C$30,MATCH($H676,Product_Master!$A$2:$A$30,0)),0)</f>
        <v>353.18</v>
      </c>
      <c r="K676" s="5">
        <f>Sales_Data!E673</f>
        <v>5</v>
      </c>
      <c r="L676" s="5">
        <f>Sales_Data!F673</f>
        <v>1639.89</v>
      </c>
      <c r="M676" s="5">
        <f>Sales_Data!G673</f>
        <v>1825.11</v>
      </c>
      <c r="N676" s="5" t="str">
        <f>IFERROR(INDEX(Branch_Master!$B$2:$B$9,MATCH($B676,Branch_Master!$A$2:$A$9,0)),"Not Found")</f>
        <v>Chennai</v>
      </c>
      <c r="O676" s="5" t="str">
        <f>IFERROR(INDEX(Branch_Master!$C$2:$C$9,MATCH($B676,Branch_Master!$A$2:$A$9,0)),"Not Found")</f>
        <v>Tamil Nadu</v>
      </c>
      <c r="P676" s="5">
        <f>IFERROR(INDEX(Targets!$B$2:$B$9,MATCH($B676,Targets!$A$2:$A$9,0)),0)</f>
        <v>1910000</v>
      </c>
      <c r="Q676" s="5" t="str">
        <f t="shared" si="20"/>
        <v>No</v>
      </c>
      <c r="R676" s="5" t="str">
        <f t="shared" si="21"/>
        <v>Sep</v>
      </c>
    </row>
    <row r="677" spans="1:18" ht="15" customHeight="1" x14ac:dyDescent="0.3">
      <c r="A677" s="5" t="str">
        <f>Sales_Data!A674</f>
        <v>2025-09-06</v>
      </c>
      <c r="B677" s="5" t="str">
        <f>Sales_Data!B674</f>
        <v>Chennai South</v>
      </c>
      <c r="C677" s="5" t="str">
        <f>Sales_Data!C674</f>
        <v>E015</v>
      </c>
      <c r="D677" s="5" t="str">
        <f>IFERROR(INDEX(Employee_Master!$B$2:$B$44,MATCH($C677,Employee_Master!$A$2:$A$44,0)),"Not Found")</f>
        <v>Cassandra Hansen</v>
      </c>
      <c r="E677" s="5" t="str">
        <f>IFERROR(INDEX(Employee_Master!$C$2:$C$44,MATCH($C677,Employee_Master!$A$2:$A$44,0)),"Not Found")</f>
        <v>Customer Support</v>
      </c>
      <c r="F677" s="5" t="str">
        <f>IFERROR(INDEX(Employee_Master!$D$2:$D$44,MATCH($C677,Employee_Master!$A$2:$A$44,0)),"Not Found")</f>
        <v>Robert Steele</v>
      </c>
      <c r="G677" s="5" t="str">
        <f>IFERROR(INDEX(Employee_Master!$E$2:$E$44,MATCH($C677,Employee_Master!$A$2:$A$44,0)),"Not Found")</f>
        <v>South</v>
      </c>
      <c r="H677" s="5" t="str">
        <f>Sales_Data!D674</f>
        <v>P019 - Organic Honey</v>
      </c>
      <c r="I677" s="5" t="str">
        <f>IFERROR(INDEX(Product_Master!$B$2:$B$30,MATCH($H677,Product_Master!$A$2:$A$30,0)),"Invalid Product Code")</f>
        <v>Grocery</v>
      </c>
      <c r="J677" s="5">
        <f>IFERROR(INDEX(Product_Master!$C$2:$C$30,MATCH($H677,Product_Master!$A$2:$A$30,0)),0)</f>
        <v>482.15</v>
      </c>
      <c r="K677" s="5">
        <f>Sales_Data!E674</f>
        <v>1</v>
      </c>
      <c r="L677" s="5">
        <f>Sales_Data!F674</f>
        <v>442.76</v>
      </c>
      <c r="M677" s="5">
        <f>Sales_Data!G674</f>
        <v>444.74</v>
      </c>
      <c r="N677" s="5" t="str">
        <f>IFERROR(INDEX(Branch_Master!$B$2:$B$9,MATCH($B677,Branch_Master!$A$2:$A$9,0)),"Not Found")</f>
        <v>Chennai</v>
      </c>
      <c r="O677" s="5" t="str">
        <f>IFERROR(INDEX(Branch_Master!$C$2:$C$9,MATCH($B677,Branch_Master!$A$2:$A$9,0)),"Not Found")</f>
        <v>Tamil Nadu</v>
      </c>
      <c r="P677" s="5">
        <f>IFERROR(INDEX(Targets!$B$2:$B$9,MATCH($B677,Targets!$A$2:$A$9,0)),0)</f>
        <v>1910000</v>
      </c>
      <c r="Q677" s="5" t="str">
        <f t="shared" si="20"/>
        <v>No</v>
      </c>
      <c r="R677" s="5" t="str">
        <f t="shared" si="21"/>
        <v>Sep</v>
      </c>
    </row>
    <row r="678" spans="1:18" ht="15" customHeight="1" x14ac:dyDescent="0.3">
      <c r="A678" s="5" t="str">
        <f>Sales_Data!A675</f>
        <v>2025-09-07</v>
      </c>
      <c r="B678" s="5" t="str">
        <f>Sales_Data!B675</f>
        <v>Chennai South</v>
      </c>
      <c r="C678" s="5" t="str">
        <f>Sales_Data!C675</f>
        <v>E032</v>
      </c>
      <c r="D678" s="5" t="str">
        <f>IFERROR(INDEX(Employee_Master!$B$2:$B$44,MATCH($C678,Employee_Master!$A$2:$A$44,0)),"Not Found")</f>
        <v>Victor Allen</v>
      </c>
      <c r="E678" s="5" t="str">
        <f>IFERROR(INDEX(Employee_Master!$C$2:$C$44,MATCH($C678,Employee_Master!$A$2:$A$44,0)),"Not Found")</f>
        <v>Operations</v>
      </c>
      <c r="F678" s="5" t="str">
        <f>IFERROR(INDEX(Employee_Master!$D$2:$D$44,MATCH($C678,Employee_Master!$A$2:$A$44,0)),"Not Found")</f>
        <v>Robert Steele</v>
      </c>
      <c r="G678" s="5" t="str">
        <f>IFERROR(INDEX(Employee_Master!$E$2:$E$44,MATCH($C678,Employee_Master!$A$2:$A$44,0)),"Not Found")</f>
        <v>South</v>
      </c>
      <c r="H678" s="5" t="str">
        <f>Sales_Data!D675</f>
        <v>P010 - Running Shoes</v>
      </c>
      <c r="I678" s="5" t="str">
        <f>IFERROR(INDEX(Product_Master!$B$2:$B$30,MATCH($H678,Product_Master!$A$2:$A$30,0)),"Invalid Product Code")</f>
        <v>Apparel</v>
      </c>
      <c r="J678" s="5">
        <f>IFERROR(INDEX(Product_Master!$C$2:$C$30,MATCH($H678,Product_Master!$A$2:$A$30,0)),0)</f>
        <v>233.71</v>
      </c>
      <c r="K678" s="5">
        <f>Sales_Data!E675</f>
        <v>5</v>
      </c>
      <c r="L678" s="5">
        <f>Sales_Data!F675</f>
        <v>1263.3</v>
      </c>
      <c r="M678" s="5">
        <f>Sales_Data!G675</f>
        <v>1270.69</v>
      </c>
      <c r="N678" s="5" t="str">
        <f>IFERROR(INDEX(Branch_Master!$B$2:$B$9,MATCH($B678,Branch_Master!$A$2:$A$9,0)),"Not Found")</f>
        <v>Chennai</v>
      </c>
      <c r="O678" s="5" t="str">
        <f>IFERROR(INDEX(Branch_Master!$C$2:$C$9,MATCH($B678,Branch_Master!$A$2:$A$9,0)),"Not Found")</f>
        <v>Tamil Nadu</v>
      </c>
      <c r="P678" s="5">
        <f>IFERROR(INDEX(Targets!$B$2:$B$9,MATCH($B678,Targets!$A$2:$A$9,0)),0)</f>
        <v>1910000</v>
      </c>
      <c r="Q678" s="5" t="str">
        <f t="shared" si="20"/>
        <v>No</v>
      </c>
      <c r="R678" s="5" t="str">
        <f t="shared" si="21"/>
        <v>Sep</v>
      </c>
    </row>
    <row r="679" spans="1:18" ht="15" customHeight="1" x14ac:dyDescent="0.3">
      <c r="A679" s="5" t="str">
        <f>Sales_Data!A676</f>
        <v>2025-09-08</v>
      </c>
      <c r="B679" s="5" t="str">
        <f>Sales_Data!B676</f>
        <v>Hyderabad Hitech</v>
      </c>
      <c r="C679" s="5" t="str">
        <f>Sales_Data!C676</f>
        <v>E035</v>
      </c>
      <c r="D679" s="5" t="str">
        <f>IFERROR(INDEX(Employee_Master!$B$2:$B$44,MATCH($C679,Employee_Master!$A$2:$A$44,0)),"Not Found")</f>
        <v>Andrea Perez</v>
      </c>
      <c r="E679" s="5" t="str">
        <f>IFERROR(INDEX(Employee_Master!$C$2:$C$44,MATCH($C679,Employee_Master!$A$2:$A$44,0)),"Not Found")</f>
        <v>Sales</v>
      </c>
      <c r="F679" s="5" t="str">
        <f>IFERROR(INDEX(Employee_Master!$D$2:$D$44,MATCH($C679,Employee_Master!$A$2:$A$44,0)),"Not Found")</f>
        <v>Anna Turner</v>
      </c>
      <c r="G679" s="5" t="str">
        <f>IFERROR(INDEX(Employee_Master!$E$2:$E$44,MATCH($C679,Employee_Master!$A$2:$A$44,0)),"Not Found")</f>
        <v>South</v>
      </c>
      <c r="H679" s="5" t="str">
        <f>Sales_Data!D676</f>
        <v>P029 - Dumbbell Set 10kg</v>
      </c>
      <c r="I679" s="5" t="str">
        <f>IFERROR(INDEX(Product_Master!$B$2:$B$30,MATCH($H679,Product_Master!$A$2:$A$30,0)),"Invalid Product Code")</f>
        <v>Sports</v>
      </c>
      <c r="J679" s="5">
        <f>IFERROR(INDEX(Product_Master!$C$2:$C$30,MATCH($H679,Product_Master!$A$2:$A$30,0)),0)</f>
        <v>435</v>
      </c>
      <c r="K679" s="5">
        <f>Sales_Data!E676</f>
        <v>9</v>
      </c>
      <c r="L679" s="5">
        <f>Sales_Data!F676</f>
        <v>4264.57</v>
      </c>
      <c r="M679" s="5">
        <f>Sales_Data!G676</f>
        <v>3994.76</v>
      </c>
      <c r="N679" s="5" t="str">
        <f>IFERROR(INDEX(Branch_Master!$B$2:$B$9,MATCH($B679,Branch_Master!$A$2:$A$9,0)),"Not Found")</f>
        <v>Hyderabad</v>
      </c>
      <c r="O679" s="5" t="str">
        <f>IFERROR(INDEX(Branch_Master!$C$2:$C$9,MATCH($B679,Branch_Master!$A$2:$A$9,0)),"Not Found")</f>
        <v>Telangana</v>
      </c>
      <c r="P679" s="5">
        <f>IFERROR(INDEX(Targets!$B$2:$B$9,MATCH($B679,Targets!$A$2:$A$9,0)),0)</f>
        <v>1210000</v>
      </c>
      <c r="Q679" s="5" t="str">
        <f t="shared" si="20"/>
        <v>Yes</v>
      </c>
      <c r="R679" s="5" t="str">
        <f t="shared" si="21"/>
        <v>Sep</v>
      </c>
    </row>
    <row r="680" spans="1:18" ht="15" customHeight="1" x14ac:dyDescent="0.3">
      <c r="A680" s="5" t="str">
        <f>Sales_Data!A677</f>
        <v>2025-09-08</v>
      </c>
      <c r="B680" s="5" t="str">
        <f>Sales_Data!B677</f>
        <v>Delhi NCR</v>
      </c>
      <c r="C680" s="5" t="str">
        <f>Sales_Data!C677</f>
        <v>E031</v>
      </c>
      <c r="D680" s="5" t="str">
        <f>IFERROR(INDEX(Employee_Master!$B$2:$B$44,MATCH($C680,Employee_Master!$A$2:$A$44,0)),"Not Found")</f>
        <v>Jennifer Garcia</v>
      </c>
      <c r="E680" s="5" t="str">
        <f>IFERROR(INDEX(Employee_Master!$C$2:$C$44,MATCH($C680,Employee_Master!$A$2:$A$44,0)),"Not Found")</f>
        <v>Sales</v>
      </c>
      <c r="F680" s="5" t="str">
        <f>IFERROR(INDEX(Employee_Master!$D$2:$D$44,MATCH($C680,Employee_Master!$A$2:$A$44,0)),"Not Found")</f>
        <v>William Oconnell</v>
      </c>
      <c r="G680" s="5" t="str">
        <f>IFERROR(INDEX(Employee_Master!$E$2:$E$44,MATCH($C680,Employee_Master!$A$2:$A$44,0)),"Not Found")</f>
        <v>North</v>
      </c>
      <c r="H680" s="5" t="str">
        <f>Sales_Data!D677</f>
        <v>P013 - Mixer Grinder</v>
      </c>
      <c r="I680" s="5" t="str">
        <f>IFERROR(INDEX(Product_Master!$B$2:$B$30,MATCH($H680,Product_Master!$A$2:$A$30,0)),"Invalid Product Code")</f>
        <v>Home &amp; Kitchen</v>
      </c>
      <c r="J680" s="5">
        <f>IFERROR(INDEX(Product_Master!$C$2:$C$30,MATCH($H680,Product_Master!$A$2:$A$30,0)),0)</f>
        <v>798.53</v>
      </c>
      <c r="K680" s="5">
        <f>Sales_Data!E677</f>
        <v>6</v>
      </c>
      <c r="L680" s="5">
        <f>Sales_Data!F677</f>
        <v>4635.7700000000004</v>
      </c>
      <c r="M680" s="5">
        <f>Sales_Data!G677</f>
        <v>5464.25</v>
      </c>
      <c r="N680" s="5" t="str">
        <f>IFERROR(INDEX(Branch_Master!$B$2:$B$9,MATCH($B680,Branch_Master!$A$2:$A$9,0)),"Not Found")</f>
        <v>New Delhi</v>
      </c>
      <c r="O680" s="5" t="str">
        <f>IFERROR(INDEX(Branch_Master!$C$2:$C$9,MATCH($B680,Branch_Master!$A$2:$A$9,0)),"Not Found")</f>
        <v>Delhi</v>
      </c>
      <c r="P680" s="5">
        <f>IFERROR(INDEX(Targets!$B$2:$B$9,MATCH($B680,Targets!$A$2:$A$9,0)),0)</f>
        <v>2070000</v>
      </c>
      <c r="Q680" s="5" t="str">
        <f t="shared" si="20"/>
        <v>No</v>
      </c>
      <c r="R680" s="5" t="str">
        <f t="shared" si="21"/>
        <v>Sep</v>
      </c>
    </row>
    <row r="681" spans="1:18" ht="15" customHeight="1" x14ac:dyDescent="0.3">
      <c r="A681" s="5" t="str">
        <f>Sales_Data!A678</f>
        <v>2025-09-09</v>
      </c>
      <c r="B681" s="5" t="str">
        <f>Sales_Data!B678</f>
        <v>Ahmedabad West</v>
      </c>
      <c r="C681" s="5" t="str">
        <f>Sales_Data!C678</f>
        <v>E039</v>
      </c>
      <c r="D681" s="5" t="str">
        <f>IFERROR(INDEX(Employee_Master!$B$2:$B$44,MATCH($C681,Employee_Master!$A$2:$A$44,0)),"Not Found")</f>
        <v>Christopher Wood</v>
      </c>
      <c r="E681" s="5" t="str">
        <f>IFERROR(INDEX(Employee_Master!$C$2:$C$44,MATCH($C681,Employee_Master!$A$2:$A$44,0)),"Not Found")</f>
        <v>Marketing</v>
      </c>
      <c r="F681" s="5" t="str">
        <f>IFERROR(INDEX(Employee_Master!$D$2:$D$44,MATCH($C681,Employee_Master!$A$2:$A$44,0)),"Not Found")</f>
        <v>Joseph Brown</v>
      </c>
      <c r="G681" s="5" t="str">
        <f>IFERROR(INDEX(Employee_Master!$E$2:$E$44,MATCH($C681,Employee_Master!$A$2:$A$44,0)),"Not Found")</f>
        <v>West</v>
      </c>
      <c r="H681" s="5" t="str">
        <f>Sales_Data!D678</f>
        <v>P029 - Dumbbell Set 10kg</v>
      </c>
      <c r="I681" s="5" t="str">
        <f>IFERROR(INDEX(Product_Master!$B$2:$B$30,MATCH($H681,Product_Master!$A$2:$A$30,0)),"Invalid Product Code")</f>
        <v>Sports</v>
      </c>
      <c r="J681" s="5">
        <f>IFERROR(INDEX(Product_Master!$C$2:$C$30,MATCH($H681,Product_Master!$A$2:$A$30,0)),0)</f>
        <v>435</v>
      </c>
      <c r="K681" s="5">
        <f>Sales_Data!E678</f>
        <v>6</v>
      </c>
      <c r="L681" s="5">
        <f>Sales_Data!F678</f>
        <v>2750.47</v>
      </c>
      <c r="M681" s="5">
        <f>Sales_Data!G678</f>
        <v>2616.84</v>
      </c>
      <c r="N681" s="5" t="str">
        <f>IFERROR(INDEX(Branch_Master!$B$2:$B$9,MATCH($B681,Branch_Master!$A$2:$A$9,0)),"Not Found")</f>
        <v>Ahmedabad</v>
      </c>
      <c r="O681" s="5" t="str">
        <f>IFERROR(INDEX(Branch_Master!$C$2:$C$9,MATCH($B681,Branch_Master!$A$2:$A$9,0)),"Not Found")</f>
        <v>Gujarat</v>
      </c>
      <c r="P681" s="5">
        <f>IFERROR(INDEX(Targets!$B$2:$B$9,MATCH($B681,Targets!$A$2:$A$9,0)),0)</f>
        <v>1590000</v>
      </c>
      <c r="Q681" s="5" t="str">
        <f t="shared" si="20"/>
        <v>Yes</v>
      </c>
      <c r="R681" s="5" t="str">
        <f t="shared" si="21"/>
        <v>Sep</v>
      </c>
    </row>
    <row r="682" spans="1:18" ht="15" customHeight="1" x14ac:dyDescent="0.3">
      <c r="A682" s="5" t="str">
        <f>Sales_Data!A679</f>
        <v>2025-09-09</v>
      </c>
      <c r="B682" s="5" t="str">
        <f>Sales_Data!B679</f>
        <v>Chennai South</v>
      </c>
      <c r="C682" s="5" t="str">
        <f>Sales_Data!C679</f>
        <v>E019</v>
      </c>
      <c r="D682" s="5" t="str">
        <f>IFERROR(INDEX(Employee_Master!$B$2:$B$44,MATCH($C682,Employee_Master!$A$2:$A$44,0)),"Not Found")</f>
        <v>Regina Torres</v>
      </c>
      <c r="E682" s="5" t="str">
        <f>IFERROR(INDEX(Employee_Master!$C$2:$C$44,MATCH($C682,Employee_Master!$A$2:$A$44,0)),"Not Found")</f>
        <v>Operations</v>
      </c>
      <c r="F682" s="5" t="str">
        <f>IFERROR(INDEX(Employee_Master!$D$2:$D$44,MATCH($C682,Employee_Master!$A$2:$A$44,0)),"Not Found")</f>
        <v>Robert Steele</v>
      </c>
      <c r="G682" s="5" t="str">
        <f>IFERROR(INDEX(Employee_Master!$E$2:$E$44,MATCH($C682,Employee_Master!$A$2:$A$44,0)),"Not Found")</f>
        <v>South</v>
      </c>
      <c r="H682" s="5" t="str">
        <f>Sales_Data!D679</f>
        <v>P014 - Air Fryer</v>
      </c>
      <c r="I682" s="5" t="str">
        <f>IFERROR(INDEX(Product_Master!$B$2:$B$30,MATCH($H682,Product_Master!$A$2:$A$30,0)),"Invalid Product Code")</f>
        <v>Home &amp; Kitchen</v>
      </c>
      <c r="J682" s="5">
        <f>IFERROR(INDEX(Product_Master!$C$2:$C$30,MATCH($H682,Product_Master!$A$2:$A$30,0)),0)</f>
        <v>729.85</v>
      </c>
      <c r="K682" s="5">
        <f>Sales_Data!E679</f>
        <v>5</v>
      </c>
      <c r="L682" s="5">
        <f>Sales_Data!F679</f>
        <v>3552.07</v>
      </c>
      <c r="M682" s="5">
        <f>Sales_Data!G679</f>
        <v>3833.2</v>
      </c>
      <c r="N682" s="5" t="str">
        <f>IFERROR(INDEX(Branch_Master!$B$2:$B$9,MATCH($B682,Branch_Master!$A$2:$A$9,0)),"Not Found")</f>
        <v>Chennai</v>
      </c>
      <c r="O682" s="5" t="str">
        <f>IFERROR(INDEX(Branch_Master!$C$2:$C$9,MATCH($B682,Branch_Master!$A$2:$A$9,0)),"Not Found")</f>
        <v>Tamil Nadu</v>
      </c>
      <c r="P682" s="5">
        <f>IFERROR(INDEX(Targets!$B$2:$B$9,MATCH($B682,Targets!$A$2:$A$9,0)),0)</f>
        <v>1910000</v>
      </c>
      <c r="Q682" s="5" t="str">
        <f t="shared" si="20"/>
        <v>No</v>
      </c>
      <c r="R682" s="5" t="str">
        <f t="shared" si="21"/>
        <v>Sep</v>
      </c>
    </row>
    <row r="683" spans="1:18" ht="15" customHeight="1" x14ac:dyDescent="0.3">
      <c r="A683" s="5" t="str">
        <f>Sales_Data!A680</f>
        <v>2025-09-09</v>
      </c>
      <c r="B683" s="5" t="str">
        <f>Sales_Data!B680</f>
        <v>Ahmedabad West</v>
      </c>
      <c r="C683" s="5" t="str">
        <f>Sales_Data!C680</f>
        <v>E017</v>
      </c>
      <c r="D683" s="5" t="str">
        <f>IFERROR(INDEX(Employee_Master!$B$2:$B$44,MATCH($C683,Employee_Master!$A$2:$A$44,0)),"Not Found")</f>
        <v>Mathew Wilson</v>
      </c>
      <c r="E683" s="5" t="str">
        <f>IFERROR(INDEX(Employee_Master!$C$2:$C$44,MATCH($C683,Employee_Master!$A$2:$A$44,0)),"Not Found")</f>
        <v>Operations</v>
      </c>
      <c r="F683" s="5" t="str">
        <f>IFERROR(INDEX(Employee_Master!$D$2:$D$44,MATCH($C683,Employee_Master!$A$2:$A$44,0)),"Not Found")</f>
        <v>Joseph Brown</v>
      </c>
      <c r="G683" s="5" t="str">
        <f>IFERROR(INDEX(Employee_Master!$E$2:$E$44,MATCH($C683,Employee_Master!$A$2:$A$44,0)),"Not Found")</f>
        <v>West</v>
      </c>
      <c r="H683" s="5" t="str">
        <f>Sales_Data!D680</f>
        <v>P999 - Discontinued Item</v>
      </c>
      <c r="I683" s="5" t="str">
        <f>IFERROR(INDEX(Product_Master!$B$2:$B$30,MATCH($H683,Product_Master!$A$2:$A$30,0)),"Invalid Product Code")</f>
        <v>Invalid Product Code</v>
      </c>
      <c r="J683" s="5">
        <f>IFERROR(INDEX(Product_Master!$C$2:$C$30,MATCH($H683,Product_Master!$A$2:$A$30,0)),0)</f>
        <v>0</v>
      </c>
      <c r="K683" s="5">
        <f>Sales_Data!E680</f>
        <v>1</v>
      </c>
      <c r="L683" s="5">
        <f>Sales_Data!F680</f>
        <v>356.87</v>
      </c>
      <c r="M683" s="5">
        <f>Sales_Data!G680</f>
        <v>388.28</v>
      </c>
      <c r="N683" s="5" t="str">
        <f>IFERROR(INDEX(Branch_Master!$B$2:$B$9,MATCH($B683,Branch_Master!$A$2:$A$9,0)),"Not Found")</f>
        <v>Ahmedabad</v>
      </c>
      <c r="O683" s="5" t="str">
        <f>IFERROR(INDEX(Branch_Master!$C$2:$C$9,MATCH($B683,Branch_Master!$A$2:$A$9,0)),"Not Found")</f>
        <v>Gujarat</v>
      </c>
      <c r="P683" s="5">
        <f>IFERROR(INDEX(Targets!$B$2:$B$9,MATCH($B683,Targets!$A$2:$A$9,0)),0)</f>
        <v>1590000</v>
      </c>
      <c r="Q683" s="5" t="str">
        <f t="shared" si="20"/>
        <v>No</v>
      </c>
      <c r="R683" s="5" t="str">
        <f t="shared" si="21"/>
        <v>Sep</v>
      </c>
    </row>
    <row r="684" spans="1:18" ht="15" customHeight="1" x14ac:dyDescent="0.3">
      <c r="A684" s="5" t="str">
        <f>Sales_Data!A681</f>
        <v>2025-09-09</v>
      </c>
      <c r="B684" s="5" t="str">
        <f>Sales_Data!B681</f>
        <v>Hyderabad Hitech</v>
      </c>
      <c r="C684" s="5" t="str">
        <f>Sales_Data!C681</f>
        <v>E035</v>
      </c>
      <c r="D684" s="5" t="str">
        <f>IFERROR(INDEX(Employee_Master!$B$2:$B$44,MATCH($C684,Employee_Master!$A$2:$A$44,0)),"Not Found")</f>
        <v>Andrea Perez</v>
      </c>
      <c r="E684" s="5" t="str">
        <f>IFERROR(INDEX(Employee_Master!$C$2:$C$44,MATCH($C684,Employee_Master!$A$2:$A$44,0)),"Not Found")</f>
        <v>Sales</v>
      </c>
      <c r="F684" s="5" t="str">
        <f>IFERROR(INDEX(Employee_Master!$D$2:$D$44,MATCH($C684,Employee_Master!$A$2:$A$44,0)),"Not Found")</f>
        <v>Anna Turner</v>
      </c>
      <c r="G684" s="5" t="str">
        <f>IFERROR(INDEX(Employee_Master!$E$2:$E$44,MATCH($C684,Employee_Master!$A$2:$A$44,0)),"Not Found")</f>
        <v>South</v>
      </c>
      <c r="H684" s="5" t="str">
        <f>Sales_Data!D681</f>
        <v>P020 - Green Tea Pack</v>
      </c>
      <c r="I684" s="5" t="str">
        <f>IFERROR(INDEX(Product_Master!$B$2:$B$30,MATCH($H684,Product_Master!$A$2:$A$30,0)),"Invalid Product Code")</f>
        <v>Grocery</v>
      </c>
      <c r="J684" s="5">
        <f>IFERROR(INDEX(Product_Master!$C$2:$C$30,MATCH($H684,Product_Master!$A$2:$A$30,0)),0)</f>
        <v>305.39</v>
      </c>
      <c r="K684" s="5">
        <f>Sales_Data!E681</f>
        <v>11</v>
      </c>
      <c r="L684" s="5">
        <f>Sales_Data!F681</f>
        <v>3132.62</v>
      </c>
      <c r="M684" s="5">
        <f>Sales_Data!G681</f>
        <v>3368.21</v>
      </c>
      <c r="N684" s="5" t="str">
        <f>IFERROR(INDEX(Branch_Master!$B$2:$B$9,MATCH($B684,Branch_Master!$A$2:$A$9,0)),"Not Found")</f>
        <v>Hyderabad</v>
      </c>
      <c r="O684" s="5" t="str">
        <f>IFERROR(INDEX(Branch_Master!$C$2:$C$9,MATCH($B684,Branch_Master!$A$2:$A$9,0)),"Not Found")</f>
        <v>Telangana</v>
      </c>
      <c r="P684" s="5">
        <f>IFERROR(INDEX(Targets!$B$2:$B$9,MATCH($B684,Targets!$A$2:$A$9,0)),0)</f>
        <v>1210000</v>
      </c>
      <c r="Q684" s="5" t="str">
        <f t="shared" si="20"/>
        <v>No</v>
      </c>
      <c r="R684" s="5" t="str">
        <f t="shared" si="21"/>
        <v>Sep</v>
      </c>
    </row>
    <row r="685" spans="1:18" ht="15" customHeight="1" x14ac:dyDescent="0.3">
      <c r="A685" s="5" t="str">
        <f>Sales_Data!A682</f>
        <v>2025-09-09</v>
      </c>
      <c r="B685" s="5" t="str">
        <f>Sales_Data!B682</f>
        <v>Mumbai Central</v>
      </c>
      <c r="C685" s="5" t="str">
        <f>Sales_Data!C682</f>
        <v>E033</v>
      </c>
      <c r="D685" s="5" t="str">
        <f>IFERROR(INDEX(Employee_Master!$B$2:$B$44,MATCH($C685,Employee_Master!$A$2:$A$44,0)),"Not Found")</f>
        <v>Dawn Colon</v>
      </c>
      <c r="E685" s="5" t="str">
        <f>IFERROR(INDEX(Employee_Master!$C$2:$C$44,MATCH($C685,Employee_Master!$A$2:$A$44,0)),"Not Found")</f>
        <v>Customer Support</v>
      </c>
      <c r="F685" s="5" t="str">
        <f>IFERROR(INDEX(Employee_Master!$D$2:$D$44,MATCH($C685,Employee_Master!$A$2:$A$44,0)),"Not Found")</f>
        <v>Justin Glass</v>
      </c>
      <c r="G685" s="5" t="str">
        <f>IFERROR(INDEX(Employee_Master!$E$2:$E$44,MATCH($C685,Employee_Master!$A$2:$A$44,0)),"Not Found")</f>
        <v>West</v>
      </c>
      <c r="H685" s="5" t="str">
        <f>Sales_Data!D682</f>
        <v>P003 - Bluetooth Speaker</v>
      </c>
      <c r="I685" s="5" t="str">
        <f>IFERROR(INDEX(Product_Master!$B$2:$B$30,MATCH($H685,Product_Master!$A$2:$A$30,0)),"Invalid Product Code")</f>
        <v>Electronics</v>
      </c>
      <c r="J685" s="5">
        <f>IFERROR(INDEX(Product_Master!$C$2:$C$30,MATCH($H685,Product_Master!$A$2:$A$30,0)),0)</f>
        <v>351.01</v>
      </c>
      <c r="K685" s="5">
        <f>Sales_Data!E682</f>
        <v>11</v>
      </c>
      <c r="L685" s="5">
        <f>Sales_Data!F682</f>
        <v>4199.01</v>
      </c>
      <c r="M685" s="5">
        <f>Sales_Data!G682</f>
        <v>4271.53</v>
      </c>
      <c r="N685" s="5" t="str">
        <f>IFERROR(INDEX(Branch_Master!$B$2:$B$9,MATCH($B685,Branch_Master!$A$2:$A$9,0)),"Not Found")</f>
        <v>Mumbai</v>
      </c>
      <c r="O685" s="5" t="str">
        <f>IFERROR(INDEX(Branch_Master!$C$2:$C$9,MATCH($B685,Branch_Master!$A$2:$A$9,0)),"Not Found")</f>
        <v>Maharashtra</v>
      </c>
      <c r="P685" s="5">
        <f>IFERROR(INDEX(Targets!$B$2:$B$9,MATCH($B685,Targets!$A$2:$A$9,0)),0)</f>
        <v>900000</v>
      </c>
      <c r="Q685" s="5" t="str">
        <f t="shared" si="20"/>
        <v>No</v>
      </c>
      <c r="R685" s="5" t="str">
        <f t="shared" si="21"/>
        <v>Sep</v>
      </c>
    </row>
    <row r="686" spans="1:18" ht="15" customHeight="1" x14ac:dyDescent="0.3">
      <c r="A686" s="5" t="str">
        <f>Sales_Data!A683</f>
        <v>2025-09-09</v>
      </c>
      <c r="B686" s="5" t="str">
        <f>Sales_Data!B683</f>
        <v>Chennai South</v>
      </c>
      <c r="C686" s="5" t="str">
        <f>Sales_Data!C683</f>
        <v>E032</v>
      </c>
      <c r="D686" s="5" t="str">
        <f>IFERROR(INDEX(Employee_Master!$B$2:$B$44,MATCH($C686,Employee_Master!$A$2:$A$44,0)),"Not Found")</f>
        <v>Victor Allen</v>
      </c>
      <c r="E686" s="5" t="str">
        <f>IFERROR(INDEX(Employee_Master!$C$2:$C$44,MATCH($C686,Employee_Master!$A$2:$A$44,0)),"Not Found")</f>
        <v>Operations</v>
      </c>
      <c r="F686" s="5" t="str">
        <f>IFERROR(INDEX(Employee_Master!$D$2:$D$44,MATCH($C686,Employee_Master!$A$2:$A$44,0)),"Not Found")</f>
        <v>Robert Steele</v>
      </c>
      <c r="G686" s="5" t="str">
        <f>IFERROR(INDEX(Employee_Master!$E$2:$E$44,MATCH($C686,Employee_Master!$A$2:$A$44,0)),"Not Found")</f>
        <v>South</v>
      </c>
      <c r="H686" s="5" t="str">
        <f>Sales_Data!D683</f>
        <v>P002 - Smart Watch</v>
      </c>
      <c r="I686" s="5" t="str">
        <f>IFERROR(INDEX(Product_Master!$B$2:$B$30,MATCH($H686,Product_Master!$A$2:$A$30,0)),"Invalid Product Code")</f>
        <v>Electronics</v>
      </c>
      <c r="J686" s="5">
        <f>IFERROR(INDEX(Product_Master!$C$2:$C$30,MATCH($H686,Product_Master!$A$2:$A$30,0)),0)</f>
        <v>403.33</v>
      </c>
      <c r="K686" s="5">
        <f>Sales_Data!E683</f>
        <v>7</v>
      </c>
      <c r="L686" s="5">
        <f>Sales_Data!F683</f>
        <v>3046.93</v>
      </c>
      <c r="M686" s="5">
        <f>Sales_Data!G683</f>
        <v>2667.62</v>
      </c>
      <c r="N686" s="5" t="str">
        <f>IFERROR(INDEX(Branch_Master!$B$2:$B$9,MATCH($B686,Branch_Master!$A$2:$A$9,0)),"Not Found")</f>
        <v>Chennai</v>
      </c>
      <c r="O686" s="5" t="str">
        <f>IFERROR(INDEX(Branch_Master!$C$2:$C$9,MATCH($B686,Branch_Master!$A$2:$A$9,0)),"Not Found")</f>
        <v>Tamil Nadu</v>
      </c>
      <c r="P686" s="5">
        <f>IFERROR(INDEX(Targets!$B$2:$B$9,MATCH($B686,Targets!$A$2:$A$9,0)),0)</f>
        <v>1910000</v>
      </c>
      <c r="Q686" s="5" t="str">
        <f t="shared" si="20"/>
        <v>Yes</v>
      </c>
      <c r="R686" s="5" t="str">
        <f t="shared" si="21"/>
        <v>Sep</v>
      </c>
    </row>
    <row r="687" spans="1:18" ht="15" customHeight="1" x14ac:dyDescent="0.3">
      <c r="A687" s="5" t="str">
        <f>Sales_Data!A684</f>
        <v>2025-09-10</v>
      </c>
      <c r="B687" s="5" t="str">
        <f>Sales_Data!B684</f>
        <v>Bangalore North</v>
      </c>
      <c r="C687" s="5" t="str">
        <f>Sales_Data!C684</f>
        <v>E004</v>
      </c>
      <c r="D687" s="5" t="str">
        <f>IFERROR(INDEX(Employee_Master!$B$2:$B$44,MATCH($C687,Employee_Master!$A$2:$A$44,0)),"Not Found")</f>
        <v>Judith Ramirez</v>
      </c>
      <c r="E687" s="5" t="str">
        <f>IFERROR(INDEX(Employee_Master!$C$2:$C$44,MATCH($C687,Employee_Master!$A$2:$A$44,0)),"Not Found")</f>
        <v>Sales</v>
      </c>
      <c r="F687" s="5" t="str">
        <f>IFERROR(INDEX(Employee_Master!$D$2:$D$44,MATCH($C687,Employee_Master!$A$2:$A$44,0)),"Not Found")</f>
        <v>Jose Soto</v>
      </c>
      <c r="G687" s="5" t="str">
        <f>IFERROR(INDEX(Employee_Master!$E$2:$E$44,MATCH($C687,Employee_Master!$A$2:$A$44,0)),"Not Found")</f>
        <v>South</v>
      </c>
      <c r="H687" s="5" t="str">
        <f>Sales_Data!D684</f>
        <v>P011 - Winter Jacket</v>
      </c>
      <c r="I687" s="5" t="str">
        <f>IFERROR(INDEX(Product_Master!$B$2:$B$30,MATCH($H687,Product_Master!$A$2:$A$30,0)),"Invalid Product Code")</f>
        <v>Apparel</v>
      </c>
      <c r="J687" s="5">
        <f>IFERROR(INDEX(Product_Master!$C$2:$C$30,MATCH($H687,Product_Master!$A$2:$A$30,0)),0)</f>
        <v>264.97000000000003</v>
      </c>
      <c r="K687" s="5">
        <f>Sales_Data!E684</f>
        <v>1</v>
      </c>
      <c r="L687" s="5">
        <f>Sales_Data!F684</f>
        <v>286.37</v>
      </c>
      <c r="M687" s="5">
        <f>Sales_Data!G684</f>
        <v>229.98</v>
      </c>
      <c r="N687" s="5" t="str">
        <f>IFERROR(INDEX(Branch_Master!$B$2:$B$9,MATCH($B687,Branch_Master!$A$2:$A$9,0)),"Not Found")</f>
        <v>Bangalore</v>
      </c>
      <c r="O687" s="5" t="str">
        <f>IFERROR(INDEX(Branch_Master!$C$2:$C$9,MATCH($B687,Branch_Master!$A$2:$A$9,0)),"Not Found")</f>
        <v>Karnataka</v>
      </c>
      <c r="P687" s="5">
        <f>IFERROR(INDEX(Targets!$B$2:$B$9,MATCH($B687,Targets!$A$2:$A$9,0)),0)</f>
        <v>900000</v>
      </c>
      <c r="Q687" s="5" t="str">
        <f t="shared" si="20"/>
        <v>Yes</v>
      </c>
      <c r="R687" s="5" t="str">
        <f t="shared" si="21"/>
        <v>Sep</v>
      </c>
    </row>
    <row r="688" spans="1:18" ht="15" customHeight="1" x14ac:dyDescent="0.3">
      <c r="A688" s="5" t="str">
        <f>Sales_Data!A685</f>
        <v>2025-09-10</v>
      </c>
      <c r="B688" s="5" t="str">
        <f>Sales_Data!B685</f>
        <v>Chennai South</v>
      </c>
      <c r="C688" s="5" t="str">
        <f>Sales_Data!C685</f>
        <v>E032</v>
      </c>
      <c r="D688" s="5" t="str">
        <f>IFERROR(INDEX(Employee_Master!$B$2:$B$44,MATCH($C688,Employee_Master!$A$2:$A$44,0)),"Not Found")</f>
        <v>Victor Allen</v>
      </c>
      <c r="E688" s="5" t="str">
        <f>IFERROR(INDEX(Employee_Master!$C$2:$C$44,MATCH($C688,Employee_Master!$A$2:$A$44,0)),"Not Found")</f>
        <v>Operations</v>
      </c>
      <c r="F688" s="5" t="str">
        <f>IFERROR(INDEX(Employee_Master!$D$2:$D$44,MATCH($C688,Employee_Master!$A$2:$A$44,0)),"Not Found")</f>
        <v>Robert Steele</v>
      </c>
      <c r="G688" s="5" t="str">
        <f>IFERROR(INDEX(Employee_Master!$E$2:$E$44,MATCH($C688,Employee_Master!$A$2:$A$44,0)),"Not Found")</f>
        <v>South</v>
      </c>
      <c r="H688" s="5" t="str">
        <f>Sales_Data!D685</f>
        <v>P021 - Assorted Spices Kit</v>
      </c>
      <c r="I688" s="5" t="str">
        <f>IFERROR(INDEX(Product_Master!$B$2:$B$30,MATCH($H688,Product_Master!$A$2:$A$30,0)),"Invalid Product Code")</f>
        <v>Grocery</v>
      </c>
      <c r="J688" s="5">
        <f>IFERROR(INDEX(Product_Master!$C$2:$C$30,MATCH($H688,Product_Master!$A$2:$A$30,0)),0)</f>
        <v>1060.97</v>
      </c>
      <c r="K688" s="5">
        <f>Sales_Data!E685</f>
        <v>1</v>
      </c>
      <c r="L688" s="5">
        <f>Sales_Data!F685</f>
        <v>1037.58</v>
      </c>
      <c r="M688" s="5">
        <f>Sales_Data!G685</f>
        <v>997.15</v>
      </c>
      <c r="N688" s="5" t="str">
        <f>IFERROR(INDEX(Branch_Master!$B$2:$B$9,MATCH($B688,Branch_Master!$A$2:$A$9,0)),"Not Found")</f>
        <v>Chennai</v>
      </c>
      <c r="O688" s="5" t="str">
        <f>IFERROR(INDEX(Branch_Master!$C$2:$C$9,MATCH($B688,Branch_Master!$A$2:$A$9,0)),"Not Found")</f>
        <v>Tamil Nadu</v>
      </c>
      <c r="P688" s="5">
        <f>IFERROR(INDEX(Targets!$B$2:$B$9,MATCH($B688,Targets!$A$2:$A$9,0)),0)</f>
        <v>1910000</v>
      </c>
      <c r="Q688" s="5" t="str">
        <f t="shared" si="20"/>
        <v>Yes</v>
      </c>
      <c r="R688" s="5" t="str">
        <f t="shared" si="21"/>
        <v>Sep</v>
      </c>
    </row>
    <row r="689" spans="1:18" ht="15" customHeight="1" x14ac:dyDescent="0.3">
      <c r="A689" s="5" t="str">
        <f>Sales_Data!A686</f>
        <v>2025-09-10</v>
      </c>
      <c r="B689" s="5" t="str">
        <f>Sales_Data!B686</f>
        <v>Mumbai Central</v>
      </c>
      <c r="C689" s="5" t="str">
        <f>Sales_Data!C686</f>
        <v>E009</v>
      </c>
      <c r="D689" s="5" t="str">
        <f>IFERROR(INDEX(Employee_Master!$B$2:$B$44,MATCH($C689,Employee_Master!$A$2:$A$44,0)),"Not Found")</f>
        <v>Daniel Kent</v>
      </c>
      <c r="E689" s="5" t="str">
        <f>IFERROR(INDEX(Employee_Master!$C$2:$C$44,MATCH($C689,Employee_Master!$A$2:$A$44,0)),"Not Found")</f>
        <v>Sales</v>
      </c>
      <c r="F689" s="5" t="str">
        <f>IFERROR(INDEX(Employee_Master!$D$2:$D$44,MATCH($C689,Employee_Master!$A$2:$A$44,0)),"Not Found")</f>
        <v>Justin Glass</v>
      </c>
      <c r="G689" s="5" t="str">
        <f>IFERROR(INDEX(Employee_Master!$E$2:$E$44,MATCH($C689,Employee_Master!$A$2:$A$44,0)),"Not Found")</f>
        <v>West</v>
      </c>
      <c r="H689" s="5" t="str">
        <f>Sales_Data!D686</f>
        <v>P025 - Lipstick Set</v>
      </c>
      <c r="I689" s="5" t="str">
        <f>IFERROR(INDEX(Product_Master!$B$2:$B$30,MATCH($H689,Product_Master!$A$2:$A$30,0)),"Invalid Product Code")</f>
        <v>Beauty</v>
      </c>
      <c r="J689" s="5">
        <f>IFERROR(INDEX(Product_Master!$C$2:$C$30,MATCH($H689,Product_Master!$A$2:$A$30,0)),0)</f>
        <v>765.9</v>
      </c>
      <c r="K689" s="5">
        <f>Sales_Data!E686</f>
        <v>11</v>
      </c>
      <c r="L689" s="5">
        <f>Sales_Data!F686</f>
        <v>8497.76</v>
      </c>
      <c r="M689" s="5">
        <f>Sales_Data!G686</f>
        <v>8635.11</v>
      </c>
      <c r="N689" s="5" t="str">
        <f>IFERROR(INDEX(Branch_Master!$B$2:$B$9,MATCH($B689,Branch_Master!$A$2:$A$9,0)),"Not Found")</f>
        <v>Mumbai</v>
      </c>
      <c r="O689" s="5" t="str">
        <f>IFERROR(INDEX(Branch_Master!$C$2:$C$9,MATCH($B689,Branch_Master!$A$2:$A$9,0)),"Not Found")</f>
        <v>Maharashtra</v>
      </c>
      <c r="P689" s="5">
        <f>IFERROR(INDEX(Targets!$B$2:$B$9,MATCH($B689,Targets!$A$2:$A$9,0)),0)</f>
        <v>900000</v>
      </c>
      <c r="Q689" s="5" t="str">
        <f t="shared" si="20"/>
        <v>No</v>
      </c>
      <c r="R689" s="5" t="str">
        <f t="shared" si="21"/>
        <v>Sep</v>
      </c>
    </row>
    <row r="690" spans="1:18" ht="15" customHeight="1" x14ac:dyDescent="0.3">
      <c r="A690" s="5" t="str">
        <f>Sales_Data!A687</f>
        <v>2025-09-11</v>
      </c>
      <c r="B690" s="5" t="str">
        <f>Sales_Data!B687</f>
        <v>Ahmedabad West</v>
      </c>
      <c r="C690" s="5" t="str">
        <f>Sales_Data!C687</f>
        <v>E008</v>
      </c>
      <c r="D690" s="5" t="str">
        <f>IFERROR(INDEX(Employee_Master!$B$2:$B$44,MATCH($C690,Employee_Master!$A$2:$A$44,0)),"Not Found")</f>
        <v>Tyler Boone</v>
      </c>
      <c r="E690" s="5" t="str">
        <f>IFERROR(INDEX(Employee_Master!$C$2:$C$44,MATCH($C690,Employee_Master!$A$2:$A$44,0)),"Not Found")</f>
        <v>Marketing</v>
      </c>
      <c r="F690" s="5" t="str">
        <f>IFERROR(INDEX(Employee_Master!$D$2:$D$44,MATCH($C690,Employee_Master!$A$2:$A$44,0)),"Not Found")</f>
        <v>Joseph Brown</v>
      </c>
      <c r="G690" s="5" t="str">
        <f>IFERROR(INDEX(Employee_Master!$E$2:$E$44,MATCH($C690,Employee_Master!$A$2:$A$44,0)),"Not Found")</f>
        <v>West</v>
      </c>
      <c r="H690" s="5" t="str">
        <f>Sales_Data!D687</f>
        <v>P021 - Assorted Spices Kit</v>
      </c>
      <c r="I690" s="5" t="str">
        <f>IFERROR(INDEX(Product_Master!$B$2:$B$30,MATCH($H690,Product_Master!$A$2:$A$30,0)),"Invalid Product Code")</f>
        <v>Grocery</v>
      </c>
      <c r="J690" s="5">
        <f>IFERROR(INDEX(Product_Master!$C$2:$C$30,MATCH($H690,Product_Master!$A$2:$A$30,0)),0)</f>
        <v>1060.97</v>
      </c>
      <c r="K690" s="5">
        <f>Sales_Data!E687</f>
        <v>11</v>
      </c>
      <c r="L690" s="5">
        <f>Sales_Data!F687</f>
        <v>11819.99</v>
      </c>
      <c r="M690" s="5">
        <f>Sales_Data!G687</f>
        <v>12180.35</v>
      </c>
      <c r="N690" s="5" t="str">
        <f>IFERROR(INDEX(Branch_Master!$B$2:$B$9,MATCH($B690,Branch_Master!$A$2:$A$9,0)),"Not Found")</f>
        <v>Ahmedabad</v>
      </c>
      <c r="O690" s="5" t="str">
        <f>IFERROR(INDEX(Branch_Master!$C$2:$C$9,MATCH($B690,Branch_Master!$A$2:$A$9,0)),"Not Found")</f>
        <v>Gujarat</v>
      </c>
      <c r="P690" s="5">
        <f>IFERROR(INDEX(Targets!$B$2:$B$9,MATCH($B690,Targets!$A$2:$A$9,0)),0)</f>
        <v>1590000</v>
      </c>
      <c r="Q690" s="5" t="str">
        <f t="shared" si="20"/>
        <v>No</v>
      </c>
      <c r="R690" s="5" t="str">
        <f t="shared" si="21"/>
        <v>Sep</v>
      </c>
    </row>
    <row r="691" spans="1:18" ht="15" customHeight="1" x14ac:dyDescent="0.3">
      <c r="A691" s="5" t="str">
        <f>Sales_Data!A688</f>
        <v>2025-09-11</v>
      </c>
      <c r="B691" s="5" t="str">
        <f>Sales_Data!B688</f>
        <v>Chennai South</v>
      </c>
      <c r="C691" s="5" t="str">
        <f>Sales_Data!C688</f>
        <v>E019</v>
      </c>
      <c r="D691" s="5" t="str">
        <f>IFERROR(INDEX(Employee_Master!$B$2:$B$44,MATCH($C691,Employee_Master!$A$2:$A$44,0)),"Not Found")</f>
        <v>Regina Torres</v>
      </c>
      <c r="E691" s="5" t="str">
        <f>IFERROR(INDEX(Employee_Master!$C$2:$C$44,MATCH($C691,Employee_Master!$A$2:$A$44,0)),"Not Found")</f>
        <v>Operations</v>
      </c>
      <c r="F691" s="5" t="str">
        <f>IFERROR(INDEX(Employee_Master!$D$2:$D$44,MATCH($C691,Employee_Master!$A$2:$A$44,0)),"Not Found")</f>
        <v>Robert Steele</v>
      </c>
      <c r="G691" s="5" t="str">
        <f>IFERROR(INDEX(Employee_Master!$E$2:$E$44,MATCH($C691,Employee_Master!$A$2:$A$44,0)),"Not Found")</f>
        <v>South</v>
      </c>
      <c r="H691" s="5" t="str">
        <f>Sales_Data!D688</f>
        <v>P023 - Sunscreen SPF50</v>
      </c>
      <c r="I691" s="5" t="str">
        <f>IFERROR(INDEX(Product_Master!$B$2:$B$30,MATCH($H691,Product_Master!$A$2:$A$30,0)),"Invalid Product Code")</f>
        <v>Beauty</v>
      </c>
      <c r="J691" s="5">
        <f>IFERROR(INDEX(Product_Master!$C$2:$C$30,MATCH($H691,Product_Master!$A$2:$A$30,0)),0)</f>
        <v>818.95</v>
      </c>
      <c r="K691" s="5">
        <f>Sales_Data!E688</f>
        <v>1</v>
      </c>
      <c r="L691" s="5">
        <f>Sales_Data!F688</f>
        <v>815.91</v>
      </c>
      <c r="M691" s="5">
        <f>Sales_Data!G688</f>
        <v>842.64</v>
      </c>
      <c r="N691" s="5" t="str">
        <f>IFERROR(INDEX(Branch_Master!$B$2:$B$9,MATCH($B691,Branch_Master!$A$2:$A$9,0)),"Not Found")</f>
        <v>Chennai</v>
      </c>
      <c r="O691" s="5" t="str">
        <f>IFERROR(INDEX(Branch_Master!$C$2:$C$9,MATCH($B691,Branch_Master!$A$2:$A$9,0)),"Not Found")</f>
        <v>Tamil Nadu</v>
      </c>
      <c r="P691" s="5">
        <f>IFERROR(INDEX(Targets!$B$2:$B$9,MATCH($B691,Targets!$A$2:$A$9,0)),0)</f>
        <v>1910000</v>
      </c>
      <c r="Q691" s="5" t="str">
        <f t="shared" si="20"/>
        <v>No</v>
      </c>
      <c r="R691" s="5" t="str">
        <f t="shared" si="21"/>
        <v>Sep</v>
      </c>
    </row>
    <row r="692" spans="1:18" ht="15" customHeight="1" x14ac:dyDescent="0.3">
      <c r="A692" s="5" t="str">
        <f>Sales_Data!A689</f>
        <v>2025-09-11</v>
      </c>
      <c r="B692" s="5" t="str">
        <f>Sales_Data!B689</f>
        <v>Mumbai Central</v>
      </c>
      <c r="C692" s="5" t="str">
        <f>Sales_Data!C689</f>
        <v>E025</v>
      </c>
      <c r="D692" s="5" t="str">
        <f>IFERROR(INDEX(Employee_Master!$B$2:$B$44,MATCH($C692,Employee_Master!$A$2:$A$44,0)),"Not Found")</f>
        <v>Jacqueline Chavez</v>
      </c>
      <c r="E692" s="5" t="str">
        <f>IFERROR(INDEX(Employee_Master!$C$2:$C$44,MATCH($C692,Employee_Master!$A$2:$A$44,0)),"Not Found")</f>
        <v>Sales</v>
      </c>
      <c r="F692" s="5" t="str">
        <f>IFERROR(INDEX(Employee_Master!$D$2:$D$44,MATCH($C692,Employee_Master!$A$2:$A$44,0)),"Not Found")</f>
        <v>Justin Glass</v>
      </c>
      <c r="G692" s="5" t="str">
        <f>IFERROR(INDEX(Employee_Master!$E$2:$E$44,MATCH($C692,Employee_Master!$A$2:$A$44,0)),"Not Found")</f>
        <v>West</v>
      </c>
      <c r="H692" s="5" t="str">
        <f>Sales_Data!D689</f>
        <v>P016 - Dinner Set</v>
      </c>
      <c r="I692" s="5" t="str">
        <f>IFERROR(INDEX(Product_Master!$B$2:$B$30,MATCH($H692,Product_Master!$A$2:$A$30,0)),"Invalid Product Code")</f>
        <v>Home &amp; Kitchen</v>
      </c>
      <c r="J692" s="5">
        <f>IFERROR(INDEX(Product_Master!$C$2:$C$30,MATCH($H692,Product_Master!$A$2:$A$30,0)),0)</f>
        <v>225.06</v>
      </c>
      <c r="K692" s="5">
        <f>Sales_Data!E689</f>
        <v>7</v>
      </c>
      <c r="L692" s="5">
        <f>Sales_Data!F689</f>
        <v>1507.5</v>
      </c>
      <c r="M692" s="5">
        <f>Sales_Data!G689</f>
        <v>1527.48</v>
      </c>
      <c r="N692" s="5" t="str">
        <f>IFERROR(INDEX(Branch_Master!$B$2:$B$9,MATCH($B692,Branch_Master!$A$2:$A$9,0)),"Not Found")</f>
        <v>Mumbai</v>
      </c>
      <c r="O692" s="5" t="str">
        <f>IFERROR(INDEX(Branch_Master!$C$2:$C$9,MATCH($B692,Branch_Master!$A$2:$A$9,0)),"Not Found")</f>
        <v>Maharashtra</v>
      </c>
      <c r="P692" s="5">
        <f>IFERROR(INDEX(Targets!$B$2:$B$9,MATCH($B692,Targets!$A$2:$A$9,0)),0)</f>
        <v>900000</v>
      </c>
      <c r="Q692" s="5" t="str">
        <f t="shared" si="20"/>
        <v>No</v>
      </c>
      <c r="R692" s="5" t="str">
        <f t="shared" si="21"/>
        <v>Sep</v>
      </c>
    </row>
    <row r="693" spans="1:18" ht="15" customHeight="1" x14ac:dyDescent="0.3">
      <c r="A693" s="5" t="str">
        <f>Sales_Data!A690</f>
        <v>2025-09-11</v>
      </c>
      <c r="B693" s="5" t="str">
        <f>Sales_Data!B690</f>
        <v>Kolkata Central</v>
      </c>
      <c r="C693" s="5" t="str">
        <f>Sales_Data!C690</f>
        <v>E028</v>
      </c>
      <c r="D693" s="5" t="str">
        <f>IFERROR(INDEX(Employee_Master!$B$2:$B$44,MATCH($C693,Employee_Master!$A$2:$A$44,0)),"Not Found")</f>
        <v>Sabrina Wright</v>
      </c>
      <c r="E693" s="5" t="str">
        <f>IFERROR(INDEX(Employee_Master!$C$2:$C$44,MATCH($C693,Employee_Master!$A$2:$A$44,0)),"Not Found")</f>
        <v>Customer Support</v>
      </c>
      <c r="F693" s="5" t="str">
        <f>IFERROR(INDEX(Employee_Master!$D$2:$D$44,MATCH($C693,Employee_Master!$A$2:$A$44,0)),"Not Found")</f>
        <v>Lisa Moore</v>
      </c>
      <c r="G693" s="5" t="str">
        <f>IFERROR(INDEX(Employee_Master!$E$2:$E$44,MATCH($C693,Employee_Master!$A$2:$A$44,0)),"Not Found")</f>
        <v>East</v>
      </c>
      <c r="H693" s="5" t="str">
        <f>Sales_Data!D690</f>
        <v>P026 - Yoga Mat</v>
      </c>
      <c r="I693" s="5" t="str">
        <f>IFERROR(INDEX(Product_Master!$B$2:$B$30,MATCH($H693,Product_Master!$A$2:$A$30,0)),"Invalid Product Code")</f>
        <v>Sports</v>
      </c>
      <c r="J693" s="5">
        <f>IFERROR(INDEX(Product_Master!$C$2:$C$30,MATCH($H693,Product_Master!$A$2:$A$30,0)),0)</f>
        <v>518.76</v>
      </c>
      <c r="K693" s="5">
        <f>Sales_Data!E690</f>
        <v>9</v>
      </c>
      <c r="L693" s="5">
        <f>Sales_Data!F690</f>
        <v>4974.8</v>
      </c>
      <c r="M693" s="5">
        <f>Sales_Data!G690</f>
        <v>5043.8</v>
      </c>
      <c r="N693" s="5" t="str">
        <f>IFERROR(INDEX(Branch_Master!$B$2:$B$9,MATCH($B693,Branch_Master!$A$2:$A$9,0)),"Not Found")</f>
        <v>Kolkata</v>
      </c>
      <c r="O693" s="5" t="str">
        <f>IFERROR(INDEX(Branch_Master!$C$2:$C$9,MATCH($B693,Branch_Master!$A$2:$A$9,0)),"Not Found")</f>
        <v>West Bengal</v>
      </c>
      <c r="P693" s="5">
        <f>IFERROR(INDEX(Targets!$B$2:$B$9,MATCH($B693,Targets!$A$2:$A$9,0)),0)</f>
        <v>1910000</v>
      </c>
      <c r="Q693" s="5" t="str">
        <f t="shared" si="20"/>
        <v>No</v>
      </c>
      <c r="R693" s="5" t="str">
        <f t="shared" si="21"/>
        <v>Sep</v>
      </c>
    </row>
    <row r="694" spans="1:18" ht="15" customHeight="1" x14ac:dyDescent="0.3">
      <c r="A694" s="5" t="str">
        <f>Sales_Data!A691</f>
        <v>2025-09-12</v>
      </c>
      <c r="B694" s="5" t="str">
        <f>Sales_Data!B691</f>
        <v>Hyderabad Hitech</v>
      </c>
      <c r="C694" s="5" t="str">
        <f>Sales_Data!C691</f>
        <v>E011</v>
      </c>
      <c r="D694" s="5" t="str">
        <f>IFERROR(INDEX(Employee_Master!$B$2:$B$44,MATCH($C694,Employee_Master!$A$2:$A$44,0)),"Not Found")</f>
        <v>Mark Osborne</v>
      </c>
      <c r="E694" s="5" t="str">
        <f>IFERROR(INDEX(Employee_Master!$C$2:$C$44,MATCH($C694,Employee_Master!$A$2:$A$44,0)),"Not Found")</f>
        <v>Marketing</v>
      </c>
      <c r="F694" s="5" t="str">
        <f>IFERROR(INDEX(Employee_Master!$D$2:$D$44,MATCH($C694,Employee_Master!$A$2:$A$44,0)),"Not Found")</f>
        <v>Anna Turner</v>
      </c>
      <c r="G694" s="5" t="str">
        <f>IFERROR(INDEX(Employee_Master!$E$2:$E$44,MATCH($C694,Employee_Master!$A$2:$A$44,0)),"Not Found")</f>
        <v>South</v>
      </c>
      <c r="H694" s="5" t="str">
        <f>Sales_Data!D691</f>
        <v>P004 - Power Bank</v>
      </c>
      <c r="I694" s="5" t="str">
        <f>IFERROR(INDEX(Product_Master!$B$2:$B$30,MATCH($H694,Product_Master!$A$2:$A$30,0)),"Invalid Product Code")</f>
        <v>Electronics</v>
      </c>
      <c r="J694" s="5">
        <f>IFERROR(INDEX(Product_Master!$C$2:$C$30,MATCH($H694,Product_Master!$A$2:$A$30,0)),0)</f>
        <v>76.91</v>
      </c>
      <c r="K694" s="5">
        <f>Sales_Data!E691</f>
        <v>7</v>
      </c>
      <c r="L694" s="5">
        <f>Sales_Data!F691</f>
        <v>492.87</v>
      </c>
      <c r="M694" s="5">
        <f>Sales_Data!G691</f>
        <v>585.55999999999995</v>
      </c>
      <c r="N694" s="5" t="str">
        <f>IFERROR(INDEX(Branch_Master!$B$2:$B$9,MATCH($B694,Branch_Master!$A$2:$A$9,0)),"Not Found")</f>
        <v>Hyderabad</v>
      </c>
      <c r="O694" s="5" t="str">
        <f>IFERROR(INDEX(Branch_Master!$C$2:$C$9,MATCH($B694,Branch_Master!$A$2:$A$9,0)),"Not Found")</f>
        <v>Telangana</v>
      </c>
      <c r="P694" s="5">
        <f>IFERROR(INDEX(Targets!$B$2:$B$9,MATCH($B694,Targets!$A$2:$A$9,0)),0)</f>
        <v>1210000</v>
      </c>
      <c r="Q694" s="5" t="str">
        <f t="shared" si="20"/>
        <v>No</v>
      </c>
      <c r="R694" s="5" t="str">
        <f t="shared" si="21"/>
        <v>Sep</v>
      </c>
    </row>
    <row r="695" spans="1:18" ht="15" customHeight="1" x14ac:dyDescent="0.3">
      <c r="A695" s="5" t="str">
        <f>Sales_Data!A692</f>
        <v>2025-09-12</v>
      </c>
      <c r="B695" s="5" t="str">
        <f>Sales_Data!B692</f>
        <v>Hyderabad Hitech</v>
      </c>
      <c r="C695" s="5" t="str">
        <f>Sales_Data!C692</f>
        <v>E035</v>
      </c>
      <c r="D695" s="5" t="str">
        <f>IFERROR(INDEX(Employee_Master!$B$2:$B$44,MATCH($C695,Employee_Master!$A$2:$A$44,0)),"Not Found")</f>
        <v>Andrea Perez</v>
      </c>
      <c r="E695" s="5" t="str">
        <f>IFERROR(INDEX(Employee_Master!$C$2:$C$44,MATCH($C695,Employee_Master!$A$2:$A$44,0)),"Not Found")</f>
        <v>Sales</v>
      </c>
      <c r="F695" s="5" t="str">
        <f>IFERROR(INDEX(Employee_Master!$D$2:$D$44,MATCH($C695,Employee_Master!$A$2:$A$44,0)),"Not Found")</f>
        <v>Anna Turner</v>
      </c>
      <c r="G695" s="5" t="str">
        <f>IFERROR(INDEX(Employee_Master!$E$2:$E$44,MATCH($C695,Employee_Master!$A$2:$A$44,0)),"Not Found")</f>
        <v>South</v>
      </c>
      <c r="H695" s="5" t="str">
        <f>Sales_Data!D692</f>
        <v>P013 - Mixer Grinder</v>
      </c>
      <c r="I695" s="5" t="str">
        <f>IFERROR(INDEX(Product_Master!$B$2:$B$30,MATCH($H695,Product_Master!$A$2:$A$30,0)),"Invalid Product Code")</f>
        <v>Home &amp; Kitchen</v>
      </c>
      <c r="J695" s="5">
        <f>IFERROR(INDEX(Product_Master!$C$2:$C$30,MATCH($H695,Product_Master!$A$2:$A$30,0)),0)</f>
        <v>798.53</v>
      </c>
      <c r="K695" s="5">
        <f>Sales_Data!E692</f>
        <v>4</v>
      </c>
      <c r="L695" s="5">
        <f>Sales_Data!F692</f>
        <v>3364.31</v>
      </c>
      <c r="M695" s="5">
        <f>Sales_Data!G692</f>
        <v>2753.67</v>
      </c>
      <c r="N695" s="5" t="str">
        <f>IFERROR(INDEX(Branch_Master!$B$2:$B$9,MATCH($B695,Branch_Master!$A$2:$A$9,0)),"Not Found")</f>
        <v>Hyderabad</v>
      </c>
      <c r="O695" s="5" t="str">
        <f>IFERROR(INDEX(Branch_Master!$C$2:$C$9,MATCH($B695,Branch_Master!$A$2:$A$9,0)),"Not Found")</f>
        <v>Telangana</v>
      </c>
      <c r="P695" s="5">
        <f>IFERROR(INDEX(Targets!$B$2:$B$9,MATCH($B695,Targets!$A$2:$A$9,0)),0)</f>
        <v>1210000</v>
      </c>
      <c r="Q695" s="5" t="str">
        <f t="shared" si="20"/>
        <v>Yes</v>
      </c>
      <c r="R695" s="5" t="str">
        <f t="shared" si="21"/>
        <v>Sep</v>
      </c>
    </row>
    <row r="696" spans="1:18" ht="15" customHeight="1" x14ac:dyDescent="0.3">
      <c r="A696" s="5" t="str">
        <f>Sales_Data!A693</f>
        <v>2025-09-13</v>
      </c>
      <c r="B696" s="5" t="str">
        <f>Sales_Data!B693</f>
        <v>Hyderabad Hitech</v>
      </c>
      <c r="C696" s="5" t="str">
        <f>Sales_Data!C693</f>
        <v>E035</v>
      </c>
      <c r="D696" s="5" t="str">
        <f>IFERROR(INDEX(Employee_Master!$B$2:$B$44,MATCH($C696,Employee_Master!$A$2:$A$44,0)),"Not Found")</f>
        <v>Andrea Perez</v>
      </c>
      <c r="E696" s="5" t="str">
        <f>IFERROR(INDEX(Employee_Master!$C$2:$C$44,MATCH($C696,Employee_Master!$A$2:$A$44,0)),"Not Found")</f>
        <v>Sales</v>
      </c>
      <c r="F696" s="5" t="str">
        <f>IFERROR(INDEX(Employee_Master!$D$2:$D$44,MATCH($C696,Employee_Master!$A$2:$A$44,0)),"Not Found")</f>
        <v>Anna Turner</v>
      </c>
      <c r="G696" s="5" t="str">
        <f>IFERROR(INDEX(Employee_Master!$E$2:$E$44,MATCH($C696,Employee_Master!$A$2:$A$44,0)),"Not Found")</f>
        <v>South</v>
      </c>
      <c r="H696" s="5" t="str">
        <f>Sales_Data!D693</f>
        <v>P008 - Denim Jeans</v>
      </c>
      <c r="I696" s="5" t="str">
        <f>IFERROR(INDEX(Product_Master!$B$2:$B$30,MATCH($H696,Product_Master!$A$2:$A$30,0)),"Invalid Product Code")</f>
        <v>Apparel</v>
      </c>
      <c r="J696" s="5">
        <f>IFERROR(INDEX(Product_Master!$C$2:$C$30,MATCH($H696,Product_Master!$A$2:$A$30,0)),0)</f>
        <v>614.48</v>
      </c>
      <c r="K696" s="5">
        <f>Sales_Data!E693</f>
        <v>6</v>
      </c>
      <c r="L696" s="5">
        <f>Sales_Data!F693</f>
        <v>3557.83</v>
      </c>
      <c r="M696" s="5">
        <f>Sales_Data!G693</f>
        <v>3330.49</v>
      </c>
      <c r="N696" s="5" t="str">
        <f>IFERROR(INDEX(Branch_Master!$B$2:$B$9,MATCH($B696,Branch_Master!$A$2:$A$9,0)),"Not Found")</f>
        <v>Hyderabad</v>
      </c>
      <c r="O696" s="5" t="str">
        <f>IFERROR(INDEX(Branch_Master!$C$2:$C$9,MATCH($B696,Branch_Master!$A$2:$A$9,0)),"Not Found")</f>
        <v>Telangana</v>
      </c>
      <c r="P696" s="5">
        <f>IFERROR(INDEX(Targets!$B$2:$B$9,MATCH($B696,Targets!$A$2:$A$9,0)),0)</f>
        <v>1210000</v>
      </c>
      <c r="Q696" s="5" t="str">
        <f t="shared" si="20"/>
        <v>Yes</v>
      </c>
      <c r="R696" s="5" t="str">
        <f t="shared" si="21"/>
        <v>Sep</v>
      </c>
    </row>
    <row r="697" spans="1:18" ht="15" customHeight="1" x14ac:dyDescent="0.3">
      <c r="A697" s="5" t="str">
        <f>Sales_Data!A694</f>
        <v>2025-09-13</v>
      </c>
      <c r="B697" s="5" t="str">
        <f>Sales_Data!B694</f>
        <v>Mumbai Central</v>
      </c>
      <c r="C697" s="5" t="str">
        <f>Sales_Data!C694</f>
        <v>E036</v>
      </c>
      <c r="D697" s="5" t="str">
        <f>IFERROR(INDEX(Employee_Master!$B$2:$B$44,MATCH($C697,Employee_Master!$A$2:$A$44,0)),"Not Found")</f>
        <v>Sarah Mendez</v>
      </c>
      <c r="E697" s="5" t="str">
        <f>IFERROR(INDEX(Employee_Master!$C$2:$C$44,MATCH($C697,Employee_Master!$A$2:$A$44,0)),"Not Found")</f>
        <v>Sales</v>
      </c>
      <c r="F697" s="5" t="str">
        <f>IFERROR(INDEX(Employee_Master!$D$2:$D$44,MATCH($C697,Employee_Master!$A$2:$A$44,0)),"Not Found")</f>
        <v>Justin Glass</v>
      </c>
      <c r="G697" s="5" t="str">
        <f>IFERROR(INDEX(Employee_Master!$E$2:$E$44,MATCH($C697,Employee_Master!$A$2:$A$44,0)),"Not Found")</f>
        <v>West</v>
      </c>
      <c r="H697" s="5" t="str">
        <f>Sales_Data!D694</f>
        <v>P023 - Sunscreen SPF50</v>
      </c>
      <c r="I697" s="5" t="str">
        <f>IFERROR(INDEX(Product_Master!$B$2:$B$30,MATCH($H697,Product_Master!$A$2:$A$30,0)),"Invalid Product Code")</f>
        <v>Beauty</v>
      </c>
      <c r="J697" s="5">
        <f>IFERROR(INDEX(Product_Master!$C$2:$C$30,MATCH($H697,Product_Master!$A$2:$A$30,0)),0)</f>
        <v>818.95</v>
      </c>
      <c r="K697" s="5">
        <f>Sales_Data!E694</f>
        <v>7</v>
      </c>
      <c r="L697" s="5">
        <f>Sales_Data!F694</f>
        <v>5905.93</v>
      </c>
      <c r="M697" s="5">
        <f>Sales_Data!G694</f>
        <v>5182.74</v>
      </c>
      <c r="N697" s="5" t="str">
        <f>IFERROR(INDEX(Branch_Master!$B$2:$B$9,MATCH($B697,Branch_Master!$A$2:$A$9,0)),"Not Found")</f>
        <v>Mumbai</v>
      </c>
      <c r="O697" s="5" t="str">
        <f>IFERROR(INDEX(Branch_Master!$C$2:$C$9,MATCH($B697,Branch_Master!$A$2:$A$9,0)),"Not Found")</f>
        <v>Maharashtra</v>
      </c>
      <c r="P697" s="5">
        <f>IFERROR(INDEX(Targets!$B$2:$B$9,MATCH($B697,Targets!$A$2:$A$9,0)),0)</f>
        <v>900000</v>
      </c>
      <c r="Q697" s="5" t="str">
        <f t="shared" si="20"/>
        <v>Yes</v>
      </c>
      <c r="R697" s="5" t="str">
        <f t="shared" si="21"/>
        <v>Sep</v>
      </c>
    </row>
    <row r="698" spans="1:18" ht="15" customHeight="1" x14ac:dyDescent="0.3">
      <c r="A698" s="5" t="str">
        <f>Sales_Data!A695</f>
        <v>2025-09-14</v>
      </c>
      <c r="B698" s="5" t="str">
        <f>Sales_Data!B695</f>
        <v>Pune East</v>
      </c>
      <c r="C698" s="5" t="str">
        <f>Sales_Data!C695</f>
        <v>E023</v>
      </c>
      <c r="D698" s="5" t="str">
        <f>IFERROR(INDEX(Employee_Master!$B$2:$B$44,MATCH($C698,Employee_Master!$A$2:$A$44,0)),"Not Found")</f>
        <v>Edward Jones</v>
      </c>
      <c r="E698" s="5" t="str">
        <f>IFERROR(INDEX(Employee_Master!$C$2:$C$44,MATCH($C698,Employee_Master!$A$2:$A$44,0)),"Not Found")</f>
        <v>Operations</v>
      </c>
      <c r="F698" s="5" t="str">
        <f>IFERROR(INDEX(Employee_Master!$D$2:$D$44,MATCH($C698,Employee_Master!$A$2:$A$44,0)),"Not Found")</f>
        <v>Jordan Matthews</v>
      </c>
      <c r="G698" s="5" t="str">
        <f>IFERROR(INDEX(Employee_Master!$E$2:$E$44,MATCH($C698,Employee_Master!$A$2:$A$44,0)),"Not Found")</f>
        <v>West</v>
      </c>
      <c r="H698" s="5" t="str">
        <f>Sales_Data!D695</f>
        <v>P021 - Assorted Spices Kit</v>
      </c>
      <c r="I698" s="5" t="str">
        <f>IFERROR(INDEX(Product_Master!$B$2:$B$30,MATCH($H698,Product_Master!$A$2:$A$30,0)),"Invalid Product Code")</f>
        <v>Grocery</v>
      </c>
      <c r="J698" s="5">
        <f>IFERROR(INDEX(Product_Master!$C$2:$C$30,MATCH($H698,Product_Master!$A$2:$A$30,0)),0)</f>
        <v>1060.97</v>
      </c>
      <c r="K698" s="5">
        <f>Sales_Data!E695</f>
        <v>5</v>
      </c>
      <c r="L698" s="5">
        <f>Sales_Data!F695</f>
        <v>5058.09</v>
      </c>
      <c r="M698" s="5">
        <f>Sales_Data!G695</f>
        <v>5463.63</v>
      </c>
      <c r="N698" s="5" t="str">
        <f>IFERROR(INDEX(Branch_Master!$B$2:$B$9,MATCH($B698,Branch_Master!$A$2:$A$9,0)),"Not Found")</f>
        <v>Pune</v>
      </c>
      <c r="O698" s="5" t="str">
        <f>IFERROR(INDEX(Branch_Master!$C$2:$C$9,MATCH($B698,Branch_Master!$A$2:$A$9,0)),"Not Found")</f>
        <v>Maharashtra</v>
      </c>
      <c r="P698" s="5">
        <f>IFERROR(INDEX(Targets!$B$2:$B$9,MATCH($B698,Targets!$A$2:$A$9,0)),0)</f>
        <v>1250000</v>
      </c>
      <c r="Q698" s="5" t="str">
        <f t="shared" si="20"/>
        <v>No</v>
      </c>
      <c r="R698" s="5" t="str">
        <f t="shared" si="21"/>
        <v>Sep</v>
      </c>
    </row>
    <row r="699" spans="1:18" ht="15" customHeight="1" x14ac:dyDescent="0.3">
      <c r="A699" s="5" t="str">
        <f>Sales_Data!A696</f>
        <v>2025-09-14</v>
      </c>
      <c r="B699" s="5" t="str">
        <f>Sales_Data!B696</f>
        <v>Chennai South</v>
      </c>
      <c r="C699" s="5" t="str">
        <f>Sales_Data!C696</f>
        <v>E015</v>
      </c>
      <c r="D699" s="5" t="str">
        <f>IFERROR(INDEX(Employee_Master!$B$2:$B$44,MATCH($C699,Employee_Master!$A$2:$A$44,0)),"Not Found")</f>
        <v>Cassandra Hansen</v>
      </c>
      <c r="E699" s="5" t="str">
        <f>IFERROR(INDEX(Employee_Master!$C$2:$C$44,MATCH($C699,Employee_Master!$A$2:$A$44,0)),"Not Found")</f>
        <v>Customer Support</v>
      </c>
      <c r="F699" s="5" t="str">
        <f>IFERROR(INDEX(Employee_Master!$D$2:$D$44,MATCH($C699,Employee_Master!$A$2:$A$44,0)),"Not Found")</f>
        <v>Robert Steele</v>
      </c>
      <c r="G699" s="5" t="str">
        <f>IFERROR(INDEX(Employee_Master!$E$2:$E$44,MATCH($C699,Employee_Master!$A$2:$A$44,0)),"Not Found")</f>
        <v>South</v>
      </c>
      <c r="H699" s="5" t="str">
        <f>Sales_Data!D696</f>
        <v>P023 - Sunscreen SPF50</v>
      </c>
      <c r="I699" s="5" t="str">
        <f>IFERROR(INDEX(Product_Master!$B$2:$B$30,MATCH($H699,Product_Master!$A$2:$A$30,0)),"Invalid Product Code")</f>
        <v>Beauty</v>
      </c>
      <c r="J699" s="5">
        <f>IFERROR(INDEX(Product_Master!$C$2:$C$30,MATCH($H699,Product_Master!$A$2:$A$30,0)),0)</f>
        <v>818.95</v>
      </c>
      <c r="K699" s="5">
        <f>Sales_Data!E696</f>
        <v>6</v>
      </c>
      <c r="L699" s="5">
        <f>Sales_Data!F696</f>
        <v>5047.41</v>
      </c>
      <c r="M699" s="5">
        <f>Sales_Data!G696</f>
        <v>4179.6400000000003</v>
      </c>
      <c r="N699" s="5" t="str">
        <f>IFERROR(INDEX(Branch_Master!$B$2:$B$9,MATCH($B699,Branch_Master!$A$2:$A$9,0)),"Not Found")</f>
        <v>Chennai</v>
      </c>
      <c r="O699" s="5" t="str">
        <f>IFERROR(INDEX(Branch_Master!$C$2:$C$9,MATCH($B699,Branch_Master!$A$2:$A$9,0)),"Not Found")</f>
        <v>Tamil Nadu</v>
      </c>
      <c r="P699" s="5">
        <f>IFERROR(INDEX(Targets!$B$2:$B$9,MATCH($B699,Targets!$A$2:$A$9,0)),0)</f>
        <v>1910000</v>
      </c>
      <c r="Q699" s="5" t="str">
        <f t="shared" si="20"/>
        <v>Yes</v>
      </c>
      <c r="R699" s="5" t="str">
        <f t="shared" si="21"/>
        <v>Sep</v>
      </c>
    </row>
    <row r="700" spans="1:18" ht="15" customHeight="1" x14ac:dyDescent="0.3">
      <c r="A700" s="5" t="str">
        <f>Sales_Data!A697</f>
        <v>2025-09-14</v>
      </c>
      <c r="B700" s="5" t="str">
        <f>Sales_Data!B697</f>
        <v>Pune East</v>
      </c>
      <c r="C700" s="5" t="str">
        <f>Sales_Data!C697</f>
        <v>E022</v>
      </c>
      <c r="D700" s="5" t="str">
        <f>IFERROR(INDEX(Employee_Master!$B$2:$B$44,MATCH($C700,Employee_Master!$A$2:$A$44,0)),"Not Found")</f>
        <v>Cindy Green PhD</v>
      </c>
      <c r="E700" s="5" t="str">
        <f>IFERROR(INDEX(Employee_Master!$C$2:$C$44,MATCH($C700,Employee_Master!$A$2:$A$44,0)),"Not Found")</f>
        <v>Customer Support</v>
      </c>
      <c r="F700" s="5" t="str">
        <f>IFERROR(INDEX(Employee_Master!$D$2:$D$44,MATCH($C700,Employee_Master!$A$2:$A$44,0)),"Not Found")</f>
        <v>Jordan Matthews</v>
      </c>
      <c r="G700" s="5" t="str">
        <f>IFERROR(INDEX(Employee_Master!$E$2:$E$44,MATCH($C700,Employee_Master!$A$2:$A$44,0)),"Not Found")</f>
        <v>West</v>
      </c>
      <c r="H700" s="5" t="str">
        <f>Sales_Data!D697</f>
        <v>P011 - Winter Jacket</v>
      </c>
      <c r="I700" s="5" t="str">
        <f>IFERROR(INDEX(Product_Master!$B$2:$B$30,MATCH($H700,Product_Master!$A$2:$A$30,0)),"Invalid Product Code")</f>
        <v>Apparel</v>
      </c>
      <c r="J700" s="5">
        <f>IFERROR(INDEX(Product_Master!$C$2:$C$30,MATCH($H700,Product_Master!$A$2:$A$30,0)),0)</f>
        <v>264.97000000000003</v>
      </c>
      <c r="K700" s="5">
        <f>Sales_Data!E697</f>
        <v>7</v>
      </c>
      <c r="L700" s="5">
        <f>Sales_Data!F697</f>
        <v>1821.52</v>
      </c>
      <c r="M700" s="5">
        <f>Sales_Data!G697</f>
        <v>1839.65</v>
      </c>
      <c r="N700" s="5" t="str">
        <f>IFERROR(INDEX(Branch_Master!$B$2:$B$9,MATCH($B700,Branch_Master!$A$2:$A$9,0)),"Not Found")</f>
        <v>Pune</v>
      </c>
      <c r="O700" s="5" t="str">
        <f>IFERROR(INDEX(Branch_Master!$C$2:$C$9,MATCH($B700,Branch_Master!$A$2:$A$9,0)),"Not Found")</f>
        <v>Maharashtra</v>
      </c>
      <c r="P700" s="5">
        <f>IFERROR(INDEX(Targets!$B$2:$B$9,MATCH($B700,Targets!$A$2:$A$9,0)),0)</f>
        <v>1250000</v>
      </c>
      <c r="Q700" s="5" t="str">
        <f t="shared" si="20"/>
        <v>No</v>
      </c>
      <c r="R700" s="5" t="str">
        <f t="shared" si="21"/>
        <v>Sep</v>
      </c>
    </row>
    <row r="701" spans="1:18" ht="15" customHeight="1" x14ac:dyDescent="0.3">
      <c r="A701" s="5" t="str">
        <f>Sales_Data!A698</f>
        <v>2025-09-14</v>
      </c>
      <c r="B701" s="5" t="str">
        <f>Sales_Data!B698</f>
        <v>Chennai South</v>
      </c>
      <c r="C701" s="5" t="str">
        <f>Sales_Data!C698</f>
        <v>E019</v>
      </c>
      <c r="D701" s="5" t="str">
        <f>IFERROR(INDEX(Employee_Master!$B$2:$B$44,MATCH($C701,Employee_Master!$A$2:$A$44,0)),"Not Found")</f>
        <v>Regina Torres</v>
      </c>
      <c r="E701" s="5" t="str">
        <f>IFERROR(INDEX(Employee_Master!$C$2:$C$44,MATCH($C701,Employee_Master!$A$2:$A$44,0)),"Not Found")</f>
        <v>Operations</v>
      </c>
      <c r="F701" s="5" t="str">
        <f>IFERROR(INDEX(Employee_Master!$D$2:$D$44,MATCH($C701,Employee_Master!$A$2:$A$44,0)),"Not Found")</f>
        <v>Robert Steele</v>
      </c>
      <c r="G701" s="5" t="str">
        <f>IFERROR(INDEX(Employee_Master!$E$2:$E$44,MATCH($C701,Employee_Master!$A$2:$A$44,0)),"Not Found")</f>
        <v>South</v>
      </c>
      <c r="H701" s="5" t="str">
        <f>Sales_Data!D698</f>
        <v>P012 - Non-Stick Pan</v>
      </c>
      <c r="I701" s="5" t="str">
        <f>IFERROR(INDEX(Product_Master!$B$2:$B$30,MATCH($H701,Product_Master!$A$2:$A$30,0)),"Invalid Product Code")</f>
        <v>Home &amp; Kitchen</v>
      </c>
      <c r="J701" s="5">
        <f>IFERROR(INDEX(Product_Master!$C$2:$C$30,MATCH($H701,Product_Master!$A$2:$A$30,0)),0)</f>
        <v>353.18</v>
      </c>
      <c r="K701" s="5">
        <f>Sales_Data!E698</f>
        <v>11</v>
      </c>
      <c r="L701" s="5">
        <f>Sales_Data!F698</f>
        <v>3903.95</v>
      </c>
      <c r="M701" s="5">
        <f>Sales_Data!G698</f>
        <v>3437.15</v>
      </c>
      <c r="N701" s="5" t="str">
        <f>IFERROR(INDEX(Branch_Master!$B$2:$B$9,MATCH($B701,Branch_Master!$A$2:$A$9,0)),"Not Found")</f>
        <v>Chennai</v>
      </c>
      <c r="O701" s="5" t="str">
        <f>IFERROR(INDEX(Branch_Master!$C$2:$C$9,MATCH($B701,Branch_Master!$A$2:$A$9,0)),"Not Found")</f>
        <v>Tamil Nadu</v>
      </c>
      <c r="P701" s="5">
        <f>IFERROR(INDEX(Targets!$B$2:$B$9,MATCH($B701,Targets!$A$2:$A$9,0)),0)</f>
        <v>1910000</v>
      </c>
      <c r="Q701" s="5" t="str">
        <f t="shared" si="20"/>
        <v>Yes</v>
      </c>
      <c r="R701" s="5" t="str">
        <f t="shared" si="21"/>
        <v>Sep</v>
      </c>
    </row>
    <row r="702" spans="1:18" ht="15" customHeight="1" x14ac:dyDescent="0.3">
      <c r="A702" s="5" t="str">
        <f>Sales_Data!A699</f>
        <v>2025-09-14</v>
      </c>
      <c r="B702" s="5" t="str">
        <f>Sales_Data!B699</f>
        <v>Hyderabad Hitech</v>
      </c>
      <c r="C702" s="5" t="str">
        <f>Sales_Data!C699</f>
        <v>E030</v>
      </c>
      <c r="D702" s="5" t="str">
        <f>IFERROR(INDEX(Employee_Master!$B$2:$B$44,MATCH($C702,Employee_Master!$A$2:$A$44,0)),"Not Found")</f>
        <v>Travis Khan</v>
      </c>
      <c r="E702" s="5" t="str">
        <f>IFERROR(INDEX(Employee_Master!$C$2:$C$44,MATCH($C702,Employee_Master!$A$2:$A$44,0)),"Not Found")</f>
        <v>Operations</v>
      </c>
      <c r="F702" s="5" t="str">
        <f>IFERROR(INDEX(Employee_Master!$D$2:$D$44,MATCH($C702,Employee_Master!$A$2:$A$44,0)),"Not Found")</f>
        <v>Anna Turner</v>
      </c>
      <c r="G702" s="5" t="str">
        <f>IFERROR(INDEX(Employee_Master!$E$2:$E$44,MATCH($C702,Employee_Master!$A$2:$A$44,0)),"Not Found")</f>
        <v>South</v>
      </c>
      <c r="H702" s="5" t="str">
        <f>Sales_Data!D699</f>
        <v>P021 - Assorted Spices Kit</v>
      </c>
      <c r="I702" s="5" t="str">
        <f>IFERROR(INDEX(Product_Master!$B$2:$B$30,MATCH($H702,Product_Master!$A$2:$A$30,0)),"Invalid Product Code")</f>
        <v>Grocery</v>
      </c>
      <c r="J702" s="5">
        <f>IFERROR(INDEX(Product_Master!$C$2:$C$30,MATCH($H702,Product_Master!$A$2:$A$30,0)),0)</f>
        <v>1060.97</v>
      </c>
      <c r="K702" s="5">
        <f>Sales_Data!E699</f>
        <v>4</v>
      </c>
      <c r="L702" s="5">
        <f>Sales_Data!F699</f>
        <v>3882.63</v>
      </c>
      <c r="M702" s="5">
        <f>Sales_Data!G699</f>
        <v>3921.68</v>
      </c>
      <c r="N702" s="5" t="str">
        <f>IFERROR(INDEX(Branch_Master!$B$2:$B$9,MATCH($B702,Branch_Master!$A$2:$A$9,0)),"Not Found")</f>
        <v>Hyderabad</v>
      </c>
      <c r="O702" s="5" t="str">
        <f>IFERROR(INDEX(Branch_Master!$C$2:$C$9,MATCH($B702,Branch_Master!$A$2:$A$9,0)),"Not Found")</f>
        <v>Telangana</v>
      </c>
      <c r="P702" s="5">
        <f>IFERROR(INDEX(Targets!$B$2:$B$9,MATCH($B702,Targets!$A$2:$A$9,0)),0)</f>
        <v>1210000</v>
      </c>
      <c r="Q702" s="5" t="str">
        <f t="shared" si="20"/>
        <v>No</v>
      </c>
      <c r="R702" s="5" t="str">
        <f t="shared" si="21"/>
        <v>Sep</v>
      </c>
    </row>
    <row r="703" spans="1:18" ht="15" customHeight="1" x14ac:dyDescent="0.3">
      <c r="A703" s="5" t="str">
        <f>Sales_Data!A700</f>
        <v>2025-09-15</v>
      </c>
      <c r="B703" s="5" t="str">
        <f>Sales_Data!B700</f>
        <v>Mumbai Central</v>
      </c>
      <c r="C703" s="5" t="str">
        <f>Sales_Data!C700</f>
        <v>E025</v>
      </c>
      <c r="D703" s="5" t="str">
        <f>IFERROR(INDEX(Employee_Master!$B$2:$B$44,MATCH($C703,Employee_Master!$A$2:$A$44,0)),"Not Found")</f>
        <v>Jacqueline Chavez</v>
      </c>
      <c r="E703" s="5" t="str">
        <f>IFERROR(INDEX(Employee_Master!$C$2:$C$44,MATCH($C703,Employee_Master!$A$2:$A$44,0)),"Not Found")</f>
        <v>Sales</v>
      </c>
      <c r="F703" s="5" t="str">
        <f>IFERROR(INDEX(Employee_Master!$D$2:$D$44,MATCH($C703,Employee_Master!$A$2:$A$44,0)),"Not Found")</f>
        <v>Justin Glass</v>
      </c>
      <c r="G703" s="5" t="str">
        <f>IFERROR(INDEX(Employee_Master!$E$2:$E$44,MATCH($C703,Employee_Master!$A$2:$A$44,0)),"Not Found")</f>
        <v>West</v>
      </c>
      <c r="H703" s="5" t="str">
        <f>Sales_Data!D700</f>
        <v>P004 - Power Bank</v>
      </c>
      <c r="I703" s="5" t="str">
        <f>IFERROR(INDEX(Product_Master!$B$2:$B$30,MATCH($H703,Product_Master!$A$2:$A$30,0)),"Invalid Product Code")</f>
        <v>Electronics</v>
      </c>
      <c r="J703" s="5">
        <f>IFERROR(INDEX(Product_Master!$C$2:$C$30,MATCH($H703,Product_Master!$A$2:$A$30,0)),0)</f>
        <v>76.91</v>
      </c>
      <c r="K703" s="5">
        <f>Sales_Data!E700</f>
        <v>6</v>
      </c>
      <c r="L703" s="5">
        <f>Sales_Data!F700</f>
        <v>503.05</v>
      </c>
      <c r="M703" s="5">
        <f>Sales_Data!G700</f>
        <v>508.51</v>
      </c>
      <c r="N703" s="5" t="str">
        <f>IFERROR(INDEX(Branch_Master!$B$2:$B$9,MATCH($B703,Branch_Master!$A$2:$A$9,0)),"Not Found")</f>
        <v>Mumbai</v>
      </c>
      <c r="O703" s="5" t="str">
        <f>IFERROR(INDEX(Branch_Master!$C$2:$C$9,MATCH($B703,Branch_Master!$A$2:$A$9,0)),"Not Found")</f>
        <v>Maharashtra</v>
      </c>
      <c r="P703" s="5">
        <f>IFERROR(INDEX(Targets!$B$2:$B$9,MATCH($B703,Targets!$A$2:$A$9,0)),0)</f>
        <v>900000</v>
      </c>
      <c r="Q703" s="5" t="str">
        <f t="shared" si="20"/>
        <v>No</v>
      </c>
      <c r="R703" s="5" t="str">
        <f t="shared" si="21"/>
        <v>Sep</v>
      </c>
    </row>
    <row r="704" spans="1:18" ht="15" customHeight="1" x14ac:dyDescent="0.3">
      <c r="A704" s="5" t="str">
        <f>Sales_Data!A701</f>
        <v>2025-09-15</v>
      </c>
      <c r="B704" s="5" t="str">
        <f>Sales_Data!B701</f>
        <v>Hyderabad Hitech</v>
      </c>
      <c r="C704" s="5" t="str">
        <f>Sales_Data!C701</f>
        <v>E011</v>
      </c>
      <c r="D704" s="5" t="str">
        <f>IFERROR(INDEX(Employee_Master!$B$2:$B$44,MATCH($C704,Employee_Master!$A$2:$A$44,0)),"Not Found")</f>
        <v>Mark Osborne</v>
      </c>
      <c r="E704" s="5" t="str">
        <f>IFERROR(INDEX(Employee_Master!$C$2:$C$44,MATCH($C704,Employee_Master!$A$2:$A$44,0)),"Not Found")</f>
        <v>Marketing</v>
      </c>
      <c r="F704" s="5" t="str">
        <f>IFERROR(INDEX(Employee_Master!$D$2:$D$44,MATCH($C704,Employee_Master!$A$2:$A$44,0)),"Not Found")</f>
        <v>Anna Turner</v>
      </c>
      <c r="G704" s="5" t="str">
        <f>IFERROR(INDEX(Employee_Master!$E$2:$E$44,MATCH($C704,Employee_Master!$A$2:$A$44,0)),"Not Found")</f>
        <v>South</v>
      </c>
      <c r="H704" s="5" t="str">
        <f>Sales_Data!D701</f>
        <v>P016 - Dinner Set</v>
      </c>
      <c r="I704" s="5" t="str">
        <f>IFERROR(INDEX(Product_Master!$B$2:$B$30,MATCH($H704,Product_Master!$A$2:$A$30,0)),"Invalid Product Code")</f>
        <v>Home &amp; Kitchen</v>
      </c>
      <c r="J704" s="5">
        <f>IFERROR(INDEX(Product_Master!$C$2:$C$30,MATCH($H704,Product_Master!$A$2:$A$30,0)),0)</f>
        <v>225.06</v>
      </c>
      <c r="K704" s="5">
        <f>Sales_Data!E701</f>
        <v>2</v>
      </c>
      <c r="L704" s="5">
        <f>Sales_Data!F701</f>
        <v>407.3</v>
      </c>
      <c r="M704" s="5">
        <f>Sales_Data!G701</f>
        <v>485.5</v>
      </c>
      <c r="N704" s="5" t="str">
        <f>IFERROR(INDEX(Branch_Master!$B$2:$B$9,MATCH($B704,Branch_Master!$A$2:$A$9,0)),"Not Found")</f>
        <v>Hyderabad</v>
      </c>
      <c r="O704" s="5" t="str">
        <f>IFERROR(INDEX(Branch_Master!$C$2:$C$9,MATCH($B704,Branch_Master!$A$2:$A$9,0)),"Not Found")</f>
        <v>Telangana</v>
      </c>
      <c r="P704" s="5">
        <f>IFERROR(INDEX(Targets!$B$2:$B$9,MATCH($B704,Targets!$A$2:$A$9,0)),0)</f>
        <v>1210000</v>
      </c>
      <c r="Q704" s="5" t="str">
        <f t="shared" si="20"/>
        <v>No</v>
      </c>
      <c r="R704" s="5" t="str">
        <f t="shared" si="21"/>
        <v>Sep</v>
      </c>
    </row>
    <row r="705" spans="1:18" ht="15" customHeight="1" x14ac:dyDescent="0.3">
      <c r="A705" s="5" t="str">
        <f>Sales_Data!A702</f>
        <v>2025-09-15</v>
      </c>
      <c r="B705" s="5" t="str">
        <f>Sales_Data!B702</f>
        <v>Ahmedabad West</v>
      </c>
      <c r="C705" s="5" t="str">
        <f>Sales_Data!C702</f>
        <v>E037</v>
      </c>
      <c r="D705" s="5" t="str">
        <f>IFERROR(INDEX(Employee_Master!$B$2:$B$44,MATCH($C705,Employee_Master!$A$2:$A$44,0)),"Not Found")</f>
        <v>Thomas Harris</v>
      </c>
      <c r="E705" s="5" t="str">
        <f>IFERROR(INDEX(Employee_Master!$C$2:$C$44,MATCH($C705,Employee_Master!$A$2:$A$44,0)),"Not Found")</f>
        <v>Customer Support</v>
      </c>
      <c r="F705" s="5" t="str">
        <f>IFERROR(INDEX(Employee_Master!$D$2:$D$44,MATCH($C705,Employee_Master!$A$2:$A$44,0)),"Not Found")</f>
        <v>Joseph Brown</v>
      </c>
      <c r="G705" s="5" t="str">
        <f>IFERROR(INDEX(Employee_Master!$E$2:$E$44,MATCH($C705,Employee_Master!$A$2:$A$44,0)),"Not Found")</f>
        <v>West</v>
      </c>
      <c r="H705" s="5" t="str">
        <f>Sales_Data!D702</f>
        <v>P009 - Formal Shirt</v>
      </c>
      <c r="I705" s="5" t="str">
        <f>IFERROR(INDEX(Product_Master!$B$2:$B$30,MATCH($H705,Product_Master!$A$2:$A$30,0)),"Invalid Product Code")</f>
        <v>Apparel</v>
      </c>
      <c r="J705" s="5">
        <f>IFERROR(INDEX(Product_Master!$C$2:$C$30,MATCH($H705,Product_Master!$A$2:$A$30,0)),0)</f>
        <v>661.65</v>
      </c>
      <c r="K705" s="5">
        <f>Sales_Data!E702</f>
        <v>1</v>
      </c>
      <c r="L705" s="5">
        <f>Sales_Data!F702</f>
        <v>0</v>
      </c>
      <c r="M705" s="5">
        <f>Sales_Data!G702</f>
        <v>742.5</v>
      </c>
      <c r="N705" s="5" t="str">
        <f>IFERROR(INDEX(Branch_Master!$B$2:$B$9,MATCH($B705,Branch_Master!$A$2:$A$9,0)),"Not Found")</f>
        <v>Ahmedabad</v>
      </c>
      <c r="O705" s="5" t="str">
        <f>IFERROR(INDEX(Branch_Master!$C$2:$C$9,MATCH($B705,Branch_Master!$A$2:$A$9,0)),"Not Found")</f>
        <v>Gujarat</v>
      </c>
      <c r="P705" s="5">
        <f>IFERROR(INDEX(Targets!$B$2:$B$9,MATCH($B705,Targets!$A$2:$A$9,0)),0)</f>
        <v>1590000</v>
      </c>
      <c r="Q705" s="5" t="str">
        <f t="shared" si="20"/>
        <v>No</v>
      </c>
      <c r="R705" s="5" t="str">
        <f t="shared" si="21"/>
        <v>Sep</v>
      </c>
    </row>
    <row r="706" spans="1:18" ht="15" customHeight="1" x14ac:dyDescent="0.3">
      <c r="A706" s="5" t="str">
        <f>Sales_Data!A703</f>
        <v>2025-09-16</v>
      </c>
      <c r="B706" s="5" t="str">
        <f>Sales_Data!B703</f>
        <v>Kolkata Central</v>
      </c>
      <c r="C706" s="5" t="str">
        <f>Sales_Data!C703</f>
        <v>E029</v>
      </c>
      <c r="D706" s="5" t="str">
        <f>IFERROR(INDEX(Employee_Master!$B$2:$B$44,MATCH($C706,Employee_Master!$A$2:$A$44,0)),"Not Found")</f>
        <v>Patrick Shepard</v>
      </c>
      <c r="E706" s="5" t="str">
        <f>IFERROR(INDEX(Employee_Master!$C$2:$C$44,MATCH($C706,Employee_Master!$A$2:$A$44,0)),"Not Found")</f>
        <v>Sales</v>
      </c>
      <c r="F706" s="5" t="str">
        <f>IFERROR(INDEX(Employee_Master!$D$2:$D$44,MATCH($C706,Employee_Master!$A$2:$A$44,0)),"Not Found")</f>
        <v>Lisa Moore</v>
      </c>
      <c r="G706" s="5" t="str">
        <f>IFERROR(INDEX(Employee_Master!$E$2:$E$44,MATCH($C706,Employee_Master!$A$2:$A$44,0)),"Not Found")</f>
        <v>East</v>
      </c>
      <c r="H706" s="5" t="str">
        <f>Sales_Data!D703</f>
        <v>P018 - Cooking Oil 1L</v>
      </c>
      <c r="I706" s="5" t="str">
        <f>IFERROR(INDEX(Product_Master!$B$2:$B$30,MATCH($H706,Product_Master!$A$2:$A$30,0)),"Invalid Product Code")</f>
        <v>Grocery</v>
      </c>
      <c r="J706" s="5">
        <f>IFERROR(INDEX(Product_Master!$C$2:$C$30,MATCH($H706,Product_Master!$A$2:$A$30,0)),0)</f>
        <v>1483.63</v>
      </c>
      <c r="K706" s="5">
        <f>Sales_Data!E703</f>
        <v>2</v>
      </c>
      <c r="L706" s="5">
        <f>Sales_Data!F703</f>
        <v>2927.97</v>
      </c>
      <c r="M706" s="5">
        <f>Sales_Data!G703</f>
        <v>3197.78</v>
      </c>
      <c r="N706" s="5" t="str">
        <f>IFERROR(INDEX(Branch_Master!$B$2:$B$9,MATCH($B706,Branch_Master!$A$2:$A$9,0)),"Not Found")</f>
        <v>Kolkata</v>
      </c>
      <c r="O706" s="5" t="str">
        <f>IFERROR(INDEX(Branch_Master!$C$2:$C$9,MATCH($B706,Branch_Master!$A$2:$A$9,0)),"Not Found")</f>
        <v>West Bengal</v>
      </c>
      <c r="P706" s="5">
        <f>IFERROR(INDEX(Targets!$B$2:$B$9,MATCH($B706,Targets!$A$2:$A$9,0)),0)</f>
        <v>1910000</v>
      </c>
      <c r="Q706" s="5" t="str">
        <f t="shared" si="20"/>
        <v>No</v>
      </c>
      <c r="R706" s="5" t="str">
        <f t="shared" si="21"/>
        <v>Sep</v>
      </c>
    </row>
    <row r="707" spans="1:18" ht="15" customHeight="1" x14ac:dyDescent="0.3">
      <c r="A707" s="5" t="str">
        <f>Sales_Data!A704</f>
        <v>2025-09-16</v>
      </c>
      <c r="B707" s="5" t="str">
        <f>Sales_Data!B704</f>
        <v>Kolkata Central</v>
      </c>
      <c r="C707" s="5" t="str">
        <f>Sales_Data!C704</f>
        <v>E028</v>
      </c>
      <c r="D707" s="5" t="str">
        <f>IFERROR(INDEX(Employee_Master!$B$2:$B$44,MATCH($C707,Employee_Master!$A$2:$A$44,0)),"Not Found")</f>
        <v>Sabrina Wright</v>
      </c>
      <c r="E707" s="5" t="str">
        <f>IFERROR(INDEX(Employee_Master!$C$2:$C$44,MATCH($C707,Employee_Master!$A$2:$A$44,0)),"Not Found")</f>
        <v>Customer Support</v>
      </c>
      <c r="F707" s="5" t="str">
        <f>IFERROR(INDEX(Employee_Master!$D$2:$D$44,MATCH($C707,Employee_Master!$A$2:$A$44,0)),"Not Found")</f>
        <v>Lisa Moore</v>
      </c>
      <c r="G707" s="5" t="str">
        <f>IFERROR(INDEX(Employee_Master!$E$2:$E$44,MATCH($C707,Employee_Master!$A$2:$A$44,0)),"Not Found")</f>
        <v>East</v>
      </c>
      <c r="H707" s="5" t="str">
        <f>Sales_Data!D704</f>
        <v>P029 - Dumbbell Set 10kg</v>
      </c>
      <c r="I707" s="5" t="str">
        <f>IFERROR(INDEX(Product_Master!$B$2:$B$30,MATCH($H707,Product_Master!$A$2:$A$30,0)),"Invalid Product Code")</f>
        <v>Sports</v>
      </c>
      <c r="J707" s="5">
        <f>IFERROR(INDEX(Product_Master!$C$2:$C$30,MATCH($H707,Product_Master!$A$2:$A$30,0)),0)</f>
        <v>435</v>
      </c>
      <c r="K707" s="5">
        <f>Sales_Data!E704</f>
        <v>5</v>
      </c>
      <c r="L707" s="5">
        <f>Sales_Data!F704</f>
        <v>2166.4299999999998</v>
      </c>
      <c r="M707" s="5">
        <f>Sales_Data!G704</f>
        <v>2101.41</v>
      </c>
      <c r="N707" s="5" t="str">
        <f>IFERROR(INDEX(Branch_Master!$B$2:$B$9,MATCH($B707,Branch_Master!$A$2:$A$9,0)),"Not Found")</f>
        <v>Kolkata</v>
      </c>
      <c r="O707" s="5" t="str">
        <f>IFERROR(INDEX(Branch_Master!$C$2:$C$9,MATCH($B707,Branch_Master!$A$2:$A$9,0)),"Not Found")</f>
        <v>West Bengal</v>
      </c>
      <c r="P707" s="5">
        <f>IFERROR(INDEX(Targets!$B$2:$B$9,MATCH($B707,Targets!$A$2:$A$9,0)),0)</f>
        <v>1910000</v>
      </c>
      <c r="Q707" s="5" t="str">
        <f t="shared" si="20"/>
        <v>Yes</v>
      </c>
      <c r="R707" s="5" t="str">
        <f t="shared" si="21"/>
        <v>Sep</v>
      </c>
    </row>
    <row r="708" spans="1:18" ht="15" customHeight="1" x14ac:dyDescent="0.3">
      <c r="A708" s="5" t="str">
        <f>Sales_Data!A705</f>
        <v>2025-09-16</v>
      </c>
      <c r="B708" s="5" t="str">
        <f>Sales_Data!B705</f>
        <v>Hyderabad Hitech</v>
      </c>
      <c r="C708" s="5" t="str">
        <f>Sales_Data!C705</f>
        <v>E020</v>
      </c>
      <c r="D708" s="5" t="str">
        <f>IFERROR(INDEX(Employee_Master!$B$2:$B$44,MATCH($C708,Employee_Master!$A$2:$A$44,0)),"Not Found")</f>
        <v>Christine Long</v>
      </c>
      <c r="E708" s="5" t="str">
        <f>IFERROR(INDEX(Employee_Master!$C$2:$C$44,MATCH($C708,Employee_Master!$A$2:$A$44,0)),"Not Found")</f>
        <v>Operations</v>
      </c>
      <c r="F708" s="5" t="str">
        <f>IFERROR(INDEX(Employee_Master!$D$2:$D$44,MATCH($C708,Employee_Master!$A$2:$A$44,0)),"Not Found")</f>
        <v>Anna Turner</v>
      </c>
      <c r="G708" s="5" t="str">
        <f>IFERROR(INDEX(Employee_Master!$E$2:$E$44,MATCH($C708,Employee_Master!$A$2:$A$44,0)),"Not Found")</f>
        <v>South</v>
      </c>
      <c r="H708" s="5" t="str">
        <f>Sales_Data!D705</f>
        <v>P011 - Winter Jacket</v>
      </c>
      <c r="I708" s="5" t="str">
        <f>IFERROR(INDEX(Product_Master!$B$2:$B$30,MATCH($H708,Product_Master!$A$2:$A$30,0)),"Invalid Product Code")</f>
        <v>Apparel</v>
      </c>
      <c r="J708" s="5">
        <f>IFERROR(INDEX(Product_Master!$C$2:$C$30,MATCH($H708,Product_Master!$A$2:$A$30,0)),0)</f>
        <v>264.97000000000003</v>
      </c>
      <c r="K708" s="5">
        <f>Sales_Data!E705</f>
        <v>8</v>
      </c>
      <c r="L708" s="5">
        <f>Sales_Data!F705</f>
        <v>1983.3</v>
      </c>
      <c r="M708" s="5">
        <f>Sales_Data!G705</f>
        <v>2149.5</v>
      </c>
      <c r="N708" s="5" t="str">
        <f>IFERROR(INDEX(Branch_Master!$B$2:$B$9,MATCH($B708,Branch_Master!$A$2:$A$9,0)),"Not Found")</f>
        <v>Hyderabad</v>
      </c>
      <c r="O708" s="5" t="str">
        <f>IFERROR(INDEX(Branch_Master!$C$2:$C$9,MATCH($B708,Branch_Master!$A$2:$A$9,0)),"Not Found")</f>
        <v>Telangana</v>
      </c>
      <c r="P708" s="5">
        <f>IFERROR(INDEX(Targets!$B$2:$B$9,MATCH($B708,Targets!$A$2:$A$9,0)),0)</f>
        <v>1210000</v>
      </c>
      <c r="Q708" s="5" t="str">
        <f t="shared" si="20"/>
        <v>No</v>
      </c>
      <c r="R708" s="5" t="str">
        <f t="shared" si="21"/>
        <v>Sep</v>
      </c>
    </row>
    <row r="709" spans="1:18" ht="15" customHeight="1" x14ac:dyDescent="0.3">
      <c r="A709" s="5" t="str">
        <f>Sales_Data!A706</f>
        <v>2025-09-16</v>
      </c>
      <c r="B709" s="5" t="str">
        <f>Sales_Data!B706</f>
        <v>Bangalore North</v>
      </c>
      <c r="C709" s="5" t="str">
        <f>Sales_Data!C706</f>
        <v>E040</v>
      </c>
      <c r="D709" s="5" t="str">
        <f>IFERROR(INDEX(Employee_Master!$B$2:$B$44,MATCH($C709,Employee_Master!$A$2:$A$44,0)),"Not Found")</f>
        <v>Bonnie Cox</v>
      </c>
      <c r="E709" s="5" t="str">
        <f>IFERROR(INDEX(Employee_Master!$C$2:$C$44,MATCH($C709,Employee_Master!$A$2:$A$44,0)),"Not Found")</f>
        <v>Customer Support</v>
      </c>
      <c r="F709" s="5" t="str">
        <f>IFERROR(INDEX(Employee_Master!$D$2:$D$44,MATCH($C709,Employee_Master!$A$2:$A$44,0)),"Not Found")</f>
        <v>Jose Soto</v>
      </c>
      <c r="G709" s="5" t="str">
        <f>IFERROR(INDEX(Employee_Master!$E$2:$E$44,MATCH($C709,Employee_Master!$A$2:$A$44,0)),"Not Found")</f>
        <v>South</v>
      </c>
      <c r="H709" s="5" t="str">
        <f>Sales_Data!D706</f>
        <v>P025 - Lipstick Set</v>
      </c>
      <c r="I709" s="5" t="str">
        <f>IFERROR(INDEX(Product_Master!$B$2:$B$30,MATCH($H709,Product_Master!$A$2:$A$30,0)),"Invalid Product Code")</f>
        <v>Beauty</v>
      </c>
      <c r="J709" s="5">
        <f>IFERROR(INDEX(Product_Master!$C$2:$C$30,MATCH($H709,Product_Master!$A$2:$A$30,0)),0)</f>
        <v>765.9</v>
      </c>
      <c r="K709" s="5">
        <f>Sales_Data!E706</f>
        <v>3</v>
      </c>
      <c r="L709" s="5">
        <f>Sales_Data!F706</f>
        <v>2119.4499999999998</v>
      </c>
      <c r="M709" s="5">
        <f>Sales_Data!G706</f>
        <v>2253.29</v>
      </c>
      <c r="N709" s="5" t="str">
        <f>IFERROR(INDEX(Branch_Master!$B$2:$B$9,MATCH($B709,Branch_Master!$A$2:$A$9,0)),"Not Found")</f>
        <v>Bangalore</v>
      </c>
      <c r="O709" s="5" t="str">
        <f>IFERROR(INDEX(Branch_Master!$C$2:$C$9,MATCH($B709,Branch_Master!$A$2:$A$9,0)),"Not Found")</f>
        <v>Karnataka</v>
      </c>
      <c r="P709" s="5">
        <f>IFERROR(INDEX(Targets!$B$2:$B$9,MATCH($B709,Targets!$A$2:$A$9,0)),0)</f>
        <v>900000</v>
      </c>
      <c r="Q709" s="5" t="str">
        <f t="shared" ref="Q709:Q772" si="22">IF(L709&gt;=M709,"Yes","No")</f>
        <v>No</v>
      </c>
      <c r="R709" s="5" t="str">
        <f t="shared" ref="R709:R772" si="23">TEXT(A709,"MMM")</f>
        <v>Sep</v>
      </c>
    </row>
    <row r="710" spans="1:18" ht="15" customHeight="1" x14ac:dyDescent="0.3">
      <c r="A710" s="5" t="str">
        <f>Sales_Data!A707</f>
        <v>2025-09-16</v>
      </c>
      <c r="B710" s="5" t="str">
        <f>Sales_Data!B707</f>
        <v>Hyderabad Hitech</v>
      </c>
      <c r="C710" s="5" t="str">
        <f>Sales_Data!C707</f>
        <v>E026</v>
      </c>
      <c r="D710" s="5" t="str">
        <f>IFERROR(INDEX(Employee_Master!$B$2:$B$44,MATCH($C710,Employee_Master!$A$2:$A$44,0)),"Not Found")</f>
        <v>Karen Andrews</v>
      </c>
      <c r="E710" s="5" t="str">
        <f>IFERROR(INDEX(Employee_Master!$C$2:$C$44,MATCH($C710,Employee_Master!$A$2:$A$44,0)),"Not Found")</f>
        <v>Marketing</v>
      </c>
      <c r="F710" s="5" t="str">
        <f>IFERROR(INDEX(Employee_Master!$D$2:$D$44,MATCH($C710,Employee_Master!$A$2:$A$44,0)),"Not Found")</f>
        <v>Anna Turner</v>
      </c>
      <c r="G710" s="5" t="str">
        <f>IFERROR(INDEX(Employee_Master!$E$2:$E$44,MATCH($C710,Employee_Master!$A$2:$A$44,0)),"Not Found")</f>
        <v>South</v>
      </c>
      <c r="H710" s="5" t="str">
        <f>Sales_Data!D707</f>
        <v>P017 - Basmati Rice 5kg</v>
      </c>
      <c r="I710" s="5" t="str">
        <f>IFERROR(INDEX(Product_Master!$B$2:$B$30,MATCH($H710,Product_Master!$A$2:$A$30,0)),"Invalid Product Code")</f>
        <v>Grocery</v>
      </c>
      <c r="J710" s="5">
        <f>IFERROR(INDEX(Product_Master!$C$2:$C$30,MATCH($H710,Product_Master!$A$2:$A$30,0)),0)</f>
        <v>825.33</v>
      </c>
      <c r="K710" s="5">
        <f>Sales_Data!E707</f>
        <v>1</v>
      </c>
      <c r="L710" s="5">
        <f>Sales_Data!F707</f>
        <v>874.91</v>
      </c>
      <c r="M710" s="5">
        <f>Sales_Data!G707</f>
        <v>850.99</v>
      </c>
      <c r="N710" s="5" t="str">
        <f>IFERROR(INDEX(Branch_Master!$B$2:$B$9,MATCH($B710,Branch_Master!$A$2:$A$9,0)),"Not Found")</f>
        <v>Hyderabad</v>
      </c>
      <c r="O710" s="5" t="str">
        <f>IFERROR(INDEX(Branch_Master!$C$2:$C$9,MATCH($B710,Branch_Master!$A$2:$A$9,0)),"Not Found")</f>
        <v>Telangana</v>
      </c>
      <c r="P710" s="5">
        <f>IFERROR(INDEX(Targets!$B$2:$B$9,MATCH($B710,Targets!$A$2:$A$9,0)),0)</f>
        <v>1210000</v>
      </c>
      <c r="Q710" s="5" t="str">
        <f t="shared" si="22"/>
        <v>Yes</v>
      </c>
      <c r="R710" s="5" t="str">
        <f t="shared" si="23"/>
        <v>Sep</v>
      </c>
    </row>
    <row r="711" spans="1:18" ht="15" customHeight="1" x14ac:dyDescent="0.3">
      <c r="A711" s="5" t="str">
        <f>Sales_Data!A708</f>
        <v>2025-09-17</v>
      </c>
      <c r="B711" s="5" t="str">
        <f>Sales_Data!B708</f>
        <v>Chennai South</v>
      </c>
      <c r="C711" s="5" t="str">
        <f>Sales_Data!C708</f>
        <v>E019</v>
      </c>
      <c r="D711" s="5" t="str">
        <f>IFERROR(INDEX(Employee_Master!$B$2:$B$44,MATCH($C711,Employee_Master!$A$2:$A$44,0)),"Not Found")</f>
        <v>Regina Torres</v>
      </c>
      <c r="E711" s="5" t="str">
        <f>IFERROR(INDEX(Employee_Master!$C$2:$C$44,MATCH($C711,Employee_Master!$A$2:$A$44,0)),"Not Found")</f>
        <v>Operations</v>
      </c>
      <c r="F711" s="5" t="str">
        <f>IFERROR(INDEX(Employee_Master!$D$2:$D$44,MATCH($C711,Employee_Master!$A$2:$A$44,0)),"Not Found")</f>
        <v>Robert Steele</v>
      </c>
      <c r="G711" s="5" t="str">
        <f>IFERROR(INDEX(Employee_Master!$E$2:$E$44,MATCH($C711,Employee_Master!$A$2:$A$44,0)),"Not Found")</f>
        <v>South</v>
      </c>
      <c r="H711" s="5" t="str">
        <f>Sales_Data!D708</f>
        <v>P016 - Dinner Set</v>
      </c>
      <c r="I711" s="5" t="str">
        <f>IFERROR(INDEX(Product_Master!$B$2:$B$30,MATCH($H711,Product_Master!$A$2:$A$30,0)),"Invalid Product Code")</f>
        <v>Home &amp; Kitchen</v>
      </c>
      <c r="J711" s="5">
        <f>IFERROR(INDEX(Product_Master!$C$2:$C$30,MATCH($H711,Product_Master!$A$2:$A$30,0)),0)</f>
        <v>225.06</v>
      </c>
      <c r="K711" s="5">
        <f>Sales_Data!E708</f>
        <v>6</v>
      </c>
      <c r="L711" s="5">
        <f>Sales_Data!F708</f>
        <v>1343.08</v>
      </c>
      <c r="M711" s="5">
        <f>Sales_Data!G708</f>
        <v>1156.3499999999999</v>
      </c>
      <c r="N711" s="5" t="str">
        <f>IFERROR(INDEX(Branch_Master!$B$2:$B$9,MATCH($B711,Branch_Master!$A$2:$A$9,0)),"Not Found")</f>
        <v>Chennai</v>
      </c>
      <c r="O711" s="5" t="str">
        <f>IFERROR(INDEX(Branch_Master!$C$2:$C$9,MATCH($B711,Branch_Master!$A$2:$A$9,0)),"Not Found")</f>
        <v>Tamil Nadu</v>
      </c>
      <c r="P711" s="5">
        <f>IFERROR(INDEX(Targets!$B$2:$B$9,MATCH($B711,Targets!$A$2:$A$9,0)),0)</f>
        <v>1910000</v>
      </c>
      <c r="Q711" s="5" t="str">
        <f t="shared" si="22"/>
        <v>Yes</v>
      </c>
      <c r="R711" s="5" t="str">
        <f t="shared" si="23"/>
        <v>Sep</v>
      </c>
    </row>
    <row r="712" spans="1:18" ht="15" customHeight="1" x14ac:dyDescent="0.3">
      <c r="A712" s="5" t="str">
        <f>Sales_Data!A709</f>
        <v>2025-09-18</v>
      </c>
      <c r="B712" s="5" t="str">
        <f>Sales_Data!B709</f>
        <v>Delhi NCR</v>
      </c>
      <c r="C712" s="5" t="str">
        <f>Sales_Data!C709</f>
        <v>E031</v>
      </c>
      <c r="D712" s="5" t="str">
        <f>IFERROR(INDEX(Employee_Master!$B$2:$B$44,MATCH($C712,Employee_Master!$A$2:$A$44,0)),"Not Found")</f>
        <v>Jennifer Garcia</v>
      </c>
      <c r="E712" s="5" t="str">
        <f>IFERROR(INDEX(Employee_Master!$C$2:$C$44,MATCH($C712,Employee_Master!$A$2:$A$44,0)),"Not Found")</f>
        <v>Sales</v>
      </c>
      <c r="F712" s="5" t="str">
        <f>IFERROR(INDEX(Employee_Master!$D$2:$D$44,MATCH($C712,Employee_Master!$A$2:$A$44,0)),"Not Found")</f>
        <v>William Oconnell</v>
      </c>
      <c r="G712" s="5" t="str">
        <f>IFERROR(INDEX(Employee_Master!$E$2:$E$44,MATCH($C712,Employee_Master!$A$2:$A$44,0)),"Not Found")</f>
        <v>North</v>
      </c>
      <c r="H712" s="5" t="str">
        <f>Sales_Data!D709</f>
        <v>P027 - Cricket Bat</v>
      </c>
      <c r="I712" s="5" t="str">
        <f>IFERROR(INDEX(Product_Master!$B$2:$B$30,MATCH($H712,Product_Master!$A$2:$A$30,0)),"Invalid Product Code")</f>
        <v>Sports</v>
      </c>
      <c r="J712" s="5">
        <f>IFERROR(INDEX(Product_Master!$C$2:$C$30,MATCH($H712,Product_Master!$A$2:$A$30,0)),0)</f>
        <v>822.7</v>
      </c>
      <c r="K712" s="5">
        <f>Sales_Data!E709</f>
        <v>2</v>
      </c>
      <c r="L712" s="5">
        <f>Sales_Data!F709</f>
        <v>1682.07</v>
      </c>
      <c r="M712" s="5">
        <f>Sales_Data!G709</f>
        <v>1476.75</v>
      </c>
      <c r="N712" s="5" t="str">
        <f>IFERROR(INDEX(Branch_Master!$B$2:$B$9,MATCH($B712,Branch_Master!$A$2:$A$9,0)),"Not Found")</f>
        <v>New Delhi</v>
      </c>
      <c r="O712" s="5" t="str">
        <f>IFERROR(INDEX(Branch_Master!$C$2:$C$9,MATCH($B712,Branch_Master!$A$2:$A$9,0)),"Not Found")</f>
        <v>Delhi</v>
      </c>
      <c r="P712" s="5">
        <f>IFERROR(INDEX(Targets!$B$2:$B$9,MATCH($B712,Targets!$A$2:$A$9,0)),0)</f>
        <v>2070000</v>
      </c>
      <c r="Q712" s="5" t="str">
        <f t="shared" si="22"/>
        <v>Yes</v>
      </c>
      <c r="R712" s="5" t="str">
        <f t="shared" si="23"/>
        <v>Sep</v>
      </c>
    </row>
    <row r="713" spans="1:18" ht="15" customHeight="1" x14ac:dyDescent="0.3">
      <c r="A713" s="5" t="str">
        <f>Sales_Data!A710</f>
        <v>2025-09-18</v>
      </c>
      <c r="B713" s="5" t="str">
        <f>Sales_Data!B710</f>
        <v>Bangalore North</v>
      </c>
      <c r="C713" s="5" t="str">
        <f>Sales_Data!C710</f>
        <v>E006</v>
      </c>
      <c r="D713" s="5" t="str">
        <f>IFERROR(INDEX(Employee_Master!$B$2:$B$44,MATCH($C713,Employee_Master!$A$2:$A$44,0)),"Not Found")</f>
        <v>Dylan Jones</v>
      </c>
      <c r="E713" s="5" t="str">
        <f>IFERROR(INDEX(Employee_Master!$C$2:$C$44,MATCH($C713,Employee_Master!$A$2:$A$44,0)),"Not Found")</f>
        <v>Sales</v>
      </c>
      <c r="F713" s="5" t="str">
        <f>IFERROR(INDEX(Employee_Master!$D$2:$D$44,MATCH($C713,Employee_Master!$A$2:$A$44,0)),"Not Found")</f>
        <v>Jose Soto</v>
      </c>
      <c r="G713" s="5" t="str">
        <f>IFERROR(INDEX(Employee_Master!$E$2:$E$44,MATCH($C713,Employee_Master!$A$2:$A$44,0)),"Not Found")</f>
        <v>South</v>
      </c>
      <c r="H713" s="5" t="str">
        <f>Sales_Data!D710</f>
        <v>P003 - Bluetooth Speaker</v>
      </c>
      <c r="I713" s="5" t="str">
        <f>IFERROR(INDEX(Product_Master!$B$2:$B$30,MATCH($H713,Product_Master!$A$2:$A$30,0)),"Invalid Product Code")</f>
        <v>Electronics</v>
      </c>
      <c r="J713" s="5">
        <f>IFERROR(INDEX(Product_Master!$C$2:$C$30,MATCH($H713,Product_Master!$A$2:$A$30,0)),0)</f>
        <v>351.01</v>
      </c>
      <c r="K713" s="5">
        <f>Sales_Data!E710</f>
        <v>12</v>
      </c>
      <c r="L713" s="5">
        <f>Sales_Data!F710</f>
        <v>4334.62</v>
      </c>
      <c r="M713" s="5">
        <f>Sales_Data!G710</f>
        <v>3710.48</v>
      </c>
      <c r="N713" s="5" t="str">
        <f>IFERROR(INDEX(Branch_Master!$B$2:$B$9,MATCH($B713,Branch_Master!$A$2:$A$9,0)),"Not Found")</f>
        <v>Bangalore</v>
      </c>
      <c r="O713" s="5" t="str">
        <f>IFERROR(INDEX(Branch_Master!$C$2:$C$9,MATCH($B713,Branch_Master!$A$2:$A$9,0)),"Not Found")</f>
        <v>Karnataka</v>
      </c>
      <c r="P713" s="5">
        <f>IFERROR(INDEX(Targets!$B$2:$B$9,MATCH($B713,Targets!$A$2:$A$9,0)),0)</f>
        <v>900000</v>
      </c>
      <c r="Q713" s="5" t="str">
        <f t="shared" si="22"/>
        <v>Yes</v>
      </c>
      <c r="R713" s="5" t="str">
        <f t="shared" si="23"/>
        <v>Sep</v>
      </c>
    </row>
    <row r="714" spans="1:18" ht="15" customHeight="1" x14ac:dyDescent="0.3">
      <c r="A714" s="5" t="str">
        <f>Sales_Data!A711</f>
        <v>2025-09-18</v>
      </c>
      <c r="B714" s="5" t="str">
        <f>Sales_Data!B711</f>
        <v>Kolkata Central</v>
      </c>
      <c r="C714" s="5" t="str">
        <f>Sales_Data!C711</f>
        <v>E029</v>
      </c>
      <c r="D714" s="5" t="str">
        <f>IFERROR(INDEX(Employee_Master!$B$2:$B$44,MATCH($C714,Employee_Master!$A$2:$A$44,0)),"Not Found")</f>
        <v>Patrick Shepard</v>
      </c>
      <c r="E714" s="5" t="str">
        <f>IFERROR(INDEX(Employee_Master!$C$2:$C$44,MATCH($C714,Employee_Master!$A$2:$A$44,0)),"Not Found")</f>
        <v>Sales</v>
      </c>
      <c r="F714" s="5" t="str">
        <f>IFERROR(INDEX(Employee_Master!$D$2:$D$44,MATCH($C714,Employee_Master!$A$2:$A$44,0)),"Not Found")</f>
        <v>Lisa Moore</v>
      </c>
      <c r="G714" s="5" t="str">
        <f>IFERROR(INDEX(Employee_Master!$E$2:$E$44,MATCH($C714,Employee_Master!$A$2:$A$44,0)),"Not Found")</f>
        <v>East</v>
      </c>
      <c r="H714" s="5" t="str">
        <f>Sales_Data!D711</f>
        <v>P028 - Football</v>
      </c>
      <c r="I714" s="5" t="str">
        <f>IFERROR(INDEX(Product_Master!$B$2:$B$30,MATCH($H714,Product_Master!$A$2:$A$30,0)),"Invalid Product Code")</f>
        <v>Sports</v>
      </c>
      <c r="J714" s="5">
        <f>IFERROR(INDEX(Product_Master!$C$2:$C$30,MATCH($H714,Product_Master!$A$2:$A$30,0)),0)</f>
        <v>314.25</v>
      </c>
      <c r="K714" s="5">
        <f>Sales_Data!E711</f>
        <v>4</v>
      </c>
      <c r="L714" s="5">
        <f>Sales_Data!F711</f>
        <v>1196.02</v>
      </c>
      <c r="M714" s="5">
        <f>Sales_Data!G711</f>
        <v>1366.85</v>
      </c>
      <c r="N714" s="5" t="str">
        <f>IFERROR(INDEX(Branch_Master!$B$2:$B$9,MATCH($B714,Branch_Master!$A$2:$A$9,0)),"Not Found")</f>
        <v>Kolkata</v>
      </c>
      <c r="O714" s="5" t="str">
        <f>IFERROR(INDEX(Branch_Master!$C$2:$C$9,MATCH($B714,Branch_Master!$A$2:$A$9,0)),"Not Found")</f>
        <v>West Bengal</v>
      </c>
      <c r="P714" s="5">
        <f>IFERROR(INDEX(Targets!$B$2:$B$9,MATCH($B714,Targets!$A$2:$A$9,0)),0)</f>
        <v>1910000</v>
      </c>
      <c r="Q714" s="5" t="str">
        <f t="shared" si="22"/>
        <v>No</v>
      </c>
      <c r="R714" s="5" t="str">
        <f t="shared" si="23"/>
        <v>Sep</v>
      </c>
    </row>
    <row r="715" spans="1:18" ht="15" customHeight="1" x14ac:dyDescent="0.3">
      <c r="A715" s="5" t="str">
        <f>Sales_Data!A712</f>
        <v>2025-09-19</v>
      </c>
      <c r="B715" s="5" t="str">
        <f>Sales_Data!B712</f>
        <v>Mumbai Central</v>
      </c>
      <c r="C715" s="5" t="str">
        <f>Sales_Data!C712</f>
        <v>E007</v>
      </c>
      <c r="D715" s="5" t="str">
        <f>IFERROR(INDEX(Employee_Master!$B$2:$B$44,MATCH($C715,Employee_Master!$A$2:$A$44,0)),"Not Found")</f>
        <v>Jennifer Bradford</v>
      </c>
      <c r="E715" s="5" t="str">
        <f>IFERROR(INDEX(Employee_Master!$C$2:$C$44,MATCH($C715,Employee_Master!$A$2:$A$44,0)),"Not Found")</f>
        <v>Customer Support</v>
      </c>
      <c r="F715" s="5" t="str">
        <f>IFERROR(INDEX(Employee_Master!$D$2:$D$44,MATCH($C715,Employee_Master!$A$2:$A$44,0)),"Not Found")</f>
        <v>Justin Glass</v>
      </c>
      <c r="G715" s="5" t="str">
        <f>IFERROR(INDEX(Employee_Master!$E$2:$E$44,MATCH($C715,Employee_Master!$A$2:$A$44,0)),"Not Found")</f>
        <v>West</v>
      </c>
      <c r="H715" s="5" t="str">
        <f>Sales_Data!D712</f>
        <v>P010 - Running Shoes</v>
      </c>
      <c r="I715" s="5" t="str">
        <f>IFERROR(INDEX(Product_Master!$B$2:$B$30,MATCH($H715,Product_Master!$A$2:$A$30,0)),"Invalid Product Code")</f>
        <v>Apparel</v>
      </c>
      <c r="J715" s="5">
        <f>IFERROR(INDEX(Product_Master!$C$2:$C$30,MATCH($H715,Product_Master!$A$2:$A$30,0)),0)</f>
        <v>233.71</v>
      </c>
      <c r="K715" s="5">
        <f>Sales_Data!E712</f>
        <v>5</v>
      </c>
      <c r="L715" s="5">
        <f>Sales_Data!F712</f>
        <v>1264.97</v>
      </c>
      <c r="M715" s="5">
        <f>Sales_Data!G712</f>
        <v>1276.02</v>
      </c>
      <c r="N715" s="5" t="str">
        <f>IFERROR(INDEX(Branch_Master!$B$2:$B$9,MATCH($B715,Branch_Master!$A$2:$A$9,0)),"Not Found")</f>
        <v>Mumbai</v>
      </c>
      <c r="O715" s="5" t="str">
        <f>IFERROR(INDEX(Branch_Master!$C$2:$C$9,MATCH($B715,Branch_Master!$A$2:$A$9,0)),"Not Found")</f>
        <v>Maharashtra</v>
      </c>
      <c r="P715" s="5">
        <f>IFERROR(INDEX(Targets!$B$2:$B$9,MATCH($B715,Targets!$A$2:$A$9,0)),0)</f>
        <v>900000</v>
      </c>
      <c r="Q715" s="5" t="str">
        <f t="shared" si="22"/>
        <v>No</v>
      </c>
      <c r="R715" s="5" t="str">
        <f t="shared" si="23"/>
        <v>Sep</v>
      </c>
    </row>
    <row r="716" spans="1:18" ht="15" customHeight="1" x14ac:dyDescent="0.3">
      <c r="A716" s="5" t="str">
        <f>Sales_Data!A713</f>
        <v>2025-09-20</v>
      </c>
      <c r="B716" s="5" t="str">
        <f>Sales_Data!B713</f>
        <v>Bangalore North</v>
      </c>
      <c r="C716" s="5" t="str">
        <f>Sales_Data!C713</f>
        <v>E038</v>
      </c>
      <c r="D716" s="5" t="str">
        <f>IFERROR(INDEX(Employee_Master!$B$2:$B$44,MATCH($C716,Employee_Master!$A$2:$A$44,0)),"Not Found")</f>
        <v>Derrick Griffin</v>
      </c>
      <c r="E716" s="5" t="str">
        <f>IFERROR(INDEX(Employee_Master!$C$2:$C$44,MATCH($C716,Employee_Master!$A$2:$A$44,0)),"Not Found")</f>
        <v>Marketing</v>
      </c>
      <c r="F716" s="5" t="str">
        <f>IFERROR(INDEX(Employee_Master!$D$2:$D$44,MATCH($C716,Employee_Master!$A$2:$A$44,0)),"Not Found")</f>
        <v>Jose Soto</v>
      </c>
      <c r="G716" s="5" t="str">
        <f>IFERROR(INDEX(Employee_Master!$E$2:$E$44,MATCH($C716,Employee_Master!$A$2:$A$44,0)),"Not Found")</f>
        <v>South</v>
      </c>
      <c r="H716" s="5" t="str">
        <f>Sales_Data!D713</f>
        <v>P024 - Hair Serum</v>
      </c>
      <c r="I716" s="5" t="str">
        <f>IFERROR(INDEX(Product_Master!$B$2:$B$30,MATCH($H716,Product_Master!$A$2:$A$30,0)),"Invalid Product Code")</f>
        <v>Beauty</v>
      </c>
      <c r="J716" s="5">
        <f>IFERROR(INDEX(Product_Master!$C$2:$C$30,MATCH($H716,Product_Master!$A$2:$A$30,0)),0)</f>
        <v>1457.31</v>
      </c>
      <c r="K716" s="5">
        <f>Sales_Data!E713</f>
        <v>10</v>
      </c>
      <c r="L716" s="5">
        <f>Sales_Data!F713</f>
        <v>13854.88</v>
      </c>
      <c r="M716" s="5">
        <f>Sales_Data!G713</f>
        <v>14150.67</v>
      </c>
      <c r="N716" s="5" t="str">
        <f>IFERROR(INDEX(Branch_Master!$B$2:$B$9,MATCH($B716,Branch_Master!$A$2:$A$9,0)),"Not Found")</f>
        <v>Bangalore</v>
      </c>
      <c r="O716" s="5" t="str">
        <f>IFERROR(INDEX(Branch_Master!$C$2:$C$9,MATCH($B716,Branch_Master!$A$2:$A$9,0)),"Not Found")</f>
        <v>Karnataka</v>
      </c>
      <c r="P716" s="5">
        <f>IFERROR(INDEX(Targets!$B$2:$B$9,MATCH($B716,Targets!$A$2:$A$9,0)),0)</f>
        <v>900000</v>
      </c>
      <c r="Q716" s="5" t="str">
        <f t="shared" si="22"/>
        <v>No</v>
      </c>
      <c r="R716" s="5" t="str">
        <f t="shared" si="23"/>
        <v>Sep</v>
      </c>
    </row>
    <row r="717" spans="1:18" ht="15" customHeight="1" x14ac:dyDescent="0.3">
      <c r="A717" s="5" t="str">
        <f>Sales_Data!A714</f>
        <v>2025-09-20</v>
      </c>
      <c r="B717" s="5" t="str">
        <f>Sales_Data!B714</f>
        <v>Hyderabad Hitech</v>
      </c>
      <c r="C717" s="5" t="str">
        <f>Sales_Data!C714</f>
        <v>E026</v>
      </c>
      <c r="D717" s="5" t="str">
        <f>IFERROR(INDEX(Employee_Master!$B$2:$B$44,MATCH($C717,Employee_Master!$A$2:$A$44,0)),"Not Found")</f>
        <v>Karen Andrews</v>
      </c>
      <c r="E717" s="5" t="str">
        <f>IFERROR(INDEX(Employee_Master!$C$2:$C$44,MATCH($C717,Employee_Master!$A$2:$A$44,0)),"Not Found")</f>
        <v>Marketing</v>
      </c>
      <c r="F717" s="5" t="str">
        <f>IFERROR(INDEX(Employee_Master!$D$2:$D$44,MATCH($C717,Employee_Master!$A$2:$A$44,0)),"Not Found")</f>
        <v>Anna Turner</v>
      </c>
      <c r="G717" s="5" t="str">
        <f>IFERROR(INDEX(Employee_Master!$E$2:$E$44,MATCH($C717,Employee_Master!$A$2:$A$44,0)),"Not Found")</f>
        <v>South</v>
      </c>
      <c r="H717" s="5" t="str">
        <f>Sales_Data!D714</f>
        <v>P007 - Cotton T-Shirt</v>
      </c>
      <c r="I717" s="5" t="str">
        <f>IFERROR(INDEX(Product_Master!$B$2:$B$30,MATCH($H717,Product_Master!$A$2:$A$30,0)),"Invalid Product Code")</f>
        <v>Apparel</v>
      </c>
      <c r="J717" s="5">
        <f>IFERROR(INDEX(Product_Master!$C$2:$C$30,MATCH($H717,Product_Master!$A$2:$A$30,0)),0)</f>
        <v>338.44</v>
      </c>
      <c r="K717" s="5">
        <f>Sales_Data!E714</f>
        <v>4</v>
      </c>
      <c r="L717" s="5">
        <f>Sales_Data!F714</f>
        <v>1222.68</v>
      </c>
      <c r="M717" s="5">
        <f>Sales_Data!G714</f>
        <v>1162.3399999999999</v>
      </c>
      <c r="N717" s="5" t="str">
        <f>IFERROR(INDEX(Branch_Master!$B$2:$B$9,MATCH($B717,Branch_Master!$A$2:$A$9,0)),"Not Found")</f>
        <v>Hyderabad</v>
      </c>
      <c r="O717" s="5" t="str">
        <f>IFERROR(INDEX(Branch_Master!$C$2:$C$9,MATCH($B717,Branch_Master!$A$2:$A$9,0)),"Not Found")</f>
        <v>Telangana</v>
      </c>
      <c r="P717" s="5">
        <f>IFERROR(INDEX(Targets!$B$2:$B$9,MATCH($B717,Targets!$A$2:$A$9,0)),0)</f>
        <v>1210000</v>
      </c>
      <c r="Q717" s="5" t="str">
        <f t="shared" si="22"/>
        <v>Yes</v>
      </c>
      <c r="R717" s="5" t="str">
        <f t="shared" si="23"/>
        <v>Sep</v>
      </c>
    </row>
    <row r="718" spans="1:18" ht="15" customHeight="1" x14ac:dyDescent="0.3">
      <c r="A718" s="5" t="str">
        <f>Sales_Data!A715</f>
        <v>2025-09-21</v>
      </c>
      <c r="B718" s="5" t="str">
        <f>Sales_Data!B715</f>
        <v>Bangalore North</v>
      </c>
      <c r="C718" s="5" t="str">
        <f>Sales_Data!C715</f>
        <v>E003</v>
      </c>
      <c r="D718" s="5" t="str">
        <f>IFERROR(INDEX(Employee_Master!$B$2:$B$44,MATCH($C718,Employee_Master!$A$2:$A$44,0)),"Not Found")</f>
        <v>Margaret Porter</v>
      </c>
      <c r="E718" s="5" t="str">
        <f>IFERROR(INDEX(Employee_Master!$C$2:$C$44,MATCH($C718,Employee_Master!$A$2:$A$44,0)),"Not Found")</f>
        <v>Customer Support</v>
      </c>
      <c r="F718" s="5" t="str">
        <f>IFERROR(INDEX(Employee_Master!$D$2:$D$44,MATCH($C718,Employee_Master!$A$2:$A$44,0)),"Not Found")</f>
        <v>Jose Soto</v>
      </c>
      <c r="G718" s="5" t="str">
        <f>IFERROR(INDEX(Employee_Master!$E$2:$E$44,MATCH($C718,Employee_Master!$A$2:$A$44,0)),"Not Found")</f>
        <v>South</v>
      </c>
      <c r="H718" s="5" t="str">
        <f>Sales_Data!D715</f>
        <v>P003 - Bluetooth Speaker</v>
      </c>
      <c r="I718" s="5" t="str">
        <f>IFERROR(INDEX(Product_Master!$B$2:$B$30,MATCH($H718,Product_Master!$A$2:$A$30,0)),"Invalid Product Code")</f>
        <v>Electronics</v>
      </c>
      <c r="J718" s="5">
        <f>IFERROR(INDEX(Product_Master!$C$2:$C$30,MATCH($H718,Product_Master!$A$2:$A$30,0)),0)</f>
        <v>351.01</v>
      </c>
      <c r="K718" s="5">
        <f>Sales_Data!E715</f>
        <v>2</v>
      </c>
      <c r="L718" s="5">
        <f>Sales_Data!F715</f>
        <v>756.16</v>
      </c>
      <c r="M718" s="5">
        <f>Sales_Data!G715</f>
        <v>662.04</v>
      </c>
      <c r="N718" s="5" t="str">
        <f>IFERROR(INDEX(Branch_Master!$B$2:$B$9,MATCH($B718,Branch_Master!$A$2:$A$9,0)),"Not Found")</f>
        <v>Bangalore</v>
      </c>
      <c r="O718" s="5" t="str">
        <f>IFERROR(INDEX(Branch_Master!$C$2:$C$9,MATCH($B718,Branch_Master!$A$2:$A$9,0)),"Not Found")</f>
        <v>Karnataka</v>
      </c>
      <c r="P718" s="5">
        <f>IFERROR(INDEX(Targets!$B$2:$B$9,MATCH($B718,Targets!$A$2:$A$9,0)),0)</f>
        <v>900000</v>
      </c>
      <c r="Q718" s="5" t="str">
        <f t="shared" si="22"/>
        <v>Yes</v>
      </c>
      <c r="R718" s="5" t="str">
        <f t="shared" si="23"/>
        <v>Sep</v>
      </c>
    </row>
    <row r="719" spans="1:18" ht="15" customHeight="1" x14ac:dyDescent="0.3">
      <c r="A719" s="5" t="str">
        <f>Sales_Data!A716</f>
        <v>2025-09-22</v>
      </c>
      <c r="B719" s="5" t="str">
        <f>Sales_Data!B716</f>
        <v>Bangalore North</v>
      </c>
      <c r="C719" s="5" t="str">
        <f>Sales_Data!C716</f>
        <v>E040</v>
      </c>
      <c r="D719" s="5" t="str">
        <f>IFERROR(INDEX(Employee_Master!$B$2:$B$44,MATCH($C719,Employee_Master!$A$2:$A$44,0)),"Not Found")</f>
        <v>Bonnie Cox</v>
      </c>
      <c r="E719" s="5" t="str">
        <f>IFERROR(INDEX(Employee_Master!$C$2:$C$44,MATCH($C719,Employee_Master!$A$2:$A$44,0)),"Not Found")</f>
        <v>Customer Support</v>
      </c>
      <c r="F719" s="5" t="str">
        <f>IFERROR(INDEX(Employee_Master!$D$2:$D$44,MATCH($C719,Employee_Master!$A$2:$A$44,0)),"Not Found")</f>
        <v>Jose Soto</v>
      </c>
      <c r="G719" s="5" t="str">
        <f>IFERROR(INDEX(Employee_Master!$E$2:$E$44,MATCH($C719,Employee_Master!$A$2:$A$44,0)),"Not Found")</f>
        <v>South</v>
      </c>
      <c r="H719" s="5" t="str">
        <f>Sales_Data!D716</f>
        <v>P009 - Formal Shirt</v>
      </c>
      <c r="I719" s="5" t="str">
        <f>IFERROR(INDEX(Product_Master!$B$2:$B$30,MATCH($H719,Product_Master!$A$2:$A$30,0)),"Invalid Product Code")</f>
        <v>Apparel</v>
      </c>
      <c r="J719" s="5">
        <f>IFERROR(INDEX(Product_Master!$C$2:$C$30,MATCH($H719,Product_Master!$A$2:$A$30,0)),0)</f>
        <v>661.65</v>
      </c>
      <c r="K719" s="5">
        <f>Sales_Data!E716</f>
        <v>9</v>
      </c>
      <c r="L719" s="5">
        <f>Sales_Data!F716</f>
        <v>5996.03</v>
      </c>
      <c r="M719" s="5">
        <f>Sales_Data!G716</f>
        <v>5330.76</v>
      </c>
      <c r="N719" s="5" t="str">
        <f>IFERROR(INDEX(Branch_Master!$B$2:$B$9,MATCH($B719,Branch_Master!$A$2:$A$9,0)),"Not Found")</f>
        <v>Bangalore</v>
      </c>
      <c r="O719" s="5" t="str">
        <f>IFERROR(INDEX(Branch_Master!$C$2:$C$9,MATCH($B719,Branch_Master!$A$2:$A$9,0)),"Not Found")</f>
        <v>Karnataka</v>
      </c>
      <c r="P719" s="5">
        <f>IFERROR(INDEX(Targets!$B$2:$B$9,MATCH($B719,Targets!$A$2:$A$9,0)),0)</f>
        <v>900000</v>
      </c>
      <c r="Q719" s="5" t="str">
        <f t="shared" si="22"/>
        <v>Yes</v>
      </c>
      <c r="R719" s="5" t="str">
        <f t="shared" si="23"/>
        <v>Sep</v>
      </c>
    </row>
    <row r="720" spans="1:18" ht="15" customHeight="1" x14ac:dyDescent="0.3">
      <c r="A720" s="5" t="str">
        <f>Sales_Data!A717</f>
        <v>2025-09-22</v>
      </c>
      <c r="B720" s="5" t="str">
        <f>Sales_Data!B717</f>
        <v>Hyderabad Hitech</v>
      </c>
      <c r="C720" s="5" t="str">
        <f>Sales_Data!C717</f>
        <v>E011</v>
      </c>
      <c r="D720" s="5" t="str">
        <f>IFERROR(INDEX(Employee_Master!$B$2:$B$44,MATCH($C720,Employee_Master!$A$2:$A$44,0)),"Not Found")</f>
        <v>Mark Osborne</v>
      </c>
      <c r="E720" s="5" t="str">
        <f>IFERROR(INDEX(Employee_Master!$C$2:$C$44,MATCH($C720,Employee_Master!$A$2:$A$44,0)),"Not Found")</f>
        <v>Marketing</v>
      </c>
      <c r="F720" s="5" t="str">
        <f>IFERROR(INDEX(Employee_Master!$D$2:$D$44,MATCH($C720,Employee_Master!$A$2:$A$44,0)),"Not Found")</f>
        <v>Anna Turner</v>
      </c>
      <c r="G720" s="5" t="str">
        <f>IFERROR(INDEX(Employee_Master!$E$2:$E$44,MATCH($C720,Employee_Master!$A$2:$A$44,0)),"Not Found")</f>
        <v>South</v>
      </c>
      <c r="H720" s="5" t="str">
        <f>Sales_Data!D717</f>
        <v>P012 - Non-Stick Pan</v>
      </c>
      <c r="I720" s="5" t="str">
        <f>IFERROR(INDEX(Product_Master!$B$2:$B$30,MATCH($H720,Product_Master!$A$2:$A$30,0)),"Invalid Product Code")</f>
        <v>Home &amp; Kitchen</v>
      </c>
      <c r="J720" s="5">
        <f>IFERROR(INDEX(Product_Master!$C$2:$C$30,MATCH($H720,Product_Master!$A$2:$A$30,0)),0)</f>
        <v>353.18</v>
      </c>
      <c r="K720" s="5">
        <f>Sales_Data!E717</f>
        <v>6</v>
      </c>
      <c r="L720" s="5">
        <f>Sales_Data!F717</f>
        <v>1917.39</v>
      </c>
      <c r="M720" s="5">
        <f>Sales_Data!G717</f>
        <v>2231.61</v>
      </c>
      <c r="N720" s="5" t="str">
        <f>IFERROR(INDEX(Branch_Master!$B$2:$B$9,MATCH($B720,Branch_Master!$A$2:$A$9,0)),"Not Found")</f>
        <v>Hyderabad</v>
      </c>
      <c r="O720" s="5" t="str">
        <f>IFERROR(INDEX(Branch_Master!$C$2:$C$9,MATCH($B720,Branch_Master!$A$2:$A$9,0)),"Not Found")</f>
        <v>Telangana</v>
      </c>
      <c r="P720" s="5">
        <f>IFERROR(INDEX(Targets!$B$2:$B$9,MATCH($B720,Targets!$A$2:$A$9,0)),0)</f>
        <v>1210000</v>
      </c>
      <c r="Q720" s="5" t="str">
        <f t="shared" si="22"/>
        <v>No</v>
      </c>
      <c r="R720" s="5" t="str">
        <f t="shared" si="23"/>
        <v>Sep</v>
      </c>
    </row>
    <row r="721" spans="1:18" ht="15" customHeight="1" x14ac:dyDescent="0.3">
      <c r="A721" s="5" t="str">
        <f>Sales_Data!A718</f>
        <v>2025-09-22</v>
      </c>
      <c r="B721" s="5" t="str">
        <f>Sales_Data!B718</f>
        <v>Hyderabad Hitech</v>
      </c>
      <c r="C721" s="5" t="str">
        <f>Sales_Data!C718</f>
        <v>E020</v>
      </c>
      <c r="D721" s="5" t="str">
        <f>IFERROR(INDEX(Employee_Master!$B$2:$B$44,MATCH($C721,Employee_Master!$A$2:$A$44,0)),"Not Found")</f>
        <v>Christine Long</v>
      </c>
      <c r="E721" s="5" t="str">
        <f>IFERROR(INDEX(Employee_Master!$C$2:$C$44,MATCH($C721,Employee_Master!$A$2:$A$44,0)),"Not Found")</f>
        <v>Operations</v>
      </c>
      <c r="F721" s="5" t="str">
        <f>IFERROR(INDEX(Employee_Master!$D$2:$D$44,MATCH($C721,Employee_Master!$A$2:$A$44,0)),"Not Found")</f>
        <v>Anna Turner</v>
      </c>
      <c r="G721" s="5" t="str">
        <f>IFERROR(INDEX(Employee_Master!$E$2:$E$44,MATCH($C721,Employee_Master!$A$2:$A$44,0)),"Not Found")</f>
        <v>South</v>
      </c>
      <c r="H721" s="5" t="str">
        <f>Sales_Data!D718</f>
        <v>P029 - Dumbbell Set 10kg</v>
      </c>
      <c r="I721" s="5" t="str">
        <f>IFERROR(INDEX(Product_Master!$B$2:$B$30,MATCH($H721,Product_Master!$A$2:$A$30,0)),"Invalid Product Code")</f>
        <v>Sports</v>
      </c>
      <c r="J721" s="5">
        <f>IFERROR(INDEX(Product_Master!$C$2:$C$30,MATCH($H721,Product_Master!$A$2:$A$30,0)),0)</f>
        <v>435</v>
      </c>
      <c r="K721" s="5">
        <f>Sales_Data!E718</f>
        <v>3</v>
      </c>
      <c r="L721" s="5">
        <f>Sales_Data!F718</f>
        <v>1348.6</v>
      </c>
      <c r="M721" s="5">
        <f>Sales_Data!G718</f>
        <v>1217.6300000000001</v>
      </c>
      <c r="N721" s="5" t="str">
        <f>IFERROR(INDEX(Branch_Master!$B$2:$B$9,MATCH($B721,Branch_Master!$A$2:$A$9,0)),"Not Found")</f>
        <v>Hyderabad</v>
      </c>
      <c r="O721" s="5" t="str">
        <f>IFERROR(INDEX(Branch_Master!$C$2:$C$9,MATCH($B721,Branch_Master!$A$2:$A$9,0)),"Not Found")</f>
        <v>Telangana</v>
      </c>
      <c r="P721" s="5">
        <f>IFERROR(INDEX(Targets!$B$2:$B$9,MATCH($B721,Targets!$A$2:$A$9,0)),0)</f>
        <v>1210000</v>
      </c>
      <c r="Q721" s="5" t="str">
        <f t="shared" si="22"/>
        <v>Yes</v>
      </c>
      <c r="R721" s="5" t="str">
        <f t="shared" si="23"/>
        <v>Sep</v>
      </c>
    </row>
    <row r="722" spans="1:18" ht="15" customHeight="1" x14ac:dyDescent="0.3">
      <c r="A722" s="5" t="str">
        <f>Sales_Data!A719</f>
        <v>2025-09-22</v>
      </c>
      <c r="B722" s="5" t="str">
        <f>Sales_Data!B719</f>
        <v>Mumbai Central</v>
      </c>
      <c r="C722" s="5" t="str">
        <f>Sales_Data!C719</f>
        <v>E036</v>
      </c>
      <c r="D722" s="5" t="str">
        <f>IFERROR(INDEX(Employee_Master!$B$2:$B$44,MATCH($C722,Employee_Master!$A$2:$A$44,0)),"Not Found")</f>
        <v>Sarah Mendez</v>
      </c>
      <c r="E722" s="5" t="str">
        <f>IFERROR(INDEX(Employee_Master!$C$2:$C$44,MATCH($C722,Employee_Master!$A$2:$A$44,0)),"Not Found")</f>
        <v>Sales</v>
      </c>
      <c r="F722" s="5" t="str">
        <f>IFERROR(INDEX(Employee_Master!$D$2:$D$44,MATCH($C722,Employee_Master!$A$2:$A$44,0)),"Not Found")</f>
        <v>Justin Glass</v>
      </c>
      <c r="G722" s="5" t="str">
        <f>IFERROR(INDEX(Employee_Master!$E$2:$E$44,MATCH($C722,Employee_Master!$A$2:$A$44,0)),"Not Found")</f>
        <v>West</v>
      </c>
      <c r="H722" s="5" t="str">
        <f>Sales_Data!D719</f>
        <v>P018 - Cooking Oil 1L</v>
      </c>
      <c r="I722" s="5" t="str">
        <f>IFERROR(INDEX(Product_Master!$B$2:$B$30,MATCH($H722,Product_Master!$A$2:$A$30,0)),"Invalid Product Code")</f>
        <v>Grocery</v>
      </c>
      <c r="J722" s="5">
        <f>IFERROR(INDEX(Product_Master!$C$2:$C$30,MATCH($H722,Product_Master!$A$2:$A$30,0)),0)</f>
        <v>1483.63</v>
      </c>
      <c r="K722" s="5">
        <f>Sales_Data!E719</f>
        <v>10</v>
      </c>
      <c r="L722" s="5">
        <f>Sales_Data!F719</f>
        <v>15010.46</v>
      </c>
      <c r="M722" s="5">
        <f>Sales_Data!G719</f>
        <v>16564.78</v>
      </c>
      <c r="N722" s="5" t="str">
        <f>IFERROR(INDEX(Branch_Master!$B$2:$B$9,MATCH($B722,Branch_Master!$A$2:$A$9,0)),"Not Found")</f>
        <v>Mumbai</v>
      </c>
      <c r="O722" s="5" t="str">
        <f>IFERROR(INDEX(Branch_Master!$C$2:$C$9,MATCH($B722,Branch_Master!$A$2:$A$9,0)),"Not Found")</f>
        <v>Maharashtra</v>
      </c>
      <c r="P722" s="5">
        <f>IFERROR(INDEX(Targets!$B$2:$B$9,MATCH($B722,Targets!$A$2:$A$9,0)),0)</f>
        <v>900000</v>
      </c>
      <c r="Q722" s="5" t="str">
        <f t="shared" si="22"/>
        <v>No</v>
      </c>
      <c r="R722" s="5" t="str">
        <f t="shared" si="23"/>
        <v>Sep</v>
      </c>
    </row>
    <row r="723" spans="1:18" ht="15" customHeight="1" x14ac:dyDescent="0.3">
      <c r="A723" s="5" t="str">
        <f>Sales_Data!A720</f>
        <v>2025-09-22</v>
      </c>
      <c r="B723" s="5" t="str">
        <f>Sales_Data!B720</f>
        <v>Kolkata Central</v>
      </c>
      <c r="C723" s="5" t="str">
        <f>Sales_Data!C720</f>
        <v>E029</v>
      </c>
      <c r="D723" s="5" t="str">
        <f>IFERROR(INDEX(Employee_Master!$B$2:$B$44,MATCH($C723,Employee_Master!$A$2:$A$44,0)),"Not Found")</f>
        <v>Patrick Shepard</v>
      </c>
      <c r="E723" s="5" t="str">
        <f>IFERROR(INDEX(Employee_Master!$C$2:$C$44,MATCH($C723,Employee_Master!$A$2:$A$44,0)),"Not Found")</f>
        <v>Sales</v>
      </c>
      <c r="F723" s="5" t="str">
        <f>IFERROR(INDEX(Employee_Master!$D$2:$D$44,MATCH($C723,Employee_Master!$A$2:$A$44,0)),"Not Found")</f>
        <v>Lisa Moore</v>
      </c>
      <c r="G723" s="5" t="str">
        <f>IFERROR(INDEX(Employee_Master!$E$2:$E$44,MATCH($C723,Employee_Master!$A$2:$A$44,0)),"Not Found")</f>
        <v>East</v>
      </c>
      <c r="H723" s="5" t="str">
        <f>Sales_Data!D720</f>
        <v>P014 - Air Fryer</v>
      </c>
      <c r="I723" s="5" t="str">
        <f>IFERROR(INDEX(Product_Master!$B$2:$B$30,MATCH($H723,Product_Master!$A$2:$A$30,0)),"Invalid Product Code")</f>
        <v>Home &amp; Kitchen</v>
      </c>
      <c r="J723" s="5">
        <f>IFERROR(INDEX(Product_Master!$C$2:$C$30,MATCH($H723,Product_Master!$A$2:$A$30,0)),0)</f>
        <v>729.85</v>
      </c>
      <c r="K723" s="5">
        <f>Sales_Data!E720</f>
        <v>9</v>
      </c>
      <c r="L723" s="5">
        <f>Sales_Data!F720</f>
        <v>6802.24</v>
      </c>
      <c r="M723" s="5">
        <f>Sales_Data!G720</f>
        <v>6751.44</v>
      </c>
      <c r="N723" s="5" t="str">
        <f>IFERROR(INDEX(Branch_Master!$B$2:$B$9,MATCH($B723,Branch_Master!$A$2:$A$9,0)),"Not Found")</f>
        <v>Kolkata</v>
      </c>
      <c r="O723" s="5" t="str">
        <f>IFERROR(INDEX(Branch_Master!$C$2:$C$9,MATCH($B723,Branch_Master!$A$2:$A$9,0)),"Not Found")</f>
        <v>West Bengal</v>
      </c>
      <c r="P723" s="5">
        <f>IFERROR(INDEX(Targets!$B$2:$B$9,MATCH($B723,Targets!$A$2:$A$9,0)),0)</f>
        <v>1910000</v>
      </c>
      <c r="Q723" s="5" t="str">
        <f t="shared" si="22"/>
        <v>Yes</v>
      </c>
      <c r="R723" s="5" t="str">
        <f t="shared" si="23"/>
        <v>Sep</v>
      </c>
    </row>
    <row r="724" spans="1:18" ht="15" customHeight="1" x14ac:dyDescent="0.3">
      <c r="A724" s="5" t="str">
        <f>Sales_Data!A721</f>
        <v>2025-09-23</v>
      </c>
      <c r="B724" s="5" t="str">
        <f>Sales_Data!B721</f>
        <v>Bangalore North</v>
      </c>
      <c r="C724" s="5" t="str">
        <f>Sales_Data!C721</f>
        <v>E040</v>
      </c>
      <c r="D724" s="5" t="str">
        <f>IFERROR(INDEX(Employee_Master!$B$2:$B$44,MATCH($C724,Employee_Master!$A$2:$A$44,0)),"Not Found")</f>
        <v>Bonnie Cox</v>
      </c>
      <c r="E724" s="5" t="str">
        <f>IFERROR(INDEX(Employee_Master!$C$2:$C$44,MATCH($C724,Employee_Master!$A$2:$A$44,0)),"Not Found")</f>
        <v>Customer Support</v>
      </c>
      <c r="F724" s="5" t="str">
        <f>IFERROR(INDEX(Employee_Master!$D$2:$D$44,MATCH($C724,Employee_Master!$A$2:$A$44,0)),"Not Found")</f>
        <v>Jose Soto</v>
      </c>
      <c r="G724" s="5" t="str">
        <f>IFERROR(INDEX(Employee_Master!$E$2:$E$44,MATCH($C724,Employee_Master!$A$2:$A$44,0)),"Not Found")</f>
        <v>South</v>
      </c>
      <c r="H724" s="5" t="str">
        <f>Sales_Data!D721</f>
        <v>P018 - Cooking Oil 1L</v>
      </c>
      <c r="I724" s="5" t="str">
        <f>IFERROR(INDEX(Product_Master!$B$2:$B$30,MATCH($H724,Product_Master!$A$2:$A$30,0)),"Invalid Product Code")</f>
        <v>Grocery</v>
      </c>
      <c r="J724" s="5">
        <f>IFERROR(INDEX(Product_Master!$C$2:$C$30,MATCH($H724,Product_Master!$A$2:$A$30,0)),0)</f>
        <v>1483.63</v>
      </c>
      <c r="K724" s="5">
        <f>Sales_Data!E721</f>
        <v>5</v>
      </c>
      <c r="L724" s="5">
        <f>Sales_Data!F721</f>
        <v>7055.45</v>
      </c>
      <c r="M724" s="5">
        <f>Sales_Data!G721</f>
        <v>7352.41</v>
      </c>
      <c r="N724" s="5" t="str">
        <f>IFERROR(INDEX(Branch_Master!$B$2:$B$9,MATCH($B724,Branch_Master!$A$2:$A$9,0)),"Not Found")</f>
        <v>Bangalore</v>
      </c>
      <c r="O724" s="5" t="str">
        <f>IFERROR(INDEX(Branch_Master!$C$2:$C$9,MATCH($B724,Branch_Master!$A$2:$A$9,0)),"Not Found")</f>
        <v>Karnataka</v>
      </c>
      <c r="P724" s="5">
        <f>IFERROR(INDEX(Targets!$B$2:$B$9,MATCH($B724,Targets!$A$2:$A$9,0)),0)</f>
        <v>900000</v>
      </c>
      <c r="Q724" s="5" t="str">
        <f t="shared" si="22"/>
        <v>No</v>
      </c>
      <c r="R724" s="5" t="str">
        <f t="shared" si="23"/>
        <v>Sep</v>
      </c>
    </row>
    <row r="725" spans="1:18" ht="15" customHeight="1" x14ac:dyDescent="0.3">
      <c r="A725" s="5" t="str">
        <f>Sales_Data!A722</f>
        <v>2025-09-23</v>
      </c>
      <c r="B725" s="5" t="str">
        <f>Sales_Data!B722</f>
        <v>Mumbai Central</v>
      </c>
      <c r="C725" s="5" t="str">
        <f>Sales_Data!C722</f>
        <v>E016</v>
      </c>
      <c r="D725" s="5" t="str">
        <f>IFERROR(INDEX(Employee_Master!$B$2:$B$44,MATCH($C725,Employee_Master!$A$2:$A$44,0)),"Not Found")</f>
        <v>Connor Dennis</v>
      </c>
      <c r="E725" s="5" t="str">
        <f>IFERROR(INDEX(Employee_Master!$C$2:$C$44,MATCH($C725,Employee_Master!$A$2:$A$44,0)),"Not Found")</f>
        <v>Sales</v>
      </c>
      <c r="F725" s="5" t="str">
        <f>IFERROR(INDEX(Employee_Master!$D$2:$D$44,MATCH($C725,Employee_Master!$A$2:$A$44,0)),"Not Found")</f>
        <v>Justin Glass</v>
      </c>
      <c r="G725" s="5" t="str">
        <f>IFERROR(INDEX(Employee_Master!$E$2:$E$44,MATCH($C725,Employee_Master!$A$2:$A$44,0)),"Not Found")</f>
        <v>West</v>
      </c>
      <c r="H725" s="5" t="str">
        <f>Sales_Data!D722</f>
        <v>P013 - Mixer Grinder</v>
      </c>
      <c r="I725" s="5" t="str">
        <f>IFERROR(INDEX(Product_Master!$B$2:$B$30,MATCH($H725,Product_Master!$A$2:$A$30,0)),"Invalid Product Code")</f>
        <v>Home &amp; Kitchen</v>
      </c>
      <c r="J725" s="5">
        <f>IFERROR(INDEX(Product_Master!$C$2:$C$30,MATCH($H725,Product_Master!$A$2:$A$30,0)),0)</f>
        <v>798.53</v>
      </c>
      <c r="K725" s="5">
        <f>Sales_Data!E722</f>
        <v>10</v>
      </c>
      <c r="L725" s="5">
        <f>Sales_Data!F722</f>
        <v>7567.35</v>
      </c>
      <c r="M725" s="5">
        <f>Sales_Data!G722</f>
        <v>6885.3</v>
      </c>
      <c r="N725" s="5" t="str">
        <f>IFERROR(INDEX(Branch_Master!$B$2:$B$9,MATCH($B725,Branch_Master!$A$2:$A$9,0)),"Not Found")</f>
        <v>Mumbai</v>
      </c>
      <c r="O725" s="5" t="str">
        <f>IFERROR(INDEX(Branch_Master!$C$2:$C$9,MATCH($B725,Branch_Master!$A$2:$A$9,0)),"Not Found")</f>
        <v>Maharashtra</v>
      </c>
      <c r="P725" s="5">
        <f>IFERROR(INDEX(Targets!$B$2:$B$9,MATCH($B725,Targets!$A$2:$A$9,0)),0)</f>
        <v>900000</v>
      </c>
      <c r="Q725" s="5" t="str">
        <f t="shared" si="22"/>
        <v>Yes</v>
      </c>
      <c r="R725" s="5" t="str">
        <f t="shared" si="23"/>
        <v>Sep</v>
      </c>
    </row>
    <row r="726" spans="1:18" ht="15" customHeight="1" x14ac:dyDescent="0.3">
      <c r="A726" s="5" t="str">
        <f>Sales_Data!A723</f>
        <v>2025-09-23</v>
      </c>
      <c r="B726" s="5" t="str">
        <f>Sales_Data!B723</f>
        <v>Bangalore North</v>
      </c>
      <c r="C726" s="5" t="str">
        <f>Sales_Data!C723</f>
        <v>E006</v>
      </c>
      <c r="D726" s="5" t="str">
        <f>IFERROR(INDEX(Employee_Master!$B$2:$B$44,MATCH($C726,Employee_Master!$A$2:$A$44,0)),"Not Found")</f>
        <v>Dylan Jones</v>
      </c>
      <c r="E726" s="5" t="str">
        <f>IFERROR(INDEX(Employee_Master!$C$2:$C$44,MATCH($C726,Employee_Master!$A$2:$A$44,0)),"Not Found")</f>
        <v>Sales</v>
      </c>
      <c r="F726" s="5" t="str">
        <f>IFERROR(INDEX(Employee_Master!$D$2:$D$44,MATCH($C726,Employee_Master!$A$2:$A$44,0)),"Not Found")</f>
        <v>Jose Soto</v>
      </c>
      <c r="G726" s="5" t="str">
        <f>IFERROR(INDEX(Employee_Master!$E$2:$E$44,MATCH($C726,Employee_Master!$A$2:$A$44,0)),"Not Found")</f>
        <v>South</v>
      </c>
      <c r="H726" s="5" t="str">
        <f>Sales_Data!D723</f>
        <v>P022 - Face Wash</v>
      </c>
      <c r="I726" s="5" t="str">
        <f>IFERROR(INDEX(Product_Master!$B$2:$B$30,MATCH($H726,Product_Master!$A$2:$A$30,0)),"Invalid Product Code")</f>
        <v>Beauty</v>
      </c>
      <c r="J726" s="5">
        <f>IFERROR(INDEX(Product_Master!$C$2:$C$30,MATCH($H726,Product_Master!$A$2:$A$30,0)),0)</f>
        <v>396.75</v>
      </c>
      <c r="K726" s="5">
        <f>Sales_Data!E723</f>
        <v>8</v>
      </c>
      <c r="L726" s="5">
        <f>Sales_Data!F723</f>
        <v>3172.93</v>
      </c>
      <c r="M726" s="5">
        <f>Sales_Data!G723</f>
        <v>2927.84</v>
      </c>
      <c r="N726" s="5" t="str">
        <f>IFERROR(INDEX(Branch_Master!$B$2:$B$9,MATCH($B726,Branch_Master!$A$2:$A$9,0)),"Not Found")</f>
        <v>Bangalore</v>
      </c>
      <c r="O726" s="5" t="str">
        <f>IFERROR(INDEX(Branch_Master!$C$2:$C$9,MATCH($B726,Branch_Master!$A$2:$A$9,0)),"Not Found")</f>
        <v>Karnataka</v>
      </c>
      <c r="P726" s="5">
        <f>IFERROR(INDEX(Targets!$B$2:$B$9,MATCH($B726,Targets!$A$2:$A$9,0)),0)</f>
        <v>900000</v>
      </c>
      <c r="Q726" s="5" t="str">
        <f t="shared" si="22"/>
        <v>Yes</v>
      </c>
      <c r="R726" s="5" t="str">
        <f t="shared" si="23"/>
        <v>Sep</v>
      </c>
    </row>
    <row r="727" spans="1:18" ht="15" customHeight="1" x14ac:dyDescent="0.3">
      <c r="A727" s="5" t="str">
        <f>Sales_Data!A724</f>
        <v>2025-09-24</v>
      </c>
      <c r="B727" s="5" t="str">
        <f>Sales_Data!B724</f>
        <v>Kolkata Central</v>
      </c>
      <c r="C727" s="5" t="str">
        <f>Sales_Data!C724</f>
        <v>E018</v>
      </c>
      <c r="D727" s="5" t="str">
        <f>IFERROR(INDEX(Employee_Master!$B$2:$B$44,MATCH($C727,Employee_Master!$A$2:$A$44,0)),"Not Found")</f>
        <v>Daniel Nelson</v>
      </c>
      <c r="E727" s="5" t="str">
        <f>IFERROR(INDEX(Employee_Master!$C$2:$C$44,MATCH($C727,Employee_Master!$A$2:$A$44,0)),"Not Found")</f>
        <v>Sales</v>
      </c>
      <c r="F727" s="5" t="str">
        <f>IFERROR(INDEX(Employee_Master!$D$2:$D$44,MATCH($C727,Employee_Master!$A$2:$A$44,0)),"Not Found")</f>
        <v>Lisa Moore</v>
      </c>
      <c r="G727" s="5" t="str">
        <f>IFERROR(INDEX(Employee_Master!$E$2:$E$44,MATCH($C727,Employee_Master!$A$2:$A$44,0)),"Not Found")</f>
        <v>East</v>
      </c>
      <c r="H727" s="5" t="str">
        <f>Sales_Data!D724</f>
        <v>P020 - Green Tea Pack</v>
      </c>
      <c r="I727" s="5" t="str">
        <f>IFERROR(INDEX(Product_Master!$B$2:$B$30,MATCH($H727,Product_Master!$A$2:$A$30,0)),"Invalid Product Code")</f>
        <v>Grocery</v>
      </c>
      <c r="J727" s="5">
        <f>IFERROR(INDEX(Product_Master!$C$2:$C$30,MATCH($H727,Product_Master!$A$2:$A$30,0)),0)</f>
        <v>305.39</v>
      </c>
      <c r="K727" s="5">
        <f>Sales_Data!E724</f>
        <v>7</v>
      </c>
      <c r="L727" s="5">
        <f>Sales_Data!F724</f>
        <v>2045.12</v>
      </c>
      <c r="M727" s="5">
        <f>Sales_Data!G724</f>
        <v>2397.19</v>
      </c>
      <c r="N727" s="5" t="str">
        <f>IFERROR(INDEX(Branch_Master!$B$2:$B$9,MATCH($B727,Branch_Master!$A$2:$A$9,0)),"Not Found")</f>
        <v>Kolkata</v>
      </c>
      <c r="O727" s="5" t="str">
        <f>IFERROR(INDEX(Branch_Master!$C$2:$C$9,MATCH($B727,Branch_Master!$A$2:$A$9,0)),"Not Found")</f>
        <v>West Bengal</v>
      </c>
      <c r="P727" s="5">
        <f>IFERROR(INDEX(Targets!$B$2:$B$9,MATCH($B727,Targets!$A$2:$A$9,0)),0)</f>
        <v>1910000</v>
      </c>
      <c r="Q727" s="5" t="str">
        <f t="shared" si="22"/>
        <v>No</v>
      </c>
      <c r="R727" s="5" t="str">
        <f t="shared" si="23"/>
        <v>Sep</v>
      </c>
    </row>
    <row r="728" spans="1:18" ht="15" customHeight="1" x14ac:dyDescent="0.3">
      <c r="A728" s="5" t="str">
        <f>Sales_Data!A725</f>
        <v>2025-09-24</v>
      </c>
      <c r="B728" s="5" t="str">
        <f>Sales_Data!B725</f>
        <v>Kolkata Central</v>
      </c>
      <c r="C728" s="5" t="str">
        <f>Sales_Data!C725</f>
        <v>E029</v>
      </c>
      <c r="D728" s="5" t="str">
        <f>IFERROR(INDEX(Employee_Master!$B$2:$B$44,MATCH($C728,Employee_Master!$A$2:$A$44,0)),"Not Found")</f>
        <v>Patrick Shepard</v>
      </c>
      <c r="E728" s="5" t="str">
        <f>IFERROR(INDEX(Employee_Master!$C$2:$C$44,MATCH($C728,Employee_Master!$A$2:$A$44,0)),"Not Found")</f>
        <v>Sales</v>
      </c>
      <c r="F728" s="5" t="str">
        <f>IFERROR(INDEX(Employee_Master!$D$2:$D$44,MATCH($C728,Employee_Master!$A$2:$A$44,0)),"Not Found")</f>
        <v>Lisa Moore</v>
      </c>
      <c r="G728" s="5" t="str">
        <f>IFERROR(INDEX(Employee_Master!$E$2:$E$44,MATCH($C728,Employee_Master!$A$2:$A$44,0)),"Not Found")</f>
        <v>East</v>
      </c>
      <c r="H728" s="5" t="str">
        <f>Sales_Data!D725</f>
        <v>P019 - Organic Honey</v>
      </c>
      <c r="I728" s="5" t="str">
        <f>IFERROR(INDEX(Product_Master!$B$2:$B$30,MATCH($H728,Product_Master!$A$2:$A$30,0)),"Invalid Product Code")</f>
        <v>Grocery</v>
      </c>
      <c r="J728" s="5">
        <f>IFERROR(INDEX(Product_Master!$C$2:$C$30,MATCH($H728,Product_Master!$A$2:$A$30,0)),0)</f>
        <v>482.15</v>
      </c>
      <c r="K728" s="5">
        <f>Sales_Data!E725</f>
        <v>10</v>
      </c>
      <c r="L728" s="5">
        <f>Sales_Data!F725</f>
        <v>5151.58</v>
      </c>
      <c r="M728" s="5">
        <f>Sales_Data!G725</f>
        <v>4616.49</v>
      </c>
      <c r="N728" s="5" t="str">
        <f>IFERROR(INDEX(Branch_Master!$B$2:$B$9,MATCH($B728,Branch_Master!$A$2:$A$9,0)),"Not Found")</f>
        <v>Kolkata</v>
      </c>
      <c r="O728" s="5" t="str">
        <f>IFERROR(INDEX(Branch_Master!$C$2:$C$9,MATCH($B728,Branch_Master!$A$2:$A$9,0)),"Not Found")</f>
        <v>West Bengal</v>
      </c>
      <c r="P728" s="5">
        <f>IFERROR(INDEX(Targets!$B$2:$B$9,MATCH($B728,Targets!$A$2:$A$9,0)),0)</f>
        <v>1910000</v>
      </c>
      <c r="Q728" s="5" t="str">
        <f t="shared" si="22"/>
        <v>Yes</v>
      </c>
      <c r="R728" s="5" t="str">
        <f t="shared" si="23"/>
        <v>Sep</v>
      </c>
    </row>
    <row r="729" spans="1:18" ht="15" customHeight="1" x14ac:dyDescent="0.3">
      <c r="A729" s="5" t="str">
        <f>Sales_Data!A726</f>
        <v>2025-09-24</v>
      </c>
      <c r="B729" s="5" t="str">
        <f>Sales_Data!B726</f>
        <v>Mumbai Central</v>
      </c>
      <c r="C729" s="5" t="str">
        <f>Sales_Data!C726</f>
        <v>E009</v>
      </c>
      <c r="D729" s="5" t="str">
        <f>IFERROR(INDEX(Employee_Master!$B$2:$B$44,MATCH($C729,Employee_Master!$A$2:$A$44,0)),"Not Found")</f>
        <v>Daniel Kent</v>
      </c>
      <c r="E729" s="5" t="str">
        <f>IFERROR(INDEX(Employee_Master!$C$2:$C$44,MATCH($C729,Employee_Master!$A$2:$A$44,0)),"Not Found")</f>
        <v>Sales</v>
      </c>
      <c r="F729" s="5" t="str">
        <f>IFERROR(INDEX(Employee_Master!$D$2:$D$44,MATCH($C729,Employee_Master!$A$2:$A$44,0)),"Not Found")</f>
        <v>Justin Glass</v>
      </c>
      <c r="G729" s="5" t="str">
        <f>IFERROR(INDEX(Employee_Master!$E$2:$E$44,MATCH($C729,Employee_Master!$A$2:$A$44,0)),"Not Found")</f>
        <v>West</v>
      </c>
      <c r="H729" s="5" t="str">
        <f>Sales_Data!D726</f>
        <v>P015 - Water Bottle</v>
      </c>
      <c r="I729" s="5" t="str">
        <f>IFERROR(INDEX(Product_Master!$B$2:$B$30,MATCH($H729,Product_Master!$A$2:$A$30,0)),"Invalid Product Code")</f>
        <v>Home &amp; Kitchen</v>
      </c>
      <c r="J729" s="5">
        <f>IFERROR(INDEX(Product_Master!$C$2:$C$30,MATCH($H729,Product_Master!$A$2:$A$30,0)),0)</f>
        <v>197.57</v>
      </c>
      <c r="K729" s="5">
        <f>Sales_Data!E726</f>
        <v>2</v>
      </c>
      <c r="L729" s="5">
        <f>Sales_Data!F726</f>
        <v>359.01</v>
      </c>
      <c r="M729" s="5">
        <f>Sales_Data!G726</f>
        <v>422.68</v>
      </c>
      <c r="N729" s="5" t="str">
        <f>IFERROR(INDEX(Branch_Master!$B$2:$B$9,MATCH($B729,Branch_Master!$A$2:$A$9,0)),"Not Found")</f>
        <v>Mumbai</v>
      </c>
      <c r="O729" s="5" t="str">
        <f>IFERROR(INDEX(Branch_Master!$C$2:$C$9,MATCH($B729,Branch_Master!$A$2:$A$9,0)),"Not Found")</f>
        <v>Maharashtra</v>
      </c>
      <c r="P729" s="5">
        <f>IFERROR(INDEX(Targets!$B$2:$B$9,MATCH($B729,Targets!$A$2:$A$9,0)),0)</f>
        <v>900000</v>
      </c>
      <c r="Q729" s="5" t="str">
        <f t="shared" si="22"/>
        <v>No</v>
      </c>
      <c r="R729" s="5" t="str">
        <f t="shared" si="23"/>
        <v>Sep</v>
      </c>
    </row>
    <row r="730" spans="1:18" ht="15" customHeight="1" x14ac:dyDescent="0.3">
      <c r="A730" s="5" t="str">
        <f>Sales_Data!A727</f>
        <v>2025-09-24</v>
      </c>
      <c r="B730" s="5" t="str">
        <f>Sales_Data!B727</f>
        <v>Pune East</v>
      </c>
      <c r="C730" s="5" t="str">
        <f>Sales_Data!C727</f>
        <v>E023</v>
      </c>
      <c r="D730" s="5" t="str">
        <f>IFERROR(INDEX(Employee_Master!$B$2:$B$44,MATCH($C730,Employee_Master!$A$2:$A$44,0)),"Not Found")</f>
        <v>Edward Jones</v>
      </c>
      <c r="E730" s="5" t="str">
        <f>IFERROR(INDEX(Employee_Master!$C$2:$C$44,MATCH($C730,Employee_Master!$A$2:$A$44,0)),"Not Found")</f>
        <v>Operations</v>
      </c>
      <c r="F730" s="5" t="str">
        <f>IFERROR(INDEX(Employee_Master!$D$2:$D$44,MATCH($C730,Employee_Master!$A$2:$A$44,0)),"Not Found")</f>
        <v>Jordan Matthews</v>
      </c>
      <c r="G730" s="5" t="str">
        <f>IFERROR(INDEX(Employee_Master!$E$2:$E$44,MATCH($C730,Employee_Master!$A$2:$A$44,0)),"Not Found")</f>
        <v>West</v>
      </c>
      <c r="H730" s="5" t="str">
        <f>Sales_Data!D727</f>
        <v>P006 - Laptop Stand</v>
      </c>
      <c r="I730" s="5" t="str">
        <f>IFERROR(INDEX(Product_Master!$B$2:$B$30,MATCH($H730,Product_Master!$A$2:$A$30,0)),"Invalid Product Code")</f>
        <v>Electronics</v>
      </c>
      <c r="J730" s="5">
        <f>IFERROR(INDEX(Product_Master!$C$2:$C$30,MATCH($H730,Product_Master!$A$2:$A$30,0)),0)</f>
        <v>393.96</v>
      </c>
      <c r="K730" s="5">
        <f>Sales_Data!E727</f>
        <v>1</v>
      </c>
      <c r="L730" s="5">
        <f>Sales_Data!F727</f>
        <v>428.79</v>
      </c>
      <c r="M730" s="5">
        <f>Sales_Data!G727</f>
        <v>423.13</v>
      </c>
      <c r="N730" s="5" t="str">
        <f>IFERROR(INDEX(Branch_Master!$B$2:$B$9,MATCH($B730,Branch_Master!$A$2:$A$9,0)),"Not Found")</f>
        <v>Pune</v>
      </c>
      <c r="O730" s="5" t="str">
        <f>IFERROR(INDEX(Branch_Master!$C$2:$C$9,MATCH($B730,Branch_Master!$A$2:$A$9,0)),"Not Found")</f>
        <v>Maharashtra</v>
      </c>
      <c r="P730" s="5">
        <f>IFERROR(INDEX(Targets!$B$2:$B$9,MATCH($B730,Targets!$A$2:$A$9,0)),0)</f>
        <v>1250000</v>
      </c>
      <c r="Q730" s="5" t="str">
        <f t="shared" si="22"/>
        <v>Yes</v>
      </c>
      <c r="R730" s="5" t="str">
        <f t="shared" si="23"/>
        <v>Sep</v>
      </c>
    </row>
    <row r="731" spans="1:18" ht="15" customHeight="1" x14ac:dyDescent="0.3">
      <c r="A731" s="5" t="str">
        <f>Sales_Data!A728</f>
        <v>2025-09-25</v>
      </c>
      <c r="B731" s="5" t="str">
        <f>Sales_Data!B728</f>
        <v>Pune East</v>
      </c>
      <c r="C731" s="5" t="str">
        <f>Sales_Data!C728</f>
        <v>E034</v>
      </c>
      <c r="D731" s="5" t="str">
        <f>IFERROR(INDEX(Employee_Master!$B$2:$B$44,MATCH($C731,Employee_Master!$A$2:$A$44,0)),"Not Found")</f>
        <v>Elaine Thompson</v>
      </c>
      <c r="E731" s="5" t="str">
        <f>IFERROR(INDEX(Employee_Master!$C$2:$C$44,MATCH($C731,Employee_Master!$A$2:$A$44,0)),"Not Found")</f>
        <v>Marketing</v>
      </c>
      <c r="F731" s="5" t="str">
        <f>IFERROR(INDEX(Employee_Master!$D$2:$D$44,MATCH($C731,Employee_Master!$A$2:$A$44,0)),"Not Found")</f>
        <v>Jordan Matthews</v>
      </c>
      <c r="G731" s="5" t="str">
        <f>IFERROR(INDEX(Employee_Master!$E$2:$E$44,MATCH($C731,Employee_Master!$A$2:$A$44,0)),"Not Found")</f>
        <v>West</v>
      </c>
      <c r="H731" s="5" t="str">
        <f>Sales_Data!D728</f>
        <v>P010 - Running Shoes</v>
      </c>
      <c r="I731" s="5" t="str">
        <f>IFERROR(INDEX(Product_Master!$B$2:$B$30,MATCH($H731,Product_Master!$A$2:$A$30,0)),"Invalid Product Code")</f>
        <v>Apparel</v>
      </c>
      <c r="J731" s="5">
        <f>IFERROR(INDEX(Product_Master!$C$2:$C$30,MATCH($H731,Product_Master!$A$2:$A$30,0)),0)</f>
        <v>233.71</v>
      </c>
      <c r="K731" s="5">
        <f>Sales_Data!E728</f>
        <v>12</v>
      </c>
      <c r="L731" s="5">
        <f>Sales_Data!F728</f>
        <v>2678.36</v>
      </c>
      <c r="M731" s="5">
        <f>Sales_Data!G728</f>
        <v>2819.43</v>
      </c>
      <c r="N731" s="5" t="str">
        <f>IFERROR(INDEX(Branch_Master!$B$2:$B$9,MATCH($B731,Branch_Master!$A$2:$A$9,0)),"Not Found")</f>
        <v>Pune</v>
      </c>
      <c r="O731" s="5" t="str">
        <f>IFERROR(INDEX(Branch_Master!$C$2:$C$9,MATCH($B731,Branch_Master!$A$2:$A$9,0)),"Not Found")</f>
        <v>Maharashtra</v>
      </c>
      <c r="P731" s="5">
        <f>IFERROR(INDEX(Targets!$B$2:$B$9,MATCH($B731,Targets!$A$2:$A$9,0)),0)</f>
        <v>1250000</v>
      </c>
      <c r="Q731" s="5" t="str">
        <f t="shared" si="22"/>
        <v>No</v>
      </c>
      <c r="R731" s="5" t="str">
        <f t="shared" si="23"/>
        <v>Sep</v>
      </c>
    </row>
    <row r="732" spans="1:18" ht="15" customHeight="1" x14ac:dyDescent="0.3">
      <c r="A732" s="5" t="str">
        <f>Sales_Data!A729</f>
        <v>2025-09-26</v>
      </c>
      <c r="B732" s="5" t="str">
        <f>Sales_Data!B729</f>
        <v>Kolkata Central</v>
      </c>
      <c r="C732" s="5" t="str">
        <f>Sales_Data!C729</f>
        <v>E029</v>
      </c>
      <c r="D732" s="5" t="str">
        <f>IFERROR(INDEX(Employee_Master!$B$2:$B$44,MATCH($C732,Employee_Master!$A$2:$A$44,0)),"Not Found")</f>
        <v>Patrick Shepard</v>
      </c>
      <c r="E732" s="5" t="str">
        <f>IFERROR(INDEX(Employee_Master!$C$2:$C$44,MATCH($C732,Employee_Master!$A$2:$A$44,0)),"Not Found")</f>
        <v>Sales</v>
      </c>
      <c r="F732" s="5" t="str">
        <f>IFERROR(INDEX(Employee_Master!$D$2:$D$44,MATCH($C732,Employee_Master!$A$2:$A$44,0)),"Not Found")</f>
        <v>Lisa Moore</v>
      </c>
      <c r="G732" s="5" t="str">
        <f>IFERROR(INDEX(Employee_Master!$E$2:$E$44,MATCH($C732,Employee_Master!$A$2:$A$44,0)),"Not Found")</f>
        <v>East</v>
      </c>
      <c r="H732" s="5" t="str">
        <f>Sales_Data!D729</f>
        <v>P029 - Dumbbell Set 10kg</v>
      </c>
      <c r="I732" s="5" t="str">
        <f>IFERROR(INDEX(Product_Master!$B$2:$B$30,MATCH($H732,Product_Master!$A$2:$A$30,0)),"Invalid Product Code")</f>
        <v>Sports</v>
      </c>
      <c r="J732" s="5">
        <f>IFERROR(INDEX(Product_Master!$C$2:$C$30,MATCH($H732,Product_Master!$A$2:$A$30,0)),0)</f>
        <v>435</v>
      </c>
      <c r="K732" s="5">
        <f>Sales_Data!E729</f>
        <v>1</v>
      </c>
      <c r="L732" s="5">
        <f>Sales_Data!F729</f>
        <v>419.4</v>
      </c>
      <c r="M732" s="5">
        <f>Sales_Data!G729</f>
        <v>376.89</v>
      </c>
      <c r="N732" s="5" t="str">
        <f>IFERROR(INDEX(Branch_Master!$B$2:$B$9,MATCH($B732,Branch_Master!$A$2:$A$9,0)),"Not Found")</f>
        <v>Kolkata</v>
      </c>
      <c r="O732" s="5" t="str">
        <f>IFERROR(INDEX(Branch_Master!$C$2:$C$9,MATCH($B732,Branch_Master!$A$2:$A$9,0)),"Not Found")</f>
        <v>West Bengal</v>
      </c>
      <c r="P732" s="5">
        <f>IFERROR(INDEX(Targets!$B$2:$B$9,MATCH($B732,Targets!$A$2:$A$9,0)),0)</f>
        <v>1910000</v>
      </c>
      <c r="Q732" s="5" t="str">
        <f t="shared" si="22"/>
        <v>Yes</v>
      </c>
      <c r="R732" s="5" t="str">
        <f t="shared" si="23"/>
        <v>Sep</v>
      </c>
    </row>
    <row r="733" spans="1:18" ht="15" customHeight="1" x14ac:dyDescent="0.3">
      <c r="A733" s="5" t="str">
        <f>Sales_Data!A730</f>
        <v>2025-09-26</v>
      </c>
      <c r="B733" s="5" t="str">
        <f>Sales_Data!B730</f>
        <v>Hyderabad Hitech</v>
      </c>
      <c r="C733" s="5" t="str">
        <f>Sales_Data!C730</f>
        <v>E011</v>
      </c>
      <c r="D733" s="5" t="str">
        <f>IFERROR(INDEX(Employee_Master!$B$2:$B$44,MATCH($C733,Employee_Master!$A$2:$A$44,0)),"Not Found")</f>
        <v>Mark Osborne</v>
      </c>
      <c r="E733" s="5" t="str">
        <f>IFERROR(INDEX(Employee_Master!$C$2:$C$44,MATCH($C733,Employee_Master!$A$2:$A$44,0)),"Not Found")</f>
        <v>Marketing</v>
      </c>
      <c r="F733" s="5" t="str">
        <f>IFERROR(INDEX(Employee_Master!$D$2:$D$44,MATCH($C733,Employee_Master!$A$2:$A$44,0)),"Not Found")</f>
        <v>Anna Turner</v>
      </c>
      <c r="G733" s="5" t="str">
        <f>IFERROR(INDEX(Employee_Master!$E$2:$E$44,MATCH($C733,Employee_Master!$A$2:$A$44,0)),"Not Found")</f>
        <v>South</v>
      </c>
      <c r="H733" s="5" t="str">
        <f>Sales_Data!D730</f>
        <v>P001 - Wireless Earbuds</v>
      </c>
      <c r="I733" s="5" t="str">
        <f>IFERROR(INDEX(Product_Master!$B$2:$B$30,MATCH($H733,Product_Master!$A$2:$A$30,0)),"Invalid Product Code")</f>
        <v>Electronics</v>
      </c>
      <c r="J733" s="5">
        <f>IFERROR(INDEX(Product_Master!$C$2:$C$30,MATCH($H733,Product_Master!$A$2:$A$30,0)),0)</f>
        <v>1676.76</v>
      </c>
      <c r="K733" s="5">
        <f>Sales_Data!E730</f>
        <v>10</v>
      </c>
      <c r="L733" s="5">
        <f>Sales_Data!F730</f>
        <v>15396.01</v>
      </c>
      <c r="M733" s="5">
        <f>Sales_Data!G730</f>
        <v>18739.45</v>
      </c>
      <c r="N733" s="5" t="str">
        <f>IFERROR(INDEX(Branch_Master!$B$2:$B$9,MATCH($B733,Branch_Master!$A$2:$A$9,0)),"Not Found")</f>
        <v>Hyderabad</v>
      </c>
      <c r="O733" s="5" t="str">
        <f>IFERROR(INDEX(Branch_Master!$C$2:$C$9,MATCH($B733,Branch_Master!$A$2:$A$9,0)),"Not Found")</f>
        <v>Telangana</v>
      </c>
      <c r="P733" s="5">
        <f>IFERROR(INDEX(Targets!$B$2:$B$9,MATCH($B733,Targets!$A$2:$A$9,0)),0)</f>
        <v>1210000</v>
      </c>
      <c r="Q733" s="5" t="str">
        <f t="shared" si="22"/>
        <v>No</v>
      </c>
      <c r="R733" s="5" t="str">
        <f t="shared" si="23"/>
        <v>Sep</v>
      </c>
    </row>
    <row r="734" spans="1:18" ht="15" customHeight="1" x14ac:dyDescent="0.3">
      <c r="A734" s="5" t="str">
        <f>Sales_Data!A731</f>
        <v>2025-09-26</v>
      </c>
      <c r="B734" s="5" t="str">
        <f>Sales_Data!B731</f>
        <v>Chennai South</v>
      </c>
      <c r="C734" s="5" t="str">
        <f>Sales_Data!C731</f>
        <v>E019</v>
      </c>
      <c r="D734" s="5" t="str">
        <f>IFERROR(INDEX(Employee_Master!$B$2:$B$44,MATCH($C734,Employee_Master!$A$2:$A$44,0)),"Not Found")</f>
        <v>Regina Torres</v>
      </c>
      <c r="E734" s="5" t="str">
        <f>IFERROR(INDEX(Employee_Master!$C$2:$C$44,MATCH($C734,Employee_Master!$A$2:$A$44,0)),"Not Found")</f>
        <v>Operations</v>
      </c>
      <c r="F734" s="5" t="str">
        <f>IFERROR(INDEX(Employee_Master!$D$2:$D$44,MATCH($C734,Employee_Master!$A$2:$A$44,0)),"Not Found")</f>
        <v>Robert Steele</v>
      </c>
      <c r="G734" s="5" t="str">
        <f>IFERROR(INDEX(Employee_Master!$E$2:$E$44,MATCH($C734,Employee_Master!$A$2:$A$44,0)),"Not Found")</f>
        <v>South</v>
      </c>
      <c r="H734" s="5" t="str">
        <f>Sales_Data!D731</f>
        <v>P029 - Dumbbell Set 10kg</v>
      </c>
      <c r="I734" s="5" t="str">
        <f>IFERROR(INDEX(Product_Master!$B$2:$B$30,MATCH($H734,Product_Master!$A$2:$A$30,0)),"Invalid Product Code")</f>
        <v>Sports</v>
      </c>
      <c r="J734" s="5">
        <f>IFERROR(INDEX(Product_Master!$C$2:$C$30,MATCH($H734,Product_Master!$A$2:$A$30,0)),0)</f>
        <v>435</v>
      </c>
      <c r="K734" s="5">
        <f>Sales_Data!E731</f>
        <v>12</v>
      </c>
      <c r="L734" s="5">
        <f>Sales_Data!F731</f>
        <v>5002.3599999999997</v>
      </c>
      <c r="M734" s="5">
        <f>Sales_Data!G731</f>
        <v>5201.88</v>
      </c>
      <c r="N734" s="5" t="str">
        <f>IFERROR(INDEX(Branch_Master!$B$2:$B$9,MATCH($B734,Branch_Master!$A$2:$A$9,0)),"Not Found")</f>
        <v>Chennai</v>
      </c>
      <c r="O734" s="5" t="str">
        <f>IFERROR(INDEX(Branch_Master!$C$2:$C$9,MATCH($B734,Branch_Master!$A$2:$A$9,0)),"Not Found")</f>
        <v>Tamil Nadu</v>
      </c>
      <c r="P734" s="5">
        <f>IFERROR(INDEX(Targets!$B$2:$B$9,MATCH($B734,Targets!$A$2:$A$9,0)),0)</f>
        <v>1910000</v>
      </c>
      <c r="Q734" s="5" t="str">
        <f t="shared" si="22"/>
        <v>No</v>
      </c>
      <c r="R734" s="5" t="str">
        <f t="shared" si="23"/>
        <v>Sep</v>
      </c>
    </row>
    <row r="735" spans="1:18" ht="15" customHeight="1" x14ac:dyDescent="0.3">
      <c r="A735" s="5" t="str">
        <f>Sales_Data!A732</f>
        <v>2025-09-26</v>
      </c>
      <c r="B735" s="5" t="str">
        <f>Sales_Data!B732</f>
        <v>Bangalore North</v>
      </c>
      <c r="C735" s="5" t="str">
        <f>Sales_Data!C732</f>
        <v>E004</v>
      </c>
      <c r="D735" s="5" t="str">
        <f>IFERROR(INDEX(Employee_Master!$B$2:$B$44,MATCH($C735,Employee_Master!$A$2:$A$44,0)),"Not Found")</f>
        <v>Judith Ramirez</v>
      </c>
      <c r="E735" s="5" t="str">
        <f>IFERROR(INDEX(Employee_Master!$C$2:$C$44,MATCH($C735,Employee_Master!$A$2:$A$44,0)),"Not Found")</f>
        <v>Sales</v>
      </c>
      <c r="F735" s="5" t="str">
        <f>IFERROR(INDEX(Employee_Master!$D$2:$D$44,MATCH($C735,Employee_Master!$A$2:$A$44,0)),"Not Found")</f>
        <v>Jose Soto</v>
      </c>
      <c r="G735" s="5" t="str">
        <f>IFERROR(INDEX(Employee_Master!$E$2:$E$44,MATCH($C735,Employee_Master!$A$2:$A$44,0)),"Not Found")</f>
        <v>South</v>
      </c>
      <c r="H735" s="5" t="str">
        <f>Sales_Data!D732</f>
        <v>P003 - Bluetooth Speaker</v>
      </c>
      <c r="I735" s="5" t="str">
        <f>IFERROR(INDEX(Product_Master!$B$2:$B$30,MATCH($H735,Product_Master!$A$2:$A$30,0)),"Invalid Product Code")</f>
        <v>Electronics</v>
      </c>
      <c r="J735" s="5">
        <f>IFERROR(INDEX(Product_Master!$C$2:$C$30,MATCH($H735,Product_Master!$A$2:$A$30,0)),0)</f>
        <v>351.01</v>
      </c>
      <c r="K735" s="5">
        <f>Sales_Data!E732</f>
        <v>4</v>
      </c>
      <c r="L735" s="5">
        <f>Sales_Data!F732</f>
        <v>1344.36</v>
      </c>
      <c r="M735" s="5">
        <f>Sales_Data!G732</f>
        <v>1525.49</v>
      </c>
      <c r="N735" s="5" t="str">
        <f>IFERROR(INDEX(Branch_Master!$B$2:$B$9,MATCH($B735,Branch_Master!$A$2:$A$9,0)),"Not Found")</f>
        <v>Bangalore</v>
      </c>
      <c r="O735" s="5" t="str">
        <f>IFERROR(INDEX(Branch_Master!$C$2:$C$9,MATCH($B735,Branch_Master!$A$2:$A$9,0)),"Not Found")</f>
        <v>Karnataka</v>
      </c>
      <c r="P735" s="5">
        <f>IFERROR(INDEX(Targets!$B$2:$B$9,MATCH($B735,Targets!$A$2:$A$9,0)),0)</f>
        <v>900000</v>
      </c>
      <c r="Q735" s="5" t="str">
        <f t="shared" si="22"/>
        <v>No</v>
      </c>
      <c r="R735" s="5" t="str">
        <f t="shared" si="23"/>
        <v>Sep</v>
      </c>
    </row>
    <row r="736" spans="1:18" ht="15" customHeight="1" x14ac:dyDescent="0.3">
      <c r="A736" s="5" t="str">
        <f>Sales_Data!A733</f>
        <v>2025-09-26</v>
      </c>
      <c r="B736" s="5" t="str">
        <f>Sales_Data!B733</f>
        <v>Chennai South</v>
      </c>
      <c r="C736" s="5" t="str">
        <f>Sales_Data!C733</f>
        <v>E032</v>
      </c>
      <c r="D736" s="5" t="str">
        <f>IFERROR(INDEX(Employee_Master!$B$2:$B$44,MATCH($C736,Employee_Master!$A$2:$A$44,0)),"Not Found")</f>
        <v>Victor Allen</v>
      </c>
      <c r="E736" s="5" t="str">
        <f>IFERROR(INDEX(Employee_Master!$C$2:$C$44,MATCH($C736,Employee_Master!$A$2:$A$44,0)),"Not Found")</f>
        <v>Operations</v>
      </c>
      <c r="F736" s="5" t="str">
        <f>IFERROR(INDEX(Employee_Master!$D$2:$D$44,MATCH($C736,Employee_Master!$A$2:$A$44,0)),"Not Found")</f>
        <v>Robert Steele</v>
      </c>
      <c r="G736" s="5" t="str">
        <f>IFERROR(INDEX(Employee_Master!$E$2:$E$44,MATCH($C736,Employee_Master!$A$2:$A$44,0)),"Not Found")</f>
        <v>South</v>
      </c>
      <c r="H736" s="5" t="str">
        <f>Sales_Data!D733</f>
        <v>P018 - Cooking Oil 1L</v>
      </c>
      <c r="I736" s="5" t="str">
        <f>IFERROR(INDEX(Product_Master!$B$2:$B$30,MATCH($H736,Product_Master!$A$2:$A$30,0)),"Invalid Product Code")</f>
        <v>Grocery</v>
      </c>
      <c r="J736" s="5">
        <f>IFERROR(INDEX(Product_Master!$C$2:$C$30,MATCH($H736,Product_Master!$A$2:$A$30,0)),0)</f>
        <v>1483.63</v>
      </c>
      <c r="K736" s="5">
        <f>Sales_Data!E733</f>
        <v>6</v>
      </c>
      <c r="L736" s="5">
        <f>Sales_Data!F733</f>
        <v>8128.06</v>
      </c>
      <c r="M736" s="5">
        <f>Sales_Data!G733</f>
        <v>8499.5499999999993</v>
      </c>
      <c r="N736" s="5" t="str">
        <f>IFERROR(INDEX(Branch_Master!$B$2:$B$9,MATCH($B736,Branch_Master!$A$2:$A$9,0)),"Not Found")</f>
        <v>Chennai</v>
      </c>
      <c r="O736" s="5" t="str">
        <f>IFERROR(INDEX(Branch_Master!$C$2:$C$9,MATCH($B736,Branch_Master!$A$2:$A$9,0)),"Not Found")</f>
        <v>Tamil Nadu</v>
      </c>
      <c r="P736" s="5">
        <f>IFERROR(INDEX(Targets!$B$2:$B$9,MATCH($B736,Targets!$A$2:$A$9,0)),0)</f>
        <v>1910000</v>
      </c>
      <c r="Q736" s="5" t="str">
        <f t="shared" si="22"/>
        <v>No</v>
      </c>
      <c r="R736" s="5" t="str">
        <f t="shared" si="23"/>
        <v>Sep</v>
      </c>
    </row>
    <row r="737" spans="1:18" ht="15" customHeight="1" x14ac:dyDescent="0.3">
      <c r="A737" s="5" t="str">
        <f>Sales_Data!A734</f>
        <v>2025-09-27</v>
      </c>
      <c r="B737" s="5" t="str">
        <f>Sales_Data!B734</f>
        <v>Chennai South</v>
      </c>
      <c r="C737" s="5" t="str">
        <f>Sales_Data!C734</f>
        <v>E015</v>
      </c>
      <c r="D737" s="5" t="str">
        <f>IFERROR(INDEX(Employee_Master!$B$2:$B$44,MATCH($C737,Employee_Master!$A$2:$A$44,0)),"Not Found")</f>
        <v>Cassandra Hansen</v>
      </c>
      <c r="E737" s="5" t="str">
        <f>IFERROR(INDEX(Employee_Master!$C$2:$C$44,MATCH($C737,Employee_Master!$A$2:$A$44,0)),"Not Found")</f>
        <v>Customer Support</v>
      </c>
      <c r="F737" s="5" t="str">
        <f>IFERROR(INDEX(Employee_Master!$D$2:$D$44,MATCH($C737,Employee_Master!$A$2:$A$44,0)),"Not Found")</f>
        <v>Robert Steele</v>
      </c>
      <c r="G737" s="5" t="str">
        <f>IFERROR(INDEX(Employee_Master!$E$2:$E$44,MATCH($C737,Employee_Master!$A$2:$A$44,0)),"Not Found")</f>
        <v>South</v>
      </c>
      <c r="H737" s="5" t="str">
        <f>Sales_Data!D734</f>
        <v>P003 - Bluetooth Speaker</v>
      </c>
      <c r="I737" s="5" t="str">
        <f>IFERROR(INDEX(Product_Master!$B$2:$B$30,MATCH($H737,Product_Master!$A$2:$A$30,0)),"Invalid Product Code")</f>
        <v>Electronics</v>
      </c>
      <c r="J737" s="5">
        <f>IFERROR(INDEX(Product_Master!$C$2:$C$30,MATCH($H737,Product_Master!$A$2:$A$30,0)),0)</f>
        <v>351.01</v>
      </c>
      <c r="K737" s="5">
        <f>Sales_Data!E734</f>
        <v>11</v>
      </c>
      <c r="L737" s="5">
        <f>Sales_Data!F734</f>
        <v>3647.16</v>
      </c>
      <c r="M737" s="5">
        <f>Sales_Data!G734</f>
        <v>3370.78</v>
      </c>
      <c r="N737" s="5" t="str">
        <f>IFERROR(INDEX(Branch_Master!$B$2:$B$9,MATCH($B737,Branch_Master!$A$2:$A$9,0)),"Not Found")</f>
        <v>Chennai</v>
      </c>
      <c r="O737" s="5" t="str">
        <f>IFERROR(INDEX(Branch_Master!$C$2:$C$9,MATCH($B737,Branch_Master!$A$2:$A$9,0)),"Not Found")</f>
        <v>Tamil Nadu</v>
      </c>
      <c r="P737" s="5">
        <f>IFERROR(INDEX(Targets!$B$2:$B$9,MATCH($B737,Targets!$A$2:$A$9,0)),0)</f>
        <v>1910000</v>
      </c>
      <c r="Q737" s="5" t="str">
        <f t="shared" si="22"/>
        <v>Yes</v>
      </c>
      <c r="R737" s="5" t="str">
        <f t="shared" si="23"/>
        <v>Sep</v>
      </c>
    </row>
    <row r="738" spans="1:18" ht="15" customHeight="1" x14ac:dyDescent="0.3">
      <c r="A738" s="5" t="str">
        <f>Sales_Data!A735</f>
        <v>2025-09-28</v>
      </c>
      <c r="B738" s="5" t="str">
        <f>Sales_Data!B735</f>
        <v>Kolkata Central</v>
      </c>
      <c r="C738" s="5" t="str">
        <f>Sales_Data!C735</f>
        <v>E028</v>
      </c>
      <c r="D738" s="5" t="str">
        <f>IFERROR(INDEX(Employee_Master!$B$2:$B$44,MATCH($C738,Employee_Master!$A$2:$A$44,0)),"Not Found")</f>
        <v>Sabrina Wright</v>
      </c>
      <c r="E738" s="5" t="str">
        <f>IFERROR(INDEX(Employee_Master!$C$2:$C$44,MATCH($C738,Employee_Master!$A$2:$A$44,0)),"Not Found")</f>
        <v>Customer Support</v>
      </c>
      <c r="F738" s="5" t="str">
        <f>IFERROR(INDEX(Employee_Master!$D$2:$D$44,MATCH($C738,Employee_Master!$A$2:$A$44,0)),"Not Found")</f>
        <v>Lisa Moore</v>
      </c>
      <c r="G738" s="5" t="str">
        <f>IFERROR(INDEX(Employee_Master!$E$2:$E$44,MATCH($C738,Employee_Master!$A$2:$A$44,0)),"Not Found")</f>
        <v>East</v>
      </c>
      <c r="H738" s="5" t="str">
        <f>Sales_Data!D735</f>
        <v>P013 - Mixer Grinder</v>
      </c>
      <c r="I738" s="5" t="str">
        <f>IFERROR(INDEX(Product_Master!$B$2:$B$30,MATCH($H738,Product_Master!$A$2:$A$30,0)),"Invalid Product Code")</f>
        <v>Home &amp; Kitchen</v>
      </c>
      <c r="J738" s="5">
        <f>IFERROR(INDEX(Product_Master!$C$2:$C$30,MATCH($H738,Product_Master!$A$2:$A$30,0)),0)</f>
        <v>798.53</v>
      </c>
      <c r="K738" s="5">
        <f>Sales_Data!E735</f>
        <v>4</v>
      </c>
      <c r="L738" s="5">
        <f>Sales_Data!F735</f>
        <v>3305.94</v>
      </c>
      <c r="M738" s="5">
        <f>Sales_Data!G735</f>
        <v>3398.34</v>
      </c>
      <c r="N738" s="5" t="str">
        <f>IFERROR(INDEX(Branch_Master!$B$2:$B$9,MATCH($B738,Branch_Master!$A$2:$A$9,0)),"Not Found")</f>
        <v>Kolkata</v>
      </c>
      <c r="O738" s="5" t="str">
        <f>IFERROR(INDEX(Branch_Master!$C$2:$C$9,MATCH($B738,Branch_Master!$A$2:$A$9,0)),"Not Found")</f>
        <v>West Bengal</v>
      </c>
      <c r="P738" s="5">
        <f>IFERROR(INDEX(Targets!$B$2:$B$9,MATCH($B738,Targets!$A$2:$A$9,0)),0)</f>
        <v>1910000</v>
      </c>
      <c r="Q738" s="5" t="str">
        <f t="shared" si="22"/>
        <v>No</v>
      </c>
      <c r="R738" s="5" t="str">
        <f t="shared" si="23"/>
        <v>Sep</v>
      </c>
    </row>
    <row r="739" spans="1:18" ht="15" customHeight="1" x14ac:dyDescent="0.3">
      <c r="A739" s="5" t="str">
        <f>Sales_Data!A736</f>
        <v>2025-09-29</v>
      </c>
      <c r="B739" s="5" t="str">
        <f>Sales_Data!B736</f>
        <v>Kolkata Central</v>
      </c>
      <c r="C739" s="5" t="str">
        <f>Sales_Data!C736</f>
        <v>E018</v>
      </c>
      <c r="D739" s="5" t="str">
        <f>IFERROR(INDEX(Employee_Master!$B$2:$B$44,MATCH($C739,Employee_Master!$A$2:$A$44,0)),"Not Found")</f>
        <v>Daniel Nelson</v>
      </c>
      <c r="E739" s="5" t="str">
        <f>IFERROR(INDEX(Employee_Master!$C$2:$C$44,MATCH($C739,Employee_Master!$A$2:$A$44,0)),"Not Found")</f>
        <v>Sales</v>
      </c>
      <c r="F739" s="5" t="str">
        <f>IFERROR(INDEX(Employee_Master!$D$2:$D$44,MATCH($C739,Employee_Master!$A$2:$A$44,0)),"Not Found")</f>
        <v>Lisa Moore</v>
      </c>
      <c r="G739" s="5" t="str">
        <f>IFERROR(INDEX(Employee_Master!$E$2:$E$44,MATCH($C739,Employee_Master!$A$2:$A$44,0)),"Not Found")</f>
        <v>East</v>
      </c>
      <c r="H739" s="5" t="str">
        <f>Sales_Data!D736</f>
        <v>P009 - Formal Shirt</v>
      </c>
      <c r="I739" s="5" t="str">
        <f>IFERROR(INDEX(Product_Master!$B$2:$B$30,MATCH($H739,Product_Master!$A$2:$A$30,0)),"Invalid Product Code")</f>
        <v>Apparel</v>
      </c>
      <c r="J739" s="5">
        <f>IFERROR(INDEX(Product_Master!$C$2:$C$30,MATCH($H739,Product_Master!$A$2:$A$30,0)),0)</f>
        <v>661.65</v>
      </c>
      <c r="K739" s="5">
        <f>Sales_Data!E736</f>
        <v>1</v>
      </c>
      <c r="L739" s="5">
        <f>Sales_Data!F736</f>
        <v>645.5</v>
      </c>
      <c r="M739" s="5">
        <f>Sales_Data!G736</f>
        <v>564.12</v>
      </c>
      <c r="N739" s="5" t="str">
        <f>IFERROR(INDEX(Branch_Master!$B$2:$B$9,MATCH($B739,Branch_Master!$A$2:$A$9,0)),"Not Found")</f>
        <v>Kolkata</v>
      </c>
      <c r="O739" s="5" t="str">
        <f>IFERROR(INDEX(Branch_Master!$C$2:$C$9,MATCH($B739,Branch_Master!$A$2:$A$9,0)),"Not Found")</f>
        <v>West Bengal</v>
      </c>
      <c r="P739" s="5">
        <f>IFERROR(INDEX(Targets!$B$2:$B$9,MATCH($B739,Targets!$A$2:$A$9,0)),0)</f>
        <v>1910000</v>
      </c>
      <c r="Q739" s="5" t="str">
        <f t="shared" si="22"/>
        <v>Yes</v>
      </c>
      <c r="R739" s="5" t="str">
        <f t="shared" si="23"/>
        <v>Sep</v>
      </c>
    </row>
    <row r="740" spans="1:18" ht="15" customHeight="1" x14ac:dyDescent="0.3">
      <c r="A740" s="5" t="str">
        <f>Sales_Data!A737</f>
        <v>2025-09-29</v>
      </c>
      <c r="B740" s="5" t="str">
        <f>Sales_Data!B737</f>
        <v>Hyderabad Hitech</v>
      </c>
      <c r="C740" s="5" t="str">
        <f>Sales_Data!C737</f>
        <v>E035</v>
      </c>
      <c r="D740" s="5" t="str">
        <f>IFERROR(INDEX(Employee_Master!$B$2:$B$44,MATCH($C740,Employee_Master!$A$2:$A$44,0)),"Not Found")</f>
        <v>Andrea Perez</v>
      </c>
      <c r="E740" s="5" t="str">
        <f>IFERROR(INDEX(Employee_Master!$C$2:$C$44,MATCH($C740,Employee_Master!$A$2:$A$44,0)),"Not Found")</f>
        <v>Sales</v>
      </c>
      <c r="F740" s="5" t="str">
        <f>IFERROR(INDEX(Employee_Master!$D$2:$D$44,MATCH($C740,Employee_Master!$A$2:$A$44,0)),"Not Found")</f>
        <v>Anna Turner</v>
      </c>
      <c r="G740" s="5" t="str">
        <f>IFERROR(INDEX(Employee_Master!$E$2:$E$44,MATCH($C740,Employee_Master!$A$2:$A$44,0)),"Not Found")</f>
        <v>South</v>
      </c>
      <c r="H740" s="5" t="str">
        <f>Sales_Data!D737</f>
        <v>P008 - Denim Jeans</v>
      </c>
      <c r="I740" s="5" t="str">
        <f>IFERROR(INDEX(Product_Master!$B$2:$B$30,MATCH($H740,Product_Master!$A$2:$A$30,0)),"Invalid Product Code")</f>
        <v>Apparel</v>
      </c>
      <c r="J740" s="5">
        <f>IFERROR(INDEX(Product_Master!$C$2:$C$30,MATCH($H740,Product_Master!$A$2:$A$30,0)),0)</f>
        <v>614.48</v>
      </c>
      <c r="K740" s="5">
        <f>Sales_Data!E737</f>
        <v>4</v>
      </c>
      <c r="L740" s="5">
        <f>Sales_Data!F737</f>
        <v>2438.14</v>
      </c>
      <c r="M740" s="5">
        <f>Sales_Data!G737</f>
        <v>2563.59</v>
      </c>
      <c r="N740" s="5" t="str">
        <f>IFERROR(INDEX(Branch_Master!$B$2:$B$9,MATCH($B740,Branch_Master!$A$2:$A$9,0)),"Not Found")</f>
        <v>Hyderabad</v>
      </c>
      <c r="O740" s="5" t="str">
        <f>IFERROR(INDEX(Branch_Master!$C$2:$C$9,MATCH($B740,Branch_Master!$A$2:$A$9,0)),"Not Found")</f>
        <v>Telangana</v>
      </c>
      <c r="P740" s="5">
        <f>IFERROR(INDEX(Targets!$B$2:$B$9,MATCH($B740,Targets!$A$2:$A$9,0)),0)</f>
        <v>1210000</v>
      </c>
      <c r="Q740" s="5" t="str">
        <f t="shared" si="22"/>
        <v>No</v>
      </c>
      <c r="R740" s="5" t="str">
        <f t="shared" si="23"/>
        <v>Sep</v>
      </c>
    </row>
    <row r="741" spans="1:18" ht="15" customHeight="1" x14ac:dyDescent="0.3">
      <c r="A741" s="5" t="str">
        <f>Sales_Data!A738</f>
        <v>2025-09-29</v>
      </c>
      <c r="B741" s="5" t="str">
        <f>Sales_Data!B738</f>
        <v>Ahmedabad West</v>
      </c>
      <c r="C741" s="5" t="str">
        <f>Sales_Data!C738</f>
        <v>E005</v>
      </c>
      <c r="D741" s="5" t="str">
        <f>IFERROR(INDEX(Employee_Master!$B$2:$B$44,MATCH($C741,Employee_Master!$A$2:$A$44,0)),"Not Found")</f>
        <v>Dr. Sara Zimmerman MD</v>
      </c>
      <c r="E741" s="5" t="str">
        <f>IFERROR(INDEX(Employee_Master!$C$2:$C$44,MATCH($C741,Employee_Master!$A$2:$A$44,0)),"Not Found")</f>
        <v>Operations</v>
      </c>
      <c r="F741" s="5" t="str">
        <f>IFERROR(INDEX(Employee_Master!$D$2:$D$44,MATCH($C741,Employee_Master!$A$2:$A$44,0)),"Not Found")</f>
        <v>Joseph Brown</v>
      </c>
      <c r="G741" s="5" t="str">
        <f>IFERROR(INDEX(Employee_Master!$E$2:$E$44,MATCH($C741,Employee_Master!$A$2:$A$44,0)),"Not Found")</f>
        <v>West</v>
      </c>
      <c r="H741" s="5" t="str">
        <f>Sales_Data!D738</f>
        <v>P012 - Non-Stick Pan</v>
      </c>
      <c r="I741" s="5" t="str">
        <f>IFERROR(INDEX(Product_Master!$B$2:$B$30,MATCH($H741,Product_Master!$A$2:$A$30,0)),"Invalid Product Code")</f>
        <v>Home &amp; Kitchen</v>
      </c>
      <c r="J741" s="5">
        <f>IFERROR(INDEX(Product_Master!$C$2:$C$30,MATCH($H741,Product_Master!$A$2:$A$30,0)),0)</f>
        <v>353.18</v>
      </c>
      <c r="K741" s="5">
        <f>Sales_Data!E738</f>
        <v>6</v>
      </c>
      <c r="L741" s="5">
        <f>Sales_Data!F738</f>
        <v>2326.92</v>
      </c>
      <c r="M741" s="5">
        <f>Sales_Data!G738</f>
        <v>1955.22</v>
      </c>
      <c r="N741" s="5" t="str">
        <f>IFERROR(INDEX(Branch_Master!$B$2:$B$9,MATCH($B741,Branch_Master!$A$2:$A$9,0)),"Not Found")</f>
        <v>Ahmedabad</v>
      </c>
      <c r="O741" s="5" t="str">
        <f>IFERROR(INDEX(Branch_Master!$C$2:$C$9,MATCH($B741,Branch_Master!$A$2:$A$9,0)),"Not Found")</f>
        <v>Gujarat</v>
      </c>
      <c r="P741" s="5">
        <f>IFERROR(INDEX(Targets!$B$2:$B$9,MATCH($B741,Targets!$A$2:$A$9,0)),0)</f>
        <v>1590000</v>
      </c>
      <c r="Q741" s="5" t="str">
        <f t="shared" si="22"/>
        <v>Yes</v>
      </c>
      <c r="R741" s="5" t="str">
        <f t="shared" si="23"/>
        <v>Sep</v>
      </c>
    </row>
    <row r="742" spans="1:18" ht="15" customHeight="1" x14ac:dyDescent="0.3">
      <c r="A742" s="5" t="str">
        <f>Sales_Data!A739</f>
        <v>2025-09-29</v>
      </c>
      <c r="B742" s="5" t="str">
        <f>Sales_Data!B739</f>
        <v>Bangalore North</v>
      </c>
      <c r="C742" s="5" t="str">
        <f>Sales_Data!C739</f>
        <v>E006</v>
      </c>
      <c r="D742" s="5" t="str">
        <f>IFERROR(INDEX(Employee_Master!$B$2:$B$44,MATCH($C742,Employee_Master!$A$2:$A$44,0)),"Not Found")</f>
        <v>Dylan Jones</v>
      </c>
      <c r="E742" s="5" t="str">
        <f>IFERROR(INDEX(Employee_Master!$C$2:$C$44,MATCH($C742,Employee_Master!$A$2:$A$44,0)),"Not Found")</f>
        <v>Sales</v>
      </c>
      <c r="F742" s="5" t="str">
        <f>IFERROR(INDEX(Employee_Master!$D$2:$D$44,MATCH($C742,Employee_Master!$A$2:$A$44,0)),"Not Found")</f>
        <v>Jose Soto</v>
      </c>
      <c r="G742" s="5" t="str">
        <f>IFERROR(INDEX(Employee_Master!$E$2:$E$44,MATCH($C742,Employee_Master!$A$2:$A$44,0)),"Not Found")</f>
        <v>South</v>
      </c>
      <c r="H742" s="5" t="str">
        <f>Sales_Data!D739</f>
        <v>P024 - Hair Serum</v>
      </c>
      <c r="I742" s="5" t="str">
        <f>IFERROR(INDEX(Product_Master!$B$2:$B$30,MATCH($H742,Product_Master!$A$2:$A$30,0)),"Invalid Product Code")</f>
        <v>Beauty</v>
      </c>
      <c r="J742" s="5">
        <f>IFERROR(INDEX(Product_Master!$C$2:$C$30,MATCH($H742,Product_Master!$A$2:$A$30,0)),0)</f>
        <v>1457.31</v>
      </c>
      <c r="K742" s="5">
        <f>Sales_Data!E739</f>
        <v>3</v>
      </c>
      <c r="L742" s="5">
        <f>Sales_Data!F739</f>
        <v>4143.2</v>
      </c>
      <c r="M742" s="5">
        <f>Sales_Data!G739</f>
        <v>3865.49</v>
      </c>
      <c r="N742" s="5" t="str">
        <f>IFERROR(INDEX(Branch_Master!$B$2:$B$9,MATCH($B742,Branch_Master!$A$2:$A$9,0)),"Not Found")</f>
        <v>Bangalore</v>
      </c>
      <c r="O742" s="5" t="str">
        <f>IFERROR(INDEX(Branch_Master!$C$2:$C$9,MATCH($B742,Branch_Master!$A$2:$A$9,0)),"Not Found")</f>
        <v>Karnataka</v>
      </c>
      <c r="P742" s="5">
        <f>IFERROR(INDEX(Targets!$B$2:$B$9,MATCH($B742,Targets!$A$2:$A$9,0)),0)</f>
        <v>900000</v>
      </c>
      <c r="Q742" s="5" t="str">
        <f t="shared" si="22"/>
        <v>Yes</v>
      </c>
      <c r="R742" s="5" t="str">
        <f t="shared" si="23"/>
        <v>Sep</v>
      </c>
    </row>
    <row r="743" spans="1:18" ht="15" customHeight="1" x14ac:dyDescent="0.3">
      <c r="A743" s="5" t="str">
        <f>Sales_Data!A740</f>
        <v>2025-09-29</v>
      </c>
      <c r="B743" s="5" t="str">
        <f>Sales_Data!B740</f>
        <v>Chennai South</v>
      </c>
      <c r="C743" s="5" t="str">
        <f>Sales_Data!C740</f>
        <v>E015</v>
      </c>
      <c r="D743" s="5" t="str">
        <f>IFERROR(INDEX(Employee_Master!$B$2:$B$44,MATCH($C743,Employee_Master!$A$2:$A$44,0)),"Not Found")</f>
        <v>Cassandra Hansen</v>
      </c>
      <c r="E743" s="5" t="str">
        <f>IFERROR(INDEX(Employee_Master!$C$2:$C$44,MATCH($C743,Employee_Master!$A$2:$A$44,0)),"Not Found")</f>
        <v>Customer Support</v>
      </c>
      <c r="F743" s="5" t="str">
        <f>IFERROR(INDEX(Employee_Master!$D$2:$D$44,MATCH($C743,Employee_Master!$A$2:$A$44,0)),"Not Found")</f>
        <v>Robert Steele</v>
      </c>
      <c r="G743" s="5" t="str">
        <f>IFERROR(INDEX(Employee_Master!$E$2:$E$44,MATCH($C743,Employee_Master!$A$2:$A$44,0)),"Not Found")</f>
        <v>South</v>
      </c>
      <c r="H743" s="5" t="str">
        <f>Sales_Data!D740</f>
        <v>P004 - Power Bank</v>
      </c>
      <c r="I743" s="5" t="str">
        <f>IFERROR(INDEX(Product_Master!$B$2:$B$30,MATCH($H743,Product_Master!$A$2:$A$30,0)),"Invalid Product Code")</f>
        <v>Electronics</v>
      </c>
      <c r="J743" s="5">
        <f>IFERROR(INDEX(Product_Master!$C$2:$C$30,MATCH($H743,Product_Master!$A$2:$A$30,0)),0)</f>
        <v>76.91</v>
      </c>
      <c r="K743" s="5">
        <f>Sales_Data!E740</f>
        <v>1</v>
      </c>
      <c r="L743" s="5">
        <f>Sales_Data!F740</f>
        <v>74.75</v>
      </c>
      <c r="M743" s="5">
        <f>Sales_Data!G740</f>
        <v>79.430000000000007</v>
      </c>
      <c r="N743" s="5" t="str">
        <f>IFERROR(INDEX(Branch_Master!$B$2:$B$9,MATCH($B743,Branch_Master!$A$2:$A$9,0)),"Not Found")</f>
        <v>Chennai</v>
      </c>
      <c r="O743" s="5" t="str">
        <f>IFERROR(INDEX(Branch_Master!$C$2:$C$9,MATCH($B743,Branch_Master!$A$2:$A$9,0)),"Not Found")</f>
        <v>Tamil Nadu</v>
      </c>
      <c r="P743" s="5">
        <f>IFERROR(INDEX(Targets!$B$2:$B$9,MATCH($B743,Targets!$A$2:$A$9,0)),0)</f>
        <v>1910000</v>
      </c>
      <c r="Q743" s="5" t="str">
        <f t="shared" si="22"/>
        <v>No</v>
      </c>
      <c r="R743" s="5" t="str">
        <f t="shared" si="23"/>
        <v>Sep</v>
      </c>
    </row>
    <row r="744" spans="1:18" ht="15" customHeight="1" x14ac:dyDescent="0.3">
      <c r="A744" s="5" t="str">
        <f>Sales_Data!A741</f>
        <v>2025-10-01</v>
      </c>
      <c r="B744" s="5" t="str">
        <f>Sales_Data!B741</f>
        <v>Kolkata Central</v>
      </c>
      <c r="C744" s="5" t="str">
        <f>Sales_Data!C741</f>
        <v>E018</v>
      </c>
      <c r="D744" s="5" t="str">
        <f>IFERROR(INDEX(Employee_Master!$B$2:$B$44,MATCH($C744,Employee_Master!$A$2:$A$44,0)),"Not Found")</f>
        <v>Daniel Nelson</v>
      </c>
      <c r="E744" s="5" t="str">
        <f>IFERROR(INDEX(Employee_Master!$C$2:$C$44,MATCH($C744,Employee_Master!$A$2:$A$44,0)),"Not Found")</f>
        <v>Sales</v>
      </c>
      <c r="F744" s="5" t="str">
        <f>IFERROR(INDEX(Employee_Master!$D$2:$D$44,MATCH($C744,Employee_Master!$A$2:$A$44,0)),"Not Found")</f>
        <v>Lisa Moore</v>
      </c>
      <c r="G744" s="5" t="str">
        <f>IFERROR(INDEX(Employee_Master!$E$2:$E$44,MATCH($C744,Employee_Master!$A$2:$A$44,0)),"Not Found")</f>
        <v>East</v>
      </c>
      <c r="H744" s="5" t="str">
        <f>Sales_Data!D741</f>
        <v>P026 - Yoga Mat</v>
      </c>
      <c r="I744" s="5" t="str">
        <f>IFERROR(INDEX(Product_Master!$B$2:$B$30,MATCH($H744,Product_Master!$A$2:$A$30,0)),"Invalid Product Code")</f>
        <v>Sports</v>
      </c>
      <c r="J744" s="5">
        <f>IFERROR(INDEX(Product_Master!$C$2:$C$30,MATCH($H744,Product_Master!$A$2:$A$30,0)),0)</f>
        <v>518.76</v>
      </c>
      <c r="K744" s="5">
        <f>Sales_Data!E741</f>
        <v>2</v>
      </c>
      <c r="L744" s="5">
        <f>Sales_Data!F741</f>
        <v>1326.55</v>
      </c>
      <c r="M744" s="5">
        <f>Sales_Data!G741</f>
        <v>1164.8</v>
      </c>
      <c r="N744" s="5" t="str">
        <f>IFERROR(INDEX(Branch_Master!$B$2:$B$9,MATCH($B744,Branch_Master!$A$2:$A$9,0)),"Not Found")</f>
        <v>Kolkata</v>
      </c>
      <c r="O744" s="5" t="str">
        <f>IFERROR(INDEX(Branch_Master!$C$2:$C$9,MATCH($B744,Branch_Master!$A$2:$A$9,0)),"Not Found")</f>
        <v>West Bengal</v>
      </c>
      <c r="P744" s="5">
        <f>IFERROR(INDEX(Targets!$B$2:$B$9,MATCH($B744,Targets!$A$2:$A$9,0)),0)</f>
        <v>1910000</v>
      </c>
      <c r="Q744" s="5" t="str">
        <f t="shared" si="22"/>
        <v>Yes</v>
      </c>
      <c r="R744" s="5" t="str">
        <f t="shared" si="23"/>
        <v>Oct</v>
      </c>
    </row>
    <row r="745" spans="1:18" ht="15" customHeight="1" x14ac:dyDescent="0.3">
      <c r="A745" s="5" t="str">
        <f>Sales_Data!A742</f>
        <v>2025-10-01</v>
      </c>
      <c r="B745" s="5" t="str">
        <f>Sales_Data!B742</f>
        <v>Delhi NCR</v>
      </c>
      <c r="C745" s="5" t="str">
        <f>Sales_Data!C742</f>
        <v>E013</v>
      </c>
      <c r="D745" s="5" t="str">
        <f>IFERROR(INDEX(Employee_Master!$B$2:$B$44,MATCH($C745,Employee_Master!$A$2:$A$44,0)),"Not Found")</f>
        <v>Norma Wilson</v>
      </c>
      <c r="E745" s="5" t="str">
        <f>IFERROR(INDEX(Employee_Master!$C$2:$C$44,MATCH($C745,Employee_Master!$A$2:$A$44,0)),"Not Found")</f>
        <v>Customer Support</v>
      </c>
      <c r="F745" s="5" t="str">
        <f>IFERROR(INDEX(Employee_Master!$D$2:$D$44,MATCH($C745,Employee_Master!$A$2:$A$44,0)),"Not Found")</f>
        <v>William Oconnell</v>
      </c>
      <c r="G745" s="5" t="str">
        <f>IFERROR(INDEX(Employee_Master!$E$2:$E$44,MATCH($C745,Employee_Master!$A$2:$A$44,0)),"Not Found")</f>
        <v>North</v>
      </c>
      <c r="H745" s="5" t="str">
        <f>Sales_Data!D742</f>
        <v>P006 - Laptop Stand</v>
      </c>
      <c r="I745" s="5" t="str">
        <f>IFERROR(INDEX(Product_Master!$B$2:$B$30,MATCH($H745,Product_Master!$A$2:$A$30,0)),"Invalid Product Code")</f>
        <v>Electronics</v>
      </c>
      <c r="J745" s="5">
        <f>IFERROR(INDEX(Product_Master!$C$2:$C$30,MATCH($H745,Product_Master!$A$2:$A$30,0)),0)</f>
        <v>393.96</v>
      </c>
      <c r="K745" s="5">
        <f>Sales_Data!E742</f>
        <v>4</v>
      </c>
      <c r="L745" s="5">
        <f>Sales_Data!F742</f>
        <v>2082.37</v>
      </c>
      <c r="M745" s="5">
        <f>Sales_Data!G742</f>
        <v>1764.65</v>
      </c>
      <c r="N745" s="5" t="str">
        <f>IFERROR(INDEX(Branch_Master!$B$2:$B$9,MATCH($B745,Branch_Master!$A$2:$A$9,0)),"Not Found")</f>
        <v>New Delhi</v>
      </c>
      <c r="O745" s="5" t="str">
        <f>IFERROR(INDEX(Branch_Master!$C$2:$C$9,MATCH($B745,Branch_Master!$A$2:$A$9,0)),"Not Found")</f>
        <v>Delhi</v>
      </c>
      <c r="P745" s="5">
        <f>IFERROR(INDEX(Targets!$B$2:$B$9,MATCH($B745,Targets!$A$2:$A$9,0)),0)</f>
        <v>2070000</v>
      </c>
      <c r="Q745" s="5" t="str">
        <f t="shared" si="22"/>
        <v>Yes</v>
      </c>
      <c r="R745" s="5" t="str">
        <f t="shared" si="23"/>
        <v>Oct</v>
      </c>
    </row>
    <row r="746" spans="1:18" ht="15" customHeight="1" x14ac:dyDescent="0.3">
      <c r="A746" s="5" t="str">
        <f>Sales_Data!A743</f>
        <v>2025-10-02</v>
      </c>
      <c r="B746" s="5" t="str">
        <f>Sales_Data!B743</f>
        <v>Delhi NCR</v>
      </c>
      <c r="C746" s="5" t="str">
        <f>Sales_Data!C743</f>
        <v>E013</v>
      </c>
      <c r="D746" s="5" t="str">
        <f>IFERROR(INDEX(Employee_Master!$B$2:$B$44,MATCH($C746,Employee_Master!$A$2:$A$44,0)),"Not Found")</f>
        <v>Norma Wilson</v>
      </c>
      <c r="E746" s="5" t="str">
        <f>IFERROR(INDEX(Employee_Master!$C$2:$C$44,MATCH($C746,Employee_Master!$A$2:$A$44,0)),"Not Found")</f>
        <v>Customer Support</v>
      </c>
      <c r="F746" s="5" t="str">
        <f>IFERROR(INDEX(Employee_Master!$D$2:$D$44,MATCH($C746,Employee_Master!$A$2:$A$44,0)),"Not Found")</f>
        <v>William Oconnell</v>
      </c>
      <c r="G746" s="5" t="str">
        <f>IFERROR(INDEX(Employee_Master!$E$2:$E$44,MATCH($C746,Employee_Master!$A$2:$A$44,0)),"Not Found")</f>
        <v>North</v>
      </c>
      <c r="H746" s="5" t="str">
        <f>Sales_Data!D743</f>
        <v>P004 - Power Bank</v>
      </c>
      <c r="I746" s="5" t="str">
        <f>IFERROR(INDEX(Product_Master!$B$2:$B$30,MATCH($H746,Product_Master!$A$2:$A$30,0)),"Invalid Product Code")</f>
        <v>Electronics</v>
      </c>
      <c r="J746" s="5">
        <f>IFERROR(INDEX(Product_Master!$C$2:$C$30,MATCH($H746,Product_Master!$A$2:$A$30,0)),0)</f>
        <v>76.91</v>
      </c>
      <c r="K746" s="5">
        <f>Sales_Data!E743</f>
        <v>10</v>
      </c>
      <c r="L746" s="5">
        <f>Sales_Data!F743</f>
        <v>1045.9000000000001</v>
      </c>
      <c r="M746" s="5">
        <f>Sales_Data!G743</f>
        <v>699.16</v>
      </c>
      <c r="N746" s="5" t="str">
        <f>IFERROR(INDEX(Branch_Master!$B$2:$B$9,MATCH($B746,Branch_Master!$A$2:$A$9,0)),"Not Found")</f>
        <v>New Delhi</v>
      </c>
      <c r="O746" s="5" t="str">
        <f>IFERROR(INDEX(Branch_Master!$C$2:$C$9,MATCH($B746,Branch_Master!$A$2:$A$9,0)),"Not Found")</f>
        <v>Delhi</v>
      </c>
      <c r="P746" s="5">
        <f>IFERROR(INDEX(Targets!$B$2:$B$9,MATCH($B746,Targets!$A$2:$A$9,0)),0)</f>
        <v>2070000</v>
      </c>
      <c r="Q746" s="5" t="str">
        <f t="shared" si="22"/>
        <v>Yes</v>
      </c>
      <c r="R746" s="5" t="str">
        <f t="shared" si="23"/>
        <v>Oct</v>
      </c>
    </row>
    <row r="747" spans="1:18" ht="15" customHeight="1" x14ac:dyDescent="0.3">
      <c r="A747" s="5" t="str">
        <f>Sales_Data!A744</f>
        <v>2025-10-02</v>
      </c>
      <c r="B747" s="5" t="str">
        <f>Sales_Data!B744</f>
        <v>Delhi NCR</v>
      </c>
      <c r="C747" s="5" t="str">
        <f>Sales_Data!C744</f>
        <v>E031</v>
      </c>
      <c r="D747" s="5" t="str">
        <f>IFERROR(INDEX(Employee_Master!$B$2:$B$44,MATCH($C747,Employee_Master!$A$2:$A$44,0)),"Not Found")</f>
        <v>Jennifer Garcia</v>
      </c>
      <c r="E747" s="5" t="str">
        <f>IFERROR(INDEX(Employee_Master!$C$2:$C$44,MATCH($C747,Employee_Master!$A$2:$A$44,0)),"Not Found")</f>
        <v>Sales</v>
      </c>
      <c r="F747" s="5" t="str">
        <f>IFERROR(INDEX(Employee_Master!$D$2:$D$44,MATCH($C747,Employee_Master!$A$2:$A$44,0)),"Not Found")</f>
        <v>William Oconnell</v>
      </c>
      <c r="G747" s="5" t="str">
        <f>IFERROR(INDEX(Employee_Master!$E$2:$E$44,MATCH($C747,Employee_Master!$A$2:$A$44,0)),"Not Found")</f>
        <v>North</v>
      </c>
      <c r="H747" s="5" t="str">
        <f>Sales_Data!D744</f>
        <v>P023 - Sunscreen SPF50</v>
      </c>
      <c r="I747" s="5" t="str">
        <f>IFERROR(INDEX(Product_Master!$B$2:$B$30,MATCH($H747,Product_Master!$A$2:$A$30,0)),"Invalid Product Code")</f>
        <v>Beauty</v>
      </c>
      <c r="J747" s="5">
        <f>IFERROR(INDEX(Product_Master!$C$2:$C$30,MATCH($H747,Product_Master!$A$2:$A$30,0)),0)</f>
        <v>818.95</v>
      </c>
      <c r="K747" s="5">
        <f>Sales_Data!E744</f>
        <v>1</v>
      </c>
      <c r="L747" s="5">
        <f>Sales_Data!F744</f>
        <v>1032.3800000000001</v>
      </c>
      <c r="M747" s="5">
        <f>Sales_Data!G744</f>
        <v>716.44</v>
      </c>
      <c r="N747" s="5" t="str">
        <f>IFERROR(INDEX(Branch_Master!$B$2:$B$9,MATCH($B747,Branch_Master!$A$2:$A$9,0)),"Not Found")</f>
        <v>New Delhi</v>
      </c>
      <c r="O747" s="5" t="str">
        <f>IFERROR(INDEX(Branch_Master!$C$2:$C$9,MATCH($B747,Branch_Master!$A$2:$A$9,0)),"Not Found")</f>
        <v>Delhi</v>
      </c>
      <c r="P747" s="5">
        <f>IFERROR(INDEX(Targets!$B$2:$B$9,MATCH($B747,Targets!$A$2:$A$9,0)),0)</f>
        <v>2070000</v>
      </c>
      <c r="Q747" s="5" t="str">
        <f t="shared" si="22"/>
        <v>Yes</v>
      </c>
      <c r="R747" s="5" t="str">
        <f t="shared" si="23"/>
        <v>Oct</v>
      </c>
    </row>
    <row r="748" spans="1:18" ht="15" customHeight="1" x14ac:dyDescent="0.3">
      <c r="A748" s="5" t="str">
        <f>Sales_Data!A745</f>
        <v>2025-10-03</v>
      </c>
      <c r="B748" s="5" t="str">
        <f>Sales_Data!B745</f>
        <v>Delhi NCR</v>
      </c>
      <c r="C748" s="5" t="str">
        <f>Sales_Data!C745</f>
        <v>E031</v>
      </c>
      <c r="D748" s="5" t="str">
        <f>IFERROR(INDEX(Employee_Master!$B$2:$B$44,MATCH($C748,Employee_Master!$A$2:$A$44,0)),"Not Found")</f>
        <v>Jennifer Garcia</v>
      </c>
      <c r="E748" s="5" t="str">
        <f>IFERROR(INDEX(Employee_Master!$C$2:$C$44,MATCH($C748,Employee_Master!$A$2:$A$44,0)),"Not Found")</f>
        <v>Sales</v>
      </c>
      <c r="F748" s="5" t="str">
        <f>IFERROR(INDEX(Employee_Master!$D$2:$D$44,MATCH($C748,Employee_Master!$A$2:$A$44,0)),"Not Found")</f>
        <v>William Oconnell</v>
      </c>
      <c r="G748" s="5" t="str">
        <f>IFERROR(INDEX(Employee_Master!$E$2:$E$44,MATCH($C748,Employee_Master!$A$2:$A$44,0)),"Not Found")</f>
        <v>North</v>
      </c>
      <c r="H748" s="5" t="str">
        <f>Sales_Data!D745</f>
        <v>P015 - Water Bottle</v>
      </c>
      <c r="I748" s="5" t="str">
        <f>IFERROR(INDEX(Product_Master!$B$2:$B$30,MATCH($H748,Product_Master!$A$2:$A$30,0)),"Invalid Product Code")</f>
        <v>Home &amp; Kitchen</v>
      </c>
      <c r="J748" s="5">
        <f>IFERROR(INDEX(Product_Master!$C$2:$C$30,MATCH($H748,Product_Master!$A$2:$A$30,0)),0)</f>
        <v>197.57</v>
      </c>
      <c r="K748" s="5">
        <f>Sales_Data!E745</f>
        <v>1</v>
      </c>
      <c r="L748" s="5">
        <f>Sales_Data!F745</f>
        <v>255.19</v>
      </c>
      <c r="M748" s="5">
        <f>Sales_Data!G745</f>
        <v>189.88</v>
      </c>
      <c r="N748" s="5" t="str">
        <f>IFERROR(INDEX(Branch_Master!$B$2:$B$9,MATCH($B748,Branch_Master!$A$2:$A$9,0)),"Not Found")</f>
        <v>New Delhi</v>
      </c>
      <c r="O748" s="5" t="str">
        <f>IFERROR(INDEX(Branch_Master!$C$2:$C$9,MATCH($B748,Branch_Master!$A$2:$A$9,0)),"Not Found")</f>
        <v>Delhi</v>
      </c>
      <c r="P748" s="5">
        <f>IFERROR(INDEX(Targets!$B$2:$B$9,MATCH($B748,Targets!$A$2:$A$9,0)),0)</f>
        <v>2070000</v>
      </c>
      <c r="Q748" s="5" t="str">
        <f t="shared" si="22"/>
        <v>Yes</v>
      </c>
      <c r="R748" s="5" t="str">
        <f t="shared" si="23"/>
        <v>Oct</v>
      </c>
    </row>
    <row r="749" spans="1:18" ht="15" customHeight="1" x14ac:dyDescent="0.3">
      <c r="A749" s="5" t="str">
        <f>Sales_Data!A746</f>
        <v>2025-10-03</v>
      </c>
      <c r="B749" s="5" t="str">
        <f>Sales_Data!B746</f>
        <v>Chennai South</v>
      </c>
      <c r="C749" s="5" t="str">
        <f>Sales_Data!C746</f>
        <v>E032</v>
      </c>
      <c r="D749" s="5" t="str">
        <f>IFERROR(INDEX(Employee_Master!$B$2:$B$44,MATCH($C749,Employee_Master!$A$2:$A$44,0)),"Not Found")</f>
        <v>Victor Allen</v>
      </c>
      <c r="E749" s="5" t="str">
        <f>IFERROR(INDEX(Employee_Master!$C$2:$C$44,MATCH($C749,Employee_Master!$A$2:$A$44,0)),"Not Found")</f>
        <v>Operations</v>
      </c>
      <c r="F749" s="5" t="str">
        <f>IFERROR(INDEX(Employee_Master!$D$2:$D$44,MATCH($C749,Employee_Master!$A$2:$A$44,0)),"Not Found")</f>
        <v>Robert Steele</v>
      </c>
      <c r="G749" s="5" t="str">
        <f>IFERROR(INDEX(Employee_Master!$E$2:$E$44,MATCH($C749,Employee_Master!$A$2:$A$44,0)),"Not Found")</f>
        <v>South</v>
      </c>
      <c r="H749" s="5" t="str">
        <f>Sales_Data!D746</f>
        <v>P008 - Denim Jeans</v>
      </c>
      <c r="I749" s="5" t="str">
        <f>IFERROR(INDEX(Product_Master!$B$2:$B$30,MATCH($H749,Product_Master!$A$2:$A$30,0)),"Invalid Product Code")</f>
        <v>Apparel</v>
      </c>
      <c r="J749" s="5">
        <f>IFERROR(INDEX(Product_Master!$C$2:$C$30,MATCH($H749,Product_Master!$A$2:$A$30,0)),0)</f>
        <v>614.48</v>
      </c>
      <c r="K749" s="5">
        <f>Sales_Data!E746</f>
        <v>6</v>
      </c>
      <c r="L749" s="5">
        <f>Sales_Data!F746</f>
        <v>4900.32</v>
      </c>
      <c r="M749" s="5">
        <f>Sales_Data!G746</f>
        <v>3701.75</v>
      </c>
      <c r="N749" s="5" t="str">
        <f>IFERROR(INDEX(Branch_Master!$B$2:$B$9,MATCH($B749,Branch_Master!$A$2:$A$9,0)),"Not Found")</f>
        <v>Chennai</v>
      </c>
      <c r="O749" s="5" t="str">
        <f>IFERROR(INDEX(Branch_Master!$C$2:$C$9,MATCH($B749,Branch_Master!$A$2:$A$9,0)),"Not Found")</f>
        <v>Tamil Nadu</v>
      </c>
      <c r="P749" s="5">
        <f>IFERROR(INDEX(Targets!$B$2:$B$9,MATCH($B749,Targets!$A$2:$A$9,0)),0)</f>
        <v>1910000</v>
      </c>
      <c r="Q749" s="5" t="str">
        <f t="shared" si="22"/>
        <v>Yes</v>
      </c>
      <c r="R749" s="5" t="str">
        <f t="shared" si="23"/>
        <v>Oct</v>
      </c>
    </row>
    <row r="750" spans="1:18" ht="15" customHeight="1" x14ac:dyDescent="0.3">
      <c r="A750" s="5" t="str">
        <f>Sales_Data!A747</f>
        <v>2025-10-03</v>
      </c>
      <c r="B750" s="5" t="str">
        <f>Sales_Data!B747</f>
        <v>Hyderabad Hitech</v>
      </c>
      <c r="C750" s="5" t="str">
        <f>Sales_Data!C747</f>
        <v>E035</v>
      </c>
      <c r="D750" s="5" t="str">
        <f>IFERROR(INDEX(Employee_Master!$B$2:$B$44,MATCH($C750,Employee_Master!$A$2:$A$44,0)),"Not Found")</f>
        <v>Andrea Perez</v>
      </c>
      <c r="E750" s="5" t="str">
        <f>IFERROR(INDEX(Employee_Master!$C$2:$C$44,MATCH($C750,Employee_Master!$A$2:$A$44,0)),"Not Found")</f>
        <v>Sales</v>
      </c>
      <c r="F750" s="5" t="str">
        <f>IFERROR(INDEX(Employee_Master!$D$2:$D$44,MATCH($C750,Employee_Master!$A$2:$A$44,0)),"Not Found")</f>
        <v>Anna Turner</v>
      </c>
      <c r="G750" s="5" t="str">
        <f>IFERROR(INDEX(Employee_Master!$E$2:$E$44,MATCH($C750,Employee_Master!$A$2:$A$44,0)),"Not Found")</f>
        <v>South</v>
      </c>
      <c r="H750" s="5" t="str">
        <f>Sales_Data!D747</f>
        <v>P018 - Cooking Oil 1L</v>
      </c>
      <c r="I750" s="5" t="str">
        <f>IFERROR(INDEX(Product_Master!$B$2:$B$30,MATCH($H750,Product_Master!$A$2:$A$30,0)),"Invalid Product Code")</f>
        <v>Grocery</v>
      </c>
      <c r="J750" s="5">
        <f>IFERROR(INDEX(Product_Master!$C$2:$C$30,MATCH($H750,Product_Master!$A$2:$A$30,0)),0)</f>
        <v>1483.63</v>
      </c>
      <c r="K750" s="5">
        <f>Sales_Data!E747</f>
        <v>11</v>
      </c>
      <c r="L750" s="5">
        <f>Sales_Data!F747</f>
        <v>20020.79</v>
      </c>
      <c r="M750" s="5">
        <f>Sales_Data!G747</f>
        <v>14930.31</v>
      </c>
      <c r="N750" s="5" t="str">
        <f>IFERROR(INDEX(Branch_Master!$B$2:$B$9,MATCH($B750,Branch_Master!$A$2:$A$9,0)),"Not Found")</f>
        <v>Hyderabad</v>
      </c>
      <c r="O750" s="5" t="str">
        <f>IFERROR(INDEX(Branch_Master!$C$2:$C$9,MATCH($B750,Branch_Master!$A$2:$A$9,0)),"Not Found")</f>
        <v>Telangana</v>
      </c>
      <c r="P750" s="5">
        <f>IFERROR(INDEX(Targets!$B$2:$B$9,MATCH($B750,Targets!$A$2:$A$9,0)),0)</f>
        <v>1210000</v>
      </c>
      <c r="Q750" s="5" t="str">
        <f t="shared" si="22"/>
        <v>Yes</v>
      </c>
      <c r="R750" s="5" t="str">
        <f t="shared" si="23"/>
        <v>Oct</v>
      </c>
    </row>
    <row r="751" spans="1:18" ht="15" customHeight="1" x14ac:dyDescent="0.3">
      <c r="A751" s="5" t="str">
        <f>Sales_Data!A748</f>
        <v>2025-10-03</v>
      </c>
      <c r="B751" s="5" t="str">
        <f>Sales_Data!B748</f>
        <v>Ahmedabad West</v>
      </c>
      <c r="C751" s="5" t="str">
        <f>Sales_Data!C748</f>
        <v>E001</v>
      </c>
      <c r="D751" s="5" t="str">
        <f>IFERROR(INDEX(Employee_Master!$B$2:$B$44,MATCH($C751,Employee_Master!$A$2:$A$44,0)),"Not Found")</f>
        <v>David Johnson</v>
      </c>
      <c r="E751" s="5" t="str">
        <f>IFERROR(INDEX(Employee_Master!$C$2:$C$44,MATCH($C751,Employee_Master!$A$2:$A$44,0)),"Not Found")</f>
        <v>Customer Support</v>
      </c>
      <c r="F751" s="5" t="str">
        <f>IFERROR(INDEX(Employee_Master!$D$2:$D$44,MATCH($C751,Employee_Master!$A$2:$A$44,0)),"Not Found")</f>
        <v>Joseph Brown</v>
      </c>
      <c r="G751" s="5" t="str">
        <f>IFERROR(INDEX(Employee_Master!$E$2:$E$44,MATCH($C751,Employee_Master!$A$2:$A$44,0)),"Not Found")</f>
        <v>West</v>
      </c>
      <c r="H751" s="5" t="str">
        <f>Sales_Data!D748</f>
        <v>P010 - Running Shoes</v>
      </c>
      <c r="I751" s="5" t="str">
        <f>IFERROR(INDEX(Product_Master!$B$2:$B$30,MATCH($H751,Product_Master!$A$2:$A$30,0)),"Invalid Product Code")</f>
        <v>Apparel</v>
      </c>
      <c r="J751" s="5">
        <f>IFERROR(INDEX(Product_Master!$C$2:$C$30,MATCH($H751,Product_Master!$A$2:$A$30,0)),0)</f>
        <v>233.71</v>
      </c>
      <c r="K751" s="5">
        <f>Sales_Data!E748</f>
        <v>4</v>
      </c>
      <c r="L751" s="5">
        <f>Sales_Data!F748</f>
        <v>1270.75</v>
      </c>
      <c r="M751" s="5">
        <f>Sales_Data!G748</f>
        <v>801.32</v>
      </c>
      <c r="N751" s="5" t="str">
        <f>IFERROR(INDEX(Branch_Master!$B$2:$B$9,MATCH($B751,Branch_Master!$A$2:$A$9,0)),"Not Found")</f>
        <v>Ahmedabad</v>
      </c>
      <c r="O751" s="5" t="str">
        <f>IFERROR(INDEX(Branch_Master!$C$2:$C$9,MATCH($B751,Branch_Master!$A$2:$A$9,0)),"Not Found")</f>
        <v>Gujarat</v>
      </c>
      <c r="P751" s="5">
        <f>IFERROR(INDEX(Targets!$B$2:$B$9,MATCH($B751,Targets!$A$2:$A$9,0)),0)</f>
        <v>1590000</v>
      </c>
      <c r="Q751" s="5" t="str">
        <f t="shared" si="22"/>
        <v>Yes</v>
      </c>
      <c r="R751" s="5" t="str">
        <f t="shared" si="23"/>
        <v>Oct</v>
      </c>
    </row>
    <row r="752" spans="1:18" ht="15" customHeight="1" x14ac:dyDescent="0.3">
      <c r="A752" s="5" t="str">
        <f>Sales_Data!A749</f>
        <v>2025-10-04</v>
      </c>
      <c r="B752" s="5" t="str">
        <f>Sales_Data!B749</f>
        <v>Kolkata Central</v>
      </c>
      <c r="C752" s="5" t="str">
        <f>Sales_Data!C749</f>
        <v>E018</v>
      </c>
      <c r="D752" s="5" t="str">
        <f>IFERROR(INDEX(Employee_Master!$B$2:$B$44,MATCH($C752,Employee_Master!$A$2:$A$44,0)),"Not Found")</f>
        <v>Daniel Nelson</v>
      </c>
      <c r="E752" s="5" t="str">
        <f>IFERROR(INDEX(Employee_Master!$C$2:$C$44,MATCH($C752,Employee_Master!$A$2:$A$44,0)),"Not Found")</f>
        <v>Sales</v>
      </c>
      <c r="F752" s="5" t="str">
        <f>IFERROR(INDEX(Employee_Master!$D$2:$D$44,MATCH($C752,Employee_Master!$A$2:$A$44,0)),"Not Found")</f>
        <v>Lisa Moore</v>
      </c>
      <c r="G752" s="5" t="str">
        <f>IFERROR(INDEX(Employee_Master!$E$2:$E$44,MATCH($C752,Employee_Master!$A$2:$A$44,0)),"Not Found")</f>
        <v>East</v>
      </c>
      <c r="H752" s="5" t="str">
        <f>Sales_Data!D749</f>
        <v>P021 - Assorted Spices Kit</v>
      </c>
      <c r="I752" s="5" t="str">
        <f>IFERROR(INDEX(Product_Master!$B$2:$B$30,MATCH($H752,Product_Master!$A$2:$A$30,0)),"Invalid Product Code")</f>
        <v>Grocery</v>
      </c>
      <c r="J752" s="5">
        <f>IFERROR(INDEX(Product_Master!$C$2:$C$30,MATCH($H752,Product_Master!$A$2:$A$30,0)),0)</f>
        <v>1060.97</v>
      </c>
      <c r="K752" s="5">
        <f>Sales_Data!E749</f>
        <v>8</v>
      </c>
      <c r="L752" s="5">
        <f>Sales_Data!F749</f>
        <v>11717.16</v>
      </c>
      <c r="M752" s="5">
        <f>Sales_Data!G749</f>
        <v>7408.62</v>
      </c>
      <c r="N752" s="5" t="str">
        <f>IFERROR(INDEX(Branch_Master!$B$2:$B$9,MATCH($B752,Branch_Master!$A$2:$A$9,0)),"Not Found")</f>
        <v>Kolkata</v>
      </c>
      <c r="O752" s="5" t="str">
        <f>IFERROR(INDEX(Branch_Master!$C$2:$C$9,MATCH($B752,Branch_Master!$A$2:$A$9,0)),"Not Found")</f>
        <v>West Bengal</v>
      </c>
      <c r="P752" s="5">
        <f>IFERROR(INDEX(Targets!$B$2:$B$9,MATCH($B752,Targets!$A$2:$A$9,0)),0)</f>
        <v>1910000</v>
      </c>
      <c r="Q752" s="5" t="str">
        <f t="shared" si="22"/>
        <v>Yes</v>
      </c>
      <c r="R752" s="5" t="str">
        <f t="shared" si="23"/>
        <v>Oct</v>
      </c>
    </row>
    <row r="753" spans="1:18" ht="15" customHeight="1" x14ac:dyDescent="0.3">
      <c r="A753" s="5" t="str">
        <f>Sales_Data!A750</f>
        <v>2025-10-04</v>
      </c>
      <c r="B753" s="5" t="str">
        <f>Sales_Data!B750</f>
        <v>Kolkata Central</v>
      </c>
      <c r="C753" s="5" t="str">
        <f>Sales_Data!C750</f>
        <v>E029</v>
      </c>
      <c r="D753" s="5" t="str">
        <f>IFERROR(INDEX(Employee_Master!$B$2:$B$44,MATCH($C753,Employee_Master!$A$2:$A$44,0)),"Not Found")</f>
        <v>Patrick Shepard</v>
      </c>
      <c r="E753" s="5" t="str">
        <f>IFERROR(INDEX(Employee_Master!$C$2:$C$44,MATCH($C753,Employee_Master!$A$2:$A$44,0)),"Not Found")</f>
        <v>Sales</v>
      </c>
      <c r="F753" s="5" t="str">
        <f>IFERROR(INDEX(Employee_Master!$D$2:$D$44,MATCH($C753,Employee_Master!$A$2:$A$44,0)),"Not Found")</f>
        <v>Lisa Moore</v>
      </c>
      <c r="G753" s="5" t="str">
        <f>IFERROR(INDEX(Employee_Master!$E$2:$E$44,MATCH($C753,Employee_Master!$A$2:$A$44,0)),"Not Found")</f>
        <v>East</v>
      </c>
      <c r="H753" s="5" t="str">
        <f>Sales_Data!D750</f>
        <v>P003 - Bluetooth Speaker</v>
      </c>
      <c r="I753" s="5" t="str">
        <f>IFERROR(INDEX(Product_Master!$B$2:$B$30,MATCH($H753,Product_Master!$A$2:$A$30,0)),"Invalid Product Code")</f>
        <v>Electronics</v>
      </c>
      <c r="J753" s="5">
        <f>IFERROR(INDEX(Product_Master!$C$2:$C$30,MATCH($H753,Product_Master!$A$2:$A$30,0)),0)</f>
        <v>351.01</v>
      </c>
      <c r="K753" s="5">
        <f>Sales_Data!E750</f>
        <v>1</v>
      </c>
      <c r="L753" s="5">
        <f>Sales_Data!F750</f>
        <v>473.78</v>
      </c>
      <c r="M753" s="5">
        <f>Sales_Data!G750</f>
        <v>336.56</v>
      </c>
      <c r="N753" s="5" t="str">
        <f>IFERROR(INDEX(Branch_Master!$B$2:$B$9,MATCH($B753,Branch_Master!$A$2:$A$9,0)),"Not Found")</f>
        <v>Kolkata</v>
      </c>
      <c r="O753" s="5" t="str">
        <f>IFERROR(INDEX(Branch_Master!$C$2:$C$9,MATCH($B753,Branch_Master!$A$2:$A$9,0)),"Not Found")</f>
        <v>West Bengal</v>
      </c>
      <c r="P753" s="5">
        <f>IFERROR(INDEX(Targets!$B$2:$B$9,MATCH($B753,Targets!$A$2:$A$9,0)),0)</f>
        <v>1910000</v>
      </c>
      <c r="Q753" s="5" t="str">
        <f t="shared" si="22"/>
        <v>Yes</v>
      </c>
      <c r="R753" s="5" t="str">
        <f t="shared" si="23"/>
        <v>Oct</v>
      </c>
    </row>
    <row r="754" spans="1:18" ht="15" customHeight="1" x14ac:dyDescent="0.3">
      <c r="A754" s="5" t="str">
        <f>Sales_Data!A751</f>
        <v>2025-10-05</v>
      </c>
      <c r="B754" s="5" t="str">
        <f>Sales_Data!B751</f>
        <v>Pune East</v>
      </c>
      <c r="C754" s="5" t="str">
        <f>Sales_Data!C751</f>
        <v>E022</v>
      </c>
      <c r="D754" s="5" t="str">
        <f>IFERROR(INDEX(Employee_Master!$B$2:$B$44,MATCH($C754,Employee_Master!$A$2:$A$44,0)),"Not Found")</f>
        <v>Cindy Green PhD</v>
      </c>
      <c r="E754" s="5" t="str">
        <f>IFERROR(INDEX(Employee_Master!$C$2:$C$44,MATCH($C754,Employee_Master!$A$2:$A$44,0)),"Not Found")</f>
        <v>Customer Support</v>
      </c>
      <c r="F754" s="5" t="str">
        <f>IFERROR(INDEX(Employee_Master!$D$2:$D$44,MATCH($C754,Employee_Master!$A$2:$A$44,0)),"Not Found")</f>
        <v>Jordan Matthews</v>
      </c>
      <c r="G754" s="5" t="str">
        <f>IFERROR(INDEX(Employee_Master!$E$2:$E$44,MATCH($C754,Employee_Master!$A$2:$A$44,0)),"Not Found")</f>
        <v>West</v>
      </c>
      <c r="H754" s="5" t="str">
        <f>Sales_Data!D751</f>
        <v>P003 - Bluetooth Speaker</v>
      </c>
      <c r="I754" s="5" t="str">
        <f>IFERROR(INDEX(Product_Master!$B$2:$B$30,MATCH($H754,Product_Master!$A$2:$A$30,0)),"Invalid Product Code")</f>
        <v>Electronics</v>
      </c>
      <c r="J754" s="5">
        <f>IFERROR(INDEX(Product_Master!$C$2:$C$30,MATCH($H754,Product_Master!$A$2:$A$30,0)),0)</f>
        <v>351.01</v>
      </c>
      <c r="K754" s="5">
        <f>Sales_Data!E751</f>
        <v>8</v>
      </c>
      <c r="L754" s="5">
        <f>Sales_Data!F751</f>
        <v>3764.54</v>
      </c>
      <c r="M754" s="5">
        <f>Sales_Data!G751</f>
        <v>3052.59</v>
      </c>
      <c r="N754" s="5" t="str">
        <f>IFERROR(INDEX(Branch_Master!$B$2:$B$9,MATCH($B754,Branch_Master!$A$2:$A$9,0)),"Not Found")</f>
        <v>Pune</v>
      </c>
      <c r="O754" s="5" t="str">
        <f>IFERROR(INDEX(Branch_Master!$C$2:$C$9,MATCH($B754,Branch_Master!$A$2:$A$9,0)),"Not Found")</f>
        <v>Maharashtra</v>
      </c>
      <c r="P754" s="5">
        <f>IFERROR(INDEX(Targets!$B$2:$B$9,MATCH($B754,Targets!$A$2:$A$9,0)),0)</f>
        <v>1250000</v>
      </c>
      <c r="Q754" s="5" t="str">
        <f t="shared" si="22"/>
        <v>Yes</v>
      </c>
      <c r="R754" s="5" t="str">
        <f t="shared" si="23"/>
        <v>Oct</v>
      </c>
    </row>
    <row r="755" spans="1:18" ht="15" customHeight="1" x14ac:dyDescent="0.3">
      <c r="A755" s="5" t="str">
        <f>Sales_Data!A752</f>
        <v>2025-10-05</v>
      </c>
      <c r="B755" s="5" t="str">
        <f>Sales_Data!B752</f>
        <v>Mumbai Central</v>
      </c>
      <c r="C755" s="5" t="str">
        <f>Sales_Data!C752</f>
        <v>E033</v>
      </c>
      <c r="D755" s="5" t="str">
        <f>IFERROR(INDEX(Employee_Master!$B$2:$B$44,MATCH($C755,Employee_Master!$A$2:$A$44,0)),"Not Found")</f>
        <v>Dawn Colon</v>
      </c>
      <c r="E755" s="5" t="str">
        <f>IFERROR(INDEX(Employee_Master!$C$2:$C$44,MATCH($C755,Employee_Master!$A$2:$A$44,0)),"Not Found")</f>
        <v>Customer Support</v>
      </c>
      <c r="F755" s="5" t="str">
        <f>IFERROR(INDEX(Employee_Master!$D$2:$D$44,MATCH($C755,Employee_Master!$A$2:$A$44,0)),"Not Found")</f>
        <v>Justin Glass</v>
      </c>
      <c r="G755" s="5" t="str">
        <f>IFERROR(INDEX(Employee_Master!$E$2:$E$44,MATCH($C755,Employee_Master!$A$2:$A$44,0)),"Not Found")</f>
        <v>West</v>
      </c>
      <c r="H755" s="5" t="str">
        <f>Sales_Data!D752</f>
        <v>P002 - Smart Watch</v>
      </c>
      <c r="I755" s="5" t="str">
        <f>IFERROR(INDEX(Product_Master!$B$2:$B$30,MATCH($H755,Product_Master!$A$2:$A$30,0)),"Invalid Product Code")</f>
        <v>Electronics</v>
      </c>
      <c r="J755" s="5">
        <f>IFERROR(INDEX(Product_Master!$C$2:$C$30,MATCH($H755,Product_Master!$A$2:$A$30,0)),0)</f>
        <v>403.33</v>
      </c>
      <c r="K755" s="5">
        <f>Sales_Data!E752</f>
        <v>9</v>
      </c>
      <c r="L755" s="5">
        <f>Sales_Data!F752</f>
        <v>4839.1400000000003</v>
      </c>
      <c r="M755" s="5">
        <f>Sales_Data!G752</f>
        <v>3572.05</v>
      </c>
      <c r="N755" s="5" t="str">
        <f>IFERROR(INDEX(Branch_Master!$B$2:$B$9,MATCH($B755,Branch_Master!$A$2:$A$9,0)),"Not Found")</f>
        <v>Mumbai</v>
      </c>
      <c r="O755" s="5" t="str">
        <f>IFERROR(INDEX(Branch_Master!$C$2:$C$9,MATCH($B755,Branch_Master!$A$2:$A$9,0)),"Not Found")</f>
        <v>Maharashtra</v>
      </c>
      <c r="P755" s="5">
        <f>IFERROR(INDEX(Targets!$B$2:$B$9,MATCH($B755,Targets!$A$2:$A$9,0)),0)</f>
        <v>900000</v>
      </c>
      <c r="Q755" s="5" t="str">
        <f t="shared" si="22"/>
        <v>Yes</v>
      </c>
      <c r="R755" s="5" t="str">
        <f t="shared" si="23"/>
        <v>Oct</v>
      </c>
    </row>
    <row r="756" spans="1:18" ht="15" customHeight="1" x14ac:dyDescent="0.3">
      <c r="A756" s="5" t="str">
        <f>Sales_Data!A753</f>
        <v>2025-10-05</v>
      </c>
      <c r="B756" s="5" t="str">
        <f>Sales_Data!B753</f>
        <v>Bangalore North</v>
      </c>
      <c r="C756" s="5" t="str">
        <f>Sales_Data!C753</f>
        <v>E004</v>
      </c>
      <c r="D756" s="5" t="str">
        <f>IFERROR(INDEX(Employee_Master!$B$2:$B$44,MATCH($C756,Employee_Master!$A$2:$A$44,0)),"Not Found")</f>
        <v>Judith Ramirez</v>
      </c>
      <c r="E756" s="5" t="str">
        <f>IFERROR(INDEX(Employee_Master!$C$2:$C$44,MATCH($C756,Employee_Master!$A$2:$A$44,0)),"Not Found")</f>
        <v>Sales</v>
      </c>
      <c r="F756" s="5" t="str">
        <f>IFERROR(INDEX(Employee_Master!$D$2:$D$44,MATCH($C756,Employee_Master!$A$2:$A$44,0)),"Not Found")</f>
        <v>Jose Soto</v>
      </c>
      <c r="G756" s="5" t="str">
        <f>IFERROR(INDEX(Employee_Master!$E$2:$E$44,MATCH($C756,Employee_Master!$A$2:$A$44,0)),"Not Found")</f>
        <v>South</v>
      </c>
      <c r="H756" s="5" t="str">
        <f>Sales_Data!D753</f>
        <v>P024 - Hair Serum</v>
      </c>
      <c r="I756" s="5" t="str">
        <f>IFERROR(INDEX(Product_Master!$B$2:$B$30,MATCH($H756,Product_Master!$A$2:$A$30,0)),"Invalid Product Code")</f>
        <v>Beauty</v>
      </c>
      <c r="J756" s="5">
        <f>IFERROR(INDEX(Product_Master!$C$2:$C$30,MATCH($H756,Product_Master!$A$2:$A$30,0)),0)</f>
        <v>1457.31</v>
      </c>
      <c r="K756" s="5">
        <f>Sales_Data!E753</f>
        <v>11</v>
      </c>
      <c r="L756" s="5">
        <f>Sales_Data!F753</f>
        <v>22133.7</v>
      </c>
      <c r="M756" s="5">
        <f>Sales_Data!G753</f>
        <v>17966.939999999999</v>
      </c>
      <c r="N756" s="5" t="str">
        <f>IFERROR(INDEX(Branch_Master!$B$2:$B$9,MATCH($B756,Branch_Master!$A$2:$A$9,0)),"Not Found")</f>
        <v>Bangalore</v>
      </c>
      <c r="O756" s="5" t="str">
        <f>IFERROR(INDEX(Branch_Master!$C$2:$C$9,MATCH($B756,Branch_Master!$A$2:$A$9,0)),"Not Found")</f>
        <v>Karnataka</v>
      </c>
      <c r="P756" s="5">
        <f>IFERROR(INDEX(Targets!$B$2:$B$9,MATCH($B756,Targets!$A$2:$A$9,0)),0)</f>
        <v>900000</v>
      </c>
      <c r="Q756" s="5" t="str">
        <f t="shared" si="22"/>
        <v>Yes</v>
      </c>
      <c r="R756" s="5" t="str">
        <f t="shared" si="23"/>
        <v>Oct</v>
      </c>
    </row>
    <row r="757" spans="1:18" ht="15" customHeight="1" x14ac:dyDescent="0.3">
      <c r="A757" s="5" t="str">
        <f>Sales_Data!A754</f>
        <v>2025-10-05</v>
      </c>
      <c r="B757" s="5" t="str">
        <f>Sales_Data!B754</f>
        <v>Hyderabad Hitech</v>
      </c>
      <c r="C757" s="5" t="str">
        <f>Sales_Data!C754</f>
        <v>E026</v>
      </c>
      <c r="D757" s="5" t="str">
        <f>IFERROR(INDEX(Employee_Master!$B$2:$B$44,MATCH($C757,Employee_Master!$A$2:$A$44,0)),"Not Found")</f>
        <v>Karen Andrews</v>
      </c>
      <c r="E757" s="5" t="str">
        <f>IFERROR(INDEX(Employee_Master!$C$2:$C$44,MATCH($C757,Employee_Master!$A$2:$A$44,0)),"Not Found")</f>
        <v>Marketing</v>
      </c>
      <c r="F757" s="5" t="str">
        <f>IFERROR(INDEX(Employee_Master!$D$2:$D$44,MATCH($C757,Employee_Master!$A$2:$A$44,0)),"Not Found")</f>
        <v>Anna Turner</v>
      </c>
      <c r="G757" s="5" t="str">
        <f>IFERROR(INDEX(Employee_Master!$E$2:$E$44,MATCH($C757,Employee_Master!$A$2:$A$44,0)),"Not Found")</f>
        <v>South</v>
      </c>
      <c r="H757" s="5" t="str">
        <f>Sales_Data!D754</f>
        <v>P015 - Water Bottle</v>
      </c>
      <c r="I757" s="5" t="str">
        <f>IFERROR(INDEX(Product_Master!$B$2:$B$30,MATCH($H757,Product_Master!$A$2:$A$30,0)),"Invalid Product Code")</f>
        <v>Home &amp; Kitchen</v>
      </c>
      <c r="J757" s="5">
        <f>IFERROR(INDEX(Product_Master!$C$2:$C$30,MATCH($H757,Product_Master!$A$2:$A$30,0)),0)</f>
        <v>197.57</v>
      </c>
      <c r="K757" s="5">
        <f>Sales_Data!E754</f>
        <v>11</v>
      </c>
      <c r="L757" s="5">
        <f>Sales_Data!F754</f>
        <v>2752.06</v>
      </c>
      <c r="M757" s="5">
        <f>Sales_Data!G754</f>
        <v>2322.73</v>
      </c>
      <c r="N757" s="5" t="str">
        <f>IFERROR(INDEX(Branch_Master!$B$2:$B$9,MATCH($B757,Branch_Master!$A$2:$A$9,0)),"Not Found")</f>
        <v>Hyderabad</v>
      </c>
      <c r="O757" s="5" t="str">
        <f>IFERROR(INDEX(Branch_Master!$C$2:$C$9,MATCH($B757,Branch_Master!$A$2:$A$9,0)),"Not Found")</f>
        <v>Telangana</v>
      </c>
      <c r="P757" s="5">
        <f>IFERROR(INDEX(Targets!$B$2:$B$9,MATCH($B757,Targets!$A$2:$A$9,0)),0)</f>
        <v>1210000</v>
      </c>
      <c r="Q757" s="5" t="str">
        <f t="shared" si="22"/>
        <v>Yes</v>
      </c>
      <c r="R757" s="5" t="str">
        <f t="shared" si="23"/>
        <v>Oct</v>
      </c>
    </row>
    <row r="758" spans="1:18" ht="15" customHeight="1" x14ac:dyDescent="0.3">
      <c r="A758" s="5" t="str">
        <f>Sales_Data!A755</f>
        <v>2025-10-06</v>
      </c>
      <c r="B758" s="5" t="str">
        <f>Sales_Data!B755</f>
        <v>Chennai South</v>
      </c>
      <c r="C758" s="5" t="str">
        <f>Sales_Data!C755</f>
        <v>E015</v>
      </c>
      <c r="D758" s="5" t="str">
        <f>IFERROR(INDEX(Employee_Master!$B$2:$B$44,MATCH($C758,Employee_Master!$A$2:$A$44,0)),"Not Found")</f>
        <v>Cassandra Hansen</v>
      </c>
      <c r="E758" s="5" t="str">
        <f>IFERROR(INDEX(Employee_Master!$C$2:$C$44,MATCH($C758,Employee_Master!$A$2:$A$44,0)),"Not Found")</f>
        <v>Customer Support</v>
      </c>
      <c r="F758" s="5" t="str">
        <f>IFERROR(INDEX(Employee_Master!$D$2:$D$44,MATCH($C758,Employee_Master!$A$2:$A$44,0)),"Not Found")</f>
        <v>Robert Steele</v>
      </c>
      <c r="G758" s="5" t="str">
        <f>IFERROR(INDEX(Employee_Master!$E$2:$E$44,MATCH($C758,Employee_Master!$A$2:$A$44,0)),"Not Found")</f>
        <v>South</v>
      </c>
      <c r="H758" s="5" t="str">
        <f>Sales_Data!D755</f>
        <v>P026 - Yoga Mat</v>
      </c>
      <c r="I758" s="5" t="str">
        <f>IFERROR(INDEX(Product_Master!$B$2:$B$30,MATCH($H758,Product_Master!$A$2:$A$30,0)),"Invalid Product Code")</f>
        <v>Sports</v>
      </c>
      <c r="J758" s="5">
        <f>IFERROR(INDEX(Product_Master!$C$2:$C$30,MATCH($H758,Product_Master!$A$2:$A$30,0)),0)</f>
        <v>518.76</v>
      </c>
      <c r="K758" s="5">
        <f>Sales_Data!E755</f>
        <v>4</v>
      </c>
      <c r="L758" s="5">
        <f>Sales_Data!F755</f>
        <v>2652.76</v>
      </c>
      <c r="M758" s="5">
        <f>Sales_Data!G755</f>
        <v>2334.48</v>
      </c>
      <c r="N758" s="5" t="str">
        <f>IFERROR(INDEX(Branch_Master!$B$2:$B$9,MATCH($B758,Branch_Master!$A$2:$A$9,0)),"Not Found")</f>
        <v>Chennai</v>
      </c>
      <c r="O758" s="5" t="str">
        <f>IFERROR(INDEX(Branch_Master!$C$2:$C$9,MATCH($B758,Branch_Master!$A$2:$A$9,0)),"Not Found")</f>
        <v>Tamil Nadu</v>
      </c>
      <c r="P758" s="5">
        <f>IFERROR(INDEX(Targets!$B$2:$B$9,MATCH($B758,Targets!$A$2:$A$9,0)),0)</f>
        <v>1910000</v>
      </c>
      <c r="Q758" s="5" t="str">
        <f t="shared" si="22"/>
        <v>Yes</v>
      </c>
      <c r="R758" s="5" t="str">
        <f t="shared" si="23"/>
        <v>Oct</v>
      </c>
    </row>
    <row r="759" spans="1:18" ht="15" customHeight="1" x14ac:dyDescent="0.3">
      <c r="A759" s="5" t="str">
        <f>Sales_Data!A756</f>
        <v>2025-10-07</v>
      </c>
      <c r="B759" s="5" t="str">
        <f>Sales_Data!B756</f>
        <v>Hyderabad Hitech</v>
      </c>
      <c r="C759" s="5" t="str">
        <f>Sales_Data!C756</f>
        <v>E026</v>
      </c>
      <c r="D759" s="5" t="str">
        <f>IFERROR(INDEX(Employee_Master!$B$2:$B$44,MATCH($C759,Employee_Master!$A$2:$A$44,0)),"Not Found")</f>
        <v>Karen Andrews</v>
      </c>
      <c r="E759" s="5" t="str">
        <f>IFERROR(INDEX(Employee_Master!$C$2:$C$44,MATCH($C759,Employee_Master!$A$2:$A$44,0)),"Not Found")</f>
        <v>Marketing</v>
      </c>
      <c r="F759" s="5" t="str">
        <f>IFERROR(INDEX(Employee_Master!$D$2:$D$44,MATCH($C759,Employee_Master!$A$2:$A$44,0)),"Not Found")</f>
        <v>Anna Turner</v>
      </c>
      <c r="G759" s="5" t="str">
        <f>IFERROR(INDEX(Employee_Master!$E$2:$E$44,MATCH($C759,Employee_Master!$A$2:$A$44,0)),"Not Found")</f>
        <v>South</v>
      </c>
      <c r="H759" s="5" t="str">
        <f>Sales_Data!D756</f>
        <v>P002 - Smart Watch</v>
      </c>
      <c r="I759" s="5" t="str">
        <f>IFERROR(INDEX(Product_Master!$B$2:$B$30,MATCH($H759,Product_Master!$A$2:$A$30,0)),"Invalid Product Code")</f>
        <v>Electronics</v>
      </c>
      <c r="J759" s="5">
        <f>IFERROR(INDEX(Product_Master!$C$2:$C$30,MATCH($H759,Product_Master!$A$2:$A$30,0)),0)</f>
        <v>403.33</v>
      </c>
      <c r="K759" s="5">
        <f>Sales_Data!E756</f>
        <v>4</v>
      </c>
      <c r="L759" s="5">
        <f>Sales_Data!F756</f>
        <v>2124.12</v>
      </c>
      <c r="M759" s="5">
        <f>Sales_Data!G756</f>
        <v>1690.65</v>
      </c>
      <c r="N759" s="5" t="str">
        <f>IFERROR(INDEX(Branch_Master!$B$2:$B$9,MATCH($B759,Branch_Master!$A$2:$A$9,0)),"Not Found")</f>
        <v>Hyderabad</v>
      </c>
      <c r="O759" s="5" t="str">
        <f>IFERROR(INDEX(Branch_Master!$C$2:$C$9,MATCH($B759,Branch_Master!$A$2:$A$9,0)),"Not Found")</f>
        <v>Telangana</v>
      </c>
      <c r="P759" s="5">
        <f>IFERROR(INDEX(Targets!$B$2:$B$9,MATCH($B759,Targets!$A$2:$A$9,0)),0)</f>
        <v>1210000</v>
      </c>
      <c r="Q759" s="5" t="str">
        <f t="shared" si="22"/>
        <v>Yes</v>
      </c>
      <c r="R759" s="5" t="str">
        <f t="shared" si="23"/>
        <v>Oct</v>
      </c>
    </row>
    <row r="760" spans="1:18" ht="15" customHeight="1" x14ac:dyDescent="0.3">
      <c r="A760" s="5" t="str">
        <f>Sales_Data!A757</f>
        <v>2025-10-07</v>
      </c>
      <c r="B760" s="5" t="str">
        <f>Sales_Data!B757</f>
        <v>Delhi NCR</v>
      </c>
      <c r="C760" s="5" t="str">
        <f>Sales_Data!C757</f>
        <v>E031</v>
      </c>
      <c r="D760" s="5" t="str">
        <f>IFERROR(INDEX(Employee_Master!$B$2:$B$44,MATCH($C760,Employee_Master!$A$2:$A$44,0)),"Not Found")</f>
        <v>Jennifer Garcia</v>
      </c>
      <c r="E760" s="5" t="str">
        <f>IFERROR(INDEX(Employee_Master!$C$2:$C$44,MATCH($C760,Employee_Master!$A$2:$A$44,0)),"Not Found")</f>
        <v>Sales</v>
      </c>
      <c r="F760" s="5" t="str">
        <f>IFERROR(INDEX(Employee_Master!$D$2:$D$44,MATCH($C760,Employee_Master!$A$2:$A$44,0)),"Not Found")</f>
        <v>William Oconnell</v>
      </c>
      <c r="G760" s="5" t="str">
        <f>IFERROR(INDEX(Employee_Master!$E$2:$E$44,MATCH($C760,Employee_Master!$A$2:$A$44,0)),"Not Found")</f>
        <v>North</v>
      </c>
      <c r="H760" s="5" t="str">
        <f>Sales_Data!D757</f>
        <v>P009 - Formal Shirt</v>
      </c>
      <c r="I760" s="5" t="str">
        <f>IFERROR(INDEX(Product_Master!$B$2:$B$30,MATCH($H760,Product_Master!$A$2:$A$30,0)),"Invalid Product Code")</f>
        <v>Apparel</v>
      </c>
      <c r="J760" s="5">
        <f>IFERROR(INDEX(Product_Master!$C$2:$C$30,MATCH($H760,Product_Master!$A$2:$A$30,0)),0)</f>
        <v>661.65</v>
      </c>
      <c r="K760" s="5">
        <f>Sales_Data!E757</f>
        <v>7</v>
      </c>
      <c r="L760" s="5">
        <f>Sales_Data!F757</f>
        <v>6277.25</v>
      </c>
      <c r="M760" s="5">
        <f>Sales_Data!G757</f>
        <v>4543.68</v>
      </c>
      <c r="N760" s="5" t="str">
        <f>IFERROR(INDEX(Branch_Master!$B$2:$B$9,MATCH($B760,Branch_Master!$A$2:$A$9,0)),"Not Found")</f>
        <v>New Delhi</v>
      </c>
      <c r="O760" s="5" t="str">
        <f>IFERROR(INDEX(Branch_Master!$C$2:$C$9,MATCH($B760,Branch_Master!$A$2:$A$9,0)),"Not Found")</f>
        <v>Delhi</v>
      </c>
      <c r="P760" s="5">
        <f>IFERROR(INDEX(Targets!$B$2:$B$9,MATCH($B760,Targets!$A$2:$A$9,0)),0)</f>
        <v>2070000</v>
      </c>
      <c r="Q760" s="5" t="str">
        <f t="shared" si="22"/>
        <v>Yes</v>
      </c>
      <c r="R760" s="5" t="str">
        <f t="shared" si="23"/>
        <v>Oct</v>
      </c>
    </row>
    <row r="761" spans="1:18" ht="15" customHeight="1" x14ac:dyDescent="0.3">
      <c r="A761" s="5" t="str">
        <f>Sales_Data!A758</f>
        <v>2025-10-08</v>
      </c>
      <c r="B761" s="5" t="str">
        <f>Sales_Data!B758</f>
        <v>Pune East</v>
      </c>
      <c r="C761" s="5" t="str">
        <f>Sales_Data!C758</f>
        <v>E034</v>
      </c>
      <c r="D761" s="5" t="str">
        <f>IFERROR(INDEX(Employee_Master!$B$2:$B$44,MATCH($C761,Employee_Master!$A$2:$A$44,0)),"Not Found")</f>
        <v>Elaine Thompson</v>
      </c>
      <c r="E761" s="5" t="str">
        <f>IFERROR(INDEX(Employee_Master!$C$2:$C$44,MATCH($C761,Employee_Master!$A$2:$A$44,0)),"Not Found")</f>
        <v>Marketing</v>
      </c>
      <c r="F761" s="5" t="str">
        <f>IFERROR(INDEX(Employee_Master!$D$2:$D$44,MATCH($C761,Employee_Master!$A$2:$A$44,0)),"Not Found")</f>
        <v>Jordan Matthews</v>
      </c>
      <c r="G761" s="5" t="str">
        <f>IFERROR(INDEX(Employee_Master!$E$2:$E$44,MATCH($C761,Employee_Master!$A$2:$A$44,0)),"Not Found")</f>
        <v>West</v>
      </c>
      <c r="H761" s="5" t="str">
        <f>Sales_Data!D758</f>
        <v>P027 - Cricket Bat</v>
      </c>
      <c r="I761" s="5" t="str">
        <f>IFERROR(INDEX(Product_Master!$B$2:$B$30,MATCH($H761,Product_Master!$A$2:$A$30,0)),"Invalid Product Code")</f>
        <v>Sports</v>
      </c>
      <c r="J761" s="5">
        <f>IFERROR(INDEX(Product_Master!$C$2:$C$30,MATCH($H761,Product_Master!$A$2:$A$30,0)),0)</f>
        <v>822.7</v>
      </c>
      <c r="K761" s="5">
        <f>Sales_Data!E758</f>
        <v>9</v>
      </c>
      <c r="L761" s="5">
        <f>Sales_Data!F758</f>
        <v>10365.129999999999</v>
      </c>
      <c r="M761" s="5">
        <f>Sales_Data!G758</f>
        <v>7828.8</v>
      </c>
      <c r="N761" s="5" t="str">
        <f>IFERROR(INDEX(Branch_Master!$B$2:$B$9,MATCH($B761,Branch_Master!$A$2:$A$9,0)),"Not Found")</f>
        <v>Pune</v>
      </c>
      <c r="O761" s="5" t="str">
        <f>IFERROR(INDEX(Branch_Master!$C$2:$C$9,MATCH($B761,Branch_Master!$A$2:$A$9,0)),"Not Found")</f>
        <v>Maharashtra</v>
      </c>
      <c r="P761" s="5">
        <f>IFERROR(INDEX(Targets!$B$2:$B$9,MATCH($B761,Targets!$A$2:$A$9,0)),0)</f>
        <v>1250000</v>
      </c>
      <c r="Q761" s="5" t="str">
        <f t="shared" si="22"/>
        <v>Yes</v>
      </c>
      <c r="R761" s="5" t="str">
        <f t="shared" si="23"/>
        <v>Oct</v>
      </c>
    </row>
    <row r="762" spans="1:18" ht="15" customHeight="1" x14ac:dyDescent="0.3">
      <c r="A762" s="5" t="str">
        <f>Sales_Data!A759</f>
        <v>2025-10-08</v>
      </c>
      <c r="B762" s="5" t="str">
        <f>Sales_Data!B759</f>
        <v>Chennai South</v>
      </c>
      <c r="C762" s="5" t="str">
        <f>Sales_Data!C759</f>
        <v>E032</v>
      </c>
      <c r="D762" s="5" t="str">
        <f>IFERROR(INDEX(Employee_Master!$B$2:$B$44,MATCH($C762,Employee_Master!$A$2:$A$44,0)),"Not Found")</f>
        <v>Victor Allen</v>
      </c>
      <c r="E762" s="5" t="str">
        <f>IFERROR(INDEX(Employee_Master!$C$2:$C$44,MATCH($C762,Employee_Master!$A$2:$A$44,0)),"Not Found")</f>
        <v>Operations</v>
      </c>
      <c r="F762" s="5" t="str">
        <f>IFERROR(INDEX(Employee_Master!$D$2:$D$44,MATCH($C762,Employee_Master!$A$2:$A$44,0)),"Not Found")</f>
        <v>Robert Steele</v>
      </c>
      <c r="G762" s="5" t="str">
        <f>IFERROR(INDEX(Employee_Master!$E$2:$E$44,MATCH($C762,Employee_Master!$A$2:$A$44,0)),"Not Found")</f>
        <v>South</v>
      </c>
      <c r="H762" s="5" t="str">
        <f>Sales_Data!D759</f>
        <v>P029 - Dumbbell Set 10kg</v>
      </c>
      <c r="I762" s="5" t="str">
        <f>IFERROR(INDEX(Product_Master!$B$2:$B$30,MATCH($H762,Product_Master!$A$2:$A$30,0)),"Invalid Product Code")</f>
        <v>Sports</v>
      </c>
      <c r="J762" s="5">
        <f>IFERROR(INDEX(Product_Master!$C$2:$C$30,MATCH($H762,Product_Master!$A$2:$A$30,0)),0)</f>
        <v>435</v>
      </c>
      <c r="K762" s="5">
        <f>Sales_Data!E759</f>
        <v>10</v>
      </c>
      <c r="L762" s="5">
        <f>Sales_Data!F759</f>
        <v>6017.39</v>
      </c>
      <c r="M762" s="5">
        <f>Sales_Data!G759</f>
        <v>3743.5</v>
      </c>
      <c r="N762" s="5" t="str">
        <f>IFERROR(INDEX(Branch_Master!$B$2:$B$9,MATCH($B762,Branch_Master!$A$2:$A$9,0)),"Not Found")</f>
        <v>Chennai</v>
      </c>
      <c r="O762" s="5" t="str">
        <f>IFERROR(INDEX(Branch_Master!$C$2:$C$9,MATCH($B762,Branch_Master!$A$2:$A$9,0)),"Not Found")</f>
        <v>Tamil Nadu</v>
      </c>
      <c r="P762" s="5">
        <f>IFERROR(INDEX(Targets!$B$2:$B$9,MATCH($B762,Targets!$A$2:$A$9,0)),0)</f>
        <v>1910000</v>
      </c>
      <c r="Q762" s="5" t="str">
        <f t="shared" si="22"/>
        <v>Yes</v>
      </c>
      <c r="R762" s="5" t="str">
        <f t="shared" si="23"/>
        <v>Oct</v>
      </c>
    </row>
    <row r="763" spans="1:18" ht="15" customHeight="1" x14ac:dyDescent="0.3">
      <c r="A763" s="5" t="str">
        <f>Sales_Data!A760</f>
        <v>2025-10-08</v>
      </c>
      <c r="B763" s="5" t="str">
        <f>Sales_Data!B760</f>
        <v>Kolkata Central</v>
      </c>
      <c r="C763" s="5" t="str">
        <f>Sales_Data!C760</f>
        <v>E018</v>
      </c>
      <c r="D763" s="5" t="str">
        <f>IFERROR(INDEX(Employee_Master!$B$2:$B$44,MATCH($C763,Employee_Master!$A$2:$A$44,0)),"Not Found")</f>
        <v>Daniel Nelson</v>
      </c>
      <c r="E763" s="5" t="str">
        <f>IFERROR(INDEX(Employee_Master!$C$2:$C$44,MATCH($C763,Employee_Master!$A$2:$A$44,0)),"Not Found")</f>
        <v>Sales</v>
      </c>
      <c r="F763" s="5" t="str">
        <f>IFERROR(INDEX(Employee_Master!$D$2:$D$44,MATCH($C763,Employee_Master!$A$2:$A$44,0)),"Not Found")</f>
        <v>Lisa Moore</v>
      </c>
      <c r="G763" s="5" t="str">
        <f>IFERROR(INDEX(Employee_Master!$E$2:$E$44,MATCH($C763,Employee_Master!$A$2:$A$44,0)),"Not Found")</f>
        <v>East</v>
      </c>
      <c r="H763" s="5" t="str">
        <f>Sales_Data!D760</f>
        <v>P029 - Dumbbell Set 10kg</v>
      </c>
      <c r="I763" s="5" t="str">
        <f>IFERROR(INDEX(Product_Master!$B$2:$B$30,MATCH($H763,Product_Master!$A$2:$A$30,0)),"Invalid Product Code")</f>
        <v>Sports</v>
      </c>
      <c r="J763" s="5">
        <f>IFERROR(INDEX(Product_Master!$C$2:$C$30,MATCH($H763,Product_Master!$A$2:$A$30,0)),0)</f>
        <v>435</v>
      </c>
      <c r="K763" s="5">
        <f>Sales_Data!E760</f>
        <v>4</v>
      </c>
      <c r="L763" s="5">
        <f>Sales_Data!F760</f>
        <v>2067.1799999999998</v>
      </c>
      <c r="M763" s="5">
        <f>Sales_Data!G760</f>
        <v>1618.49</v>
      </c>
      <c r="N763" s="5" t="str">
        <f>IFERROR(INDEX(Branch_Master!$B$2:$B$9,MATCH($B763,Branch_Master!$A$2:$A$9,0)),"Not Found")</f>
        <v>Kolkata</v>
      </c>
      <c r="O763" s="5" t="str">
        <f>IFERROR(INDEX(Branch_Master!$C$2:$C$9,MATCH($B763,Branch_Master!$A$2:$A$9,0)),"Not Found")</f>
        <v>West Bengal</v>
      </c>
      <c r="P763" s="5">
        <f>IFERROR(INDEX(Targets!$B$2:$B$9,MATCH($B763,Targets!$A$2:$A$9,0)),0)</f>
        <v>1910000</v>
      </c>
      <c r="Q763" s="5" t="str">
        <f t="shared" si="22"/>
        <v>Yes</v>
      </c>
      <c r="R763" s="5" t="str">
        <f t="shared" si="23"/>
        <v>Oct</v>
      </c>
    </row>
    <row r="764" spans="1:18" ht="15" customHeight="1" x14ac:dyDescent="0.3">
      <c r="A764" s="5" t="str">
        <f>Sales_Data!A761</f>
        <v>2025-10-08</v>
      </c>
      <c r="B764" s="5" t="str">
        <f>Sales_Data!B761</f>
        <v>Mumbai Central</v>
      </c>
      <c r="C764" s="5" t="str">
        <f>Sales_Data!C761</f>
        <v>E010</v>
      </c>
      <c r="D764" s="5" t="str">
        <f>IFERROR(INDEX(Employee_Master!$B$2:$B$44,MATCH($C764,Employee_Master!$A$2:$A$44,0)),"Not Found")</f>
        <v>William Sanders</v>
      </c>
      <c r="E764" s="5" t="str">
        <f>IFERROR(INDEX(Employee_Master!$C$2:$C$44,MATCH($C764,Employee_Master!$A$2:$A$44,0)),"Not Found")</f>
        <v>Sales</v>
      </c>
      <c r="F764" s="5" t="str">
        <f>IFERROR(INDEX(Employee_Master!$D$2:$D$44,MATCH($C764,Employee_Master!$A$2:$A$44,0)),"Not Found")</f>
        <v>Justin Glass</v>
      </c>
      <c r="G764" s="5" t="str">
        <f>IFERROR(INDEX(Employee_Master!$E$2:$E$44,MATCH($C764,Employee_Master!$A$2:$A$44,0)),"Not Found")</f>
        <v>West</v>
      </c>
      <c r="H764" s="5" t="str">
        <f>Sales_Data!D761</f>
        <v>P026 - Yoga Mat</v>
      </c>
      <c r="I764" s="5" t="str">
        <f>IFERROR(INDEX(Product_Master!$B$2:$B$30,MATCH($H764,Product_Master!$A$2:$A$30,0)),"Invalid Product Code")</f>
        <v>Sports</v>
      </c>
      <c r="J764" s="5">
        <f>IFERROR(INDEX(Product_Master!$C$2:$C$30,MATCH($H764,Product_Master!$A$2:$A$30,0)),0)</f>
        <v>518.76</v>
      </c>
      <c r="K764" s="5">
        <f>Sales_Data!E761</f>
        <v>3</v>
      </c>
      <c r="L764" s="5">
        <f>Sales_Data!F761</f>
        <v>2220.52</v>
      </c>
      <c r="M764" s="5">
        <f>Sales_Data!G761</f>
        <v>1338.53</v>
      </c>
      <c r="N764" s="5" t="str">
        <f>IFERROR(INDEX(Branch_Master!$B$2:$B$9,MATCH($B764,Branch_Master!$A$2:$A$9,0)),"Not Found")</f>
        <v>Mumbai</v>
      </c>
      <c r="O764" s="5" t="str">
        <f>IFERROR(INDEX(Branch_Master!$C$2:$C$9,MATCH($B764,Branch_Master!$A$2:$A$9,0)),"Not Found")</f>
        <v>Maharashtra</v>
      </c>
      <c r="P764" s="5">
        <f>IFERROR(INDEX(Targets!$B$2:$B$9,MATCH($B764,Targets!$A$2:$A$9,0)),0)</f>
        <v>900000</v>
      </c>
      <c r="Q764" s="5" t="str">
        <f t="shared" si="22"/>
        <v>Yes</v>
      </c>
      <c r="R764" s="5" t="str">
        <f t="shared" si="23"/>
        <v>Oct</v>
      </c>
    </row>
    <row r="765" spans="1:18" ht="15" customHeight="1" x14ac:dyDescent="0.3">
      <c r="A765" s="5" t="str">
        <f>Sales_Data!A762</f>
        <v>2025-10-09</v>
      </c>
      <c r="B765" s="5" t="str">
        <f>Sales_Data!B762</f>
        <v>Pune East</v>
      </c>
      <c r="C765" s="5" t="str">
        <f>Sales_Data!C762</f>
        <v>E034</v>
      </c>
      <c r="D765" s="5" t="str">
        <f>IFERROR(INDEX(Employee_Master!$B$2:$B$44,MATCH($C765,Employee_Master!$A$2:$A$44,0)),"Not Found")</f>
        <v>Elaine Thompson</v>
      </c>
      <c r="E765" s="5" t="str">
        <f>IFERROR(INDEX(Employee_Master!$C$2:$C$44,MATCH($C765,Employee_Master!$A$2:$A$44,0)),"Not Found")</f>
        <v>Marketing</v>
      </c>
      <c r="F765" s="5" t="str">
        <f>IFERROR(INDEX(Employee_Master!$D$2:$D$44,MATCH($C765,Employee_Master!$A$2:$A$44,0)),"Not Found")</f>
        <v>Jordan Matthews</v>
      </c>
      <c r="G765" s="5" t="str">
        <f>IFERROR(INDEX(Employee_Master!$E$2:$E$44,MATCH($C765,Employee_Master!$A$2:$A$44,0)),"Not Found")</f>
        <v>West</v>
      </c>
      <c r="H765" s="5" t="str">
        <f>Sales_Data!D762</f>
        <v>P022 - Face Wash</v>
      </c>
      <c r="I765" s="5" t="str">
        <f>IFERROR(INDEX(Product_Master!$B$2:$B$30,MATCH($H765,Product_Master!$A$2:$A$30,0)),"Invalid Product Code")</f>
        <v>Beauty</v>
      </c>
      <c r="J765" s="5">
        <f>IFERROR(INDEX(Product_Master!$C$2:$C$30,MATCH($H765,Product_Master!$A$2:$A$30,0)),0)</f>
        <v>396.75</v>
      </c>
      <c r="K765" s="5">
        <f>Sales_Data!E762</f>
        <v>12</v>
      </c>
      <c r="L765" s="5">
        <f>Sales_Data!F762</f>
        <v>5659.24</v>
      </c>
      <c r="M765" s="5">
        <f>Sales_Data!G762</f>
        <v>5334.79</v>
      </c>
      <c r="N765" s="5" t="str">
        <f>IFERROR(INDEX(Branch_Master!$B$2:$B$9,MATCH($B765,Branch_Master!$A$2:$A$9,0)),"Not Found")</f>
        <v>Pune</v>
      </c>
      <c r="O765" s="5" t="str">
        <f>IFERROR(INDEX(Branch_Master!$C$2:$C$9,MATCH($B765,Branch_Master!$A$2:$A$9,0)),"Not Found")</f>
        <v>Maharashtra</v>
      </c>
      <c r="P765" s="5">
        <f>IFERROR(INDEX(Targets!$B$2:$B$9,MATCH($B765,Targets!$A$2:$A$9,0)),0)</f>
        <v>1250000</v>
      </c>
      <c r="Q765" s="5" t="str">
        <f t="shared" si="22"/>
        <v>Yes</v>
      </c>
      <c r="R765" s="5" t="str">
        <f t="shared" si="23"/>
        <v>Oct</v>
      </c>
    </row>
    <row r="766" spans="1:18" ht="15" customHeight="1" x14ac:dyDescent="0.3">
      <c r="A766" s="5" t="str">
        <f>Sales_Data!A763</f>
        <v>2025-10-09</v>
      </c>
      <c r="B766" s="5" t="str">
        <f>Sales_Data!B763</f>
        <v>Pune East</v>
      </c>
      <c r="C766" s="5" t="str">
        <f>Sales_Data!C763</f>
        <v>E022</v>
      </c>
      <c r="D766" s="5" t="str">
        <f>IFERROR(INDEX(Employee_Master!$B$2:$B$44,MATCH($C766,Employee_Master!$A$2:$A$44,0)),"Not Found")</f>
        <v>Cindy Green PhD</v>
      </c>
      <c r="E766" s="5" t="str">
        <f>IFERROR(INDEX(Employee_Master!$C$2:$C$44,MATCH($C766,Employee_Master!$A$2:$A$44,0)),"Not Found")</f>
        <v>Customer Support</v>
      </c>
      <c r="F766" s="5" t="str">
        <f>IFERROR(INDEX(Employee_Master!$D$2:$D$44,MATCH($C766,Employee_Master!$A$2:$A$44,0)),"Not Found")</f>
        <v>Jordan Matthews</v>
      </c>
      <c r="G766" s="5" t="str">
        <f>IFERROR(INDEX(Employee_Master!$E$2:$E$44,MATCH($C766,Employee_Master!$A$2:$A$44,0)),"Not Found")</f>
        <v>West</v>
      </c>
      <c r="H766" s="5" t="str">
        <f>Sales_Data!D763</f>
        <v>P026 - Yoga Mat</v>
      </c>
      <c r="I766" s="5" t="str">
        <f>IFERROR(INDEX(Product_Master!$B$2:$B$30,MATCH($H766,Product_Master!$A$2:$A$30,0)),"Invalid Product Code")</f>
        <v>Sports</v>
      </c>
      <c r="J766" s="5">
        <f>IFERROR(INDEX(Product_Master!$C$2:$C$30,MATCH($H766,Product_Master!$A$2:$A$30,0)),0)</f>
        <v>518.76</v>
      </c>
      <c r="K766" s="5">
        <f>Sales_Data!E763</f>
        <v>6</v>
      </c>
      <c r="L766" s="5">
        <f>Sales_Data!F763</f>
        <v>3786.18</v>
      </c>
      <c r="M766" s="5">
        <f>Sales_Data!G763</f>
        <v>2957.32</v>
      </c>
      <c r="N766" s="5" t="str">
        <f>IFERROR(INDEX(Branch_Master!$B$2:$B$9,MATCH($B766,Branch_Master!$A$2:$A$9,0)),"Not Found")</f>
        <v>Pune</v>
      </c>
      <c r="O766" s="5" t="str">
        <f>IFERROR(INDEX(Branch_Master!$C$2:$C$9,MATCH($B766,Branch_Master!$A$2:$A$9,0)),"Not Found")</f>
        <v>Maharashtra</v>
      </c>
      <c r="P766" s="5">
        <f>IFERROR(INDEX(Targets!$B$2:$B$9,MATCH($B766,Targets!$A$2:$A$9,0)),0)</f>
        <v>1250000</v>
      </c>
      <c r="Q766" s="5" t="str">
        <f t="shared" si="22"/>
        <v>Yes</v>
      </c>
      <c r="R766" s="5" t="str">
        <f t="shared" si="23"/>
        <v>Oct</v>
      </c>
    </row>
    <row r="767" spans="1:18" ht="15" customHeight="1" x14ac:dyDescent="0.3">
      <c r="A767" s="5" t="str">
        <f>Sales_Data!A764</f>
        <v>2025-10-10</v>
      </c>
      <c r="B767" s="5" t="str">
        <f>Sales_Data!B764</f>
        <v>Bangalore North</v>
      </c>
      <c r="C767" s="5" t="str">
        <f>Sales_Data!C764</f>
        <v>E006</v>
      </c>
      <c r="D767" s="5" t="str">
        <f>IFERROR(INDEX(Employee_Master!$B$2:$B$44,MATCH($C767,Employee_Master!$A$2:$A$44,0)),"Not Found")</f>
        <v>Dylan Jones</v>
      </c>
      <c r="E767" s="5" t="str">
        <f>IFERROR(INDEX(Employee_Master!$C$2:$C$44,MATCH($C767,Employee_Master!$A$2:$A$44,0)),"Not Found")</f>
        <v>Sales</v>
      </c>
      <c r="F767" s="5" t="str">
        <f>IFERROR(INDEX(Employee_Master!$D$2:$D$44,MATCH($C767,Employee_Master!$A$2:$A$44,0)),"Not Found")</f>
        <v>Jose Soto</v>
      </c>
      <c r="G767" s="5" t="str">
        <f>IFERROR(INDEX(Employee_Master!$E$2:$E$44,MATCH($C767,Employee_Master!$A$2:$A$44,0)),"Not Found")</f>
        <v>South</v>
      </c>
      <c r="H767" s="5" t="str">
        <f>Sales_Data!D764</f>
        <v>P021 - Assorted Spices Kit</v>
      </c>
      <c r="I767" s="5" t="str">
        <f>IFERROR(INDEX(Product_Master!$B$2:$B$30,MATCH($H767,Product_Master!$A$2:$A$30,0)),"Invalid Product Code")</f>
        <v>Grocery</v>
      </c>
      <c r="J767" s="5">
        <f>IFERROR(INDEX(Product_Master!$C$2:$C$30,MATCH($H767,Product_Master!$A$2:$A$30,0)),0)</f>
        <v>1060.97</v>
      </c>
      <c r="K767" s="5">
        <f>Sales_Data!E764</f>
        <v>12</v>
      </c>
      <c r="L767" s="5">
        <f>Sales_Data!F764</f>
        <v>14969.99</v>
      </c>
      <c r="M767" s="5">
        <f>Sales_Data!G764</f>
        <v>14390.55</v>
      </c>
      <c r="N767" s="5" t="str">
        <f>IFERROR(INDEX(Branch_Master!$B$2:$B$9,MATCH($B767,Branch_Master!$A$2:$A$9,0)),"Not Found")</f>
        <v>Bangalore</v>
      </c>
      <c r="O767" s="5" t="str">
        <f>IFERROR(INDEX(Branch_Master!$C$2:$C$9,MATCH($B767,Branch_Master!$A$2:$A$9,0)),"Not Found")</f>
        <v>Karnataka</v>
      </c>
      <c r="P767" s="5">
        <f>IFERROR(INDEX(Targets!$B$2:$B$9,MATCH($B767,Targets!$A$2:$A$9,0)),0)</f>
        <v>900000</v>
      </c>
      <c r="Q767" s="5" t="str">
        <f t="shared" si="22"/>
        <v>Yes</v>
      </c>
      <c r="R767" s="5" t="str">
        <f t="shared" si="23"/>
        <v>Oct</v>
      </c>
    </row>
    <row r="768" spans="1:18" ht="15" customHeight="1" x14ac:dyDescent="0.3">
      <c r="A768" s="5" t="str">
        <f>Sales_Data!A765</f>
        <v>2025-10-11</v>
      </c>
      <c r="B768" s="5" t="str">
        <f>Sales_Data!B765</f>
        <v>Mumbai Central</v>
      </c>
      <c r="C768" s="5" t="str">
        <f>Sales_Data!C765</f>
        <v>E036</v>
      </c>
      <c r="D768" s="5" t="str">
        <f>IFERROR(INDEX(Employee_Master!$B$2:$B$44,MATCH($C768,Employee_Master!$A$2:$A$44,0)),"Not Found")</f>
        <v>Sarah Mendez</v>
      </c>
      <c r="E768" s="5" t="str">
        <f>IFERROR(INDEX(Employee_Master!$C$2:$C$44,MATCH($C768,Employee_Master!$A$2:$A$44,0)),"Not Found")</f>
        <v>Sales</v>
      </c>
      <c r="F768" s="5" t="str">
        <f>IFERROR(INDEX(Employee_Master!$D$2:$D$44,MATCH($C768,Employee_Master!$A$2:$A$44,0)),"Not Found")</f>
        <v>Justin Glass</v>
      </c>
      <c r="G768" s="5" t="str">
        <f>IFERROR(INDEX(Employee_Master!$E$2:$E$44,MATCH($C768,Employee_Master!$A$2:$A$44,0)),"Not Found")</f>
        <v>West</v>
      </c>
      <c r="H768" s="5" t="str">
        <f>Sales_Data!D765</f>
        <v>P020 - Green Tea Pack</v>
      </c>
      <c r="I768" s="5" t="str">
        <f>IFERROR(INDEX(Product_Master!$B$2:$B$30,MATCH($H768,Product_Master!$A$2:$A$30,0)),"Invalid Product Code")</f>
        <v>Grocery</v>
      </c>
      <c r="J768" s="5">
        <f>IFERROR(INDEX(Product_Master!$C$2:$C$30,MATCH($H768,Product_Master!$A$2:$A$30,0)),0)</f>
        <v>305.39</v>
      </c>
      <c r="K768" s="5">
        <f>Sales_Data!E765</f>
        <v>7</v>
      </c>
      <c r="L768" s="5">
        <f>Sales_Data!F765</f>
        <v>2680.88</v>
      </c>
      <c r="M768" s="5">
        <f>Sales_Data!G765</f>
        <v>2429.33</v>
      </c>
      <c r="N768" s="5" t="str">
        <f>IFERROR(INDEX(Branch_Master!$B$2:$B$9,MATCH($B768,Branch_Master!$A$2:$A$9,0)),"Not Found")</f>
        <v>Mumbai</v>
      </c>
      <c r="O768" s="5" t="str">
        <f>IFERROR(INDEX(Branch_Master!$C$2:$C$9,MATCH($B768,Branch_Master!$A$2:$A$9,0)),"Not Found")</f>
        <v>Maharashtra</v>
      </c>
      <c r="P768" s="5">
        <f>IFERROR(INDEX(Targets!$B$2:$B$9,MATCH($B768,Targets!$A$2:$A$9,0)),0)</f>
        <v>900000</v>
      </c>
      <c r="Q768" s="5" t="str">
        <f t="shared" si="22"/>
        <v>Yes</v>
      </c>
      <c r="R768" s="5" t="str">
        <f t="shared" si="23"/>
        <v>Oct</v>
      </c>
    </row>
    <row r="769" spans="1:18" ht="15" customHeight="1" x14ac:dyDescent="0.3">
      <c r="A769" s="5" t="str">
        <f>Sales_Data!A766</f>
        <v>2025-10-11</v>
      </c>
      <c r="B769" s="5" t="str">
        <f>Sales_Data!B766</f>
        <v>Kolkata Central</v>
      </c>
      <c r="C769" s="5" t="str">
        <f>Sales_Data!C766</f>
        <v>E029</v>
      </c>
      <c r="D769" s="5" t="str">
        <f>IFERROR(INDEX(Employee_Master!$B$2:$B$44,MATCH($C769,Employee_Master!$A$2:$A$44,0)),"Not Found")</f>
        <v>Patrick Shepard</v>
      </c>
      <c r="E769" s="5" t="str">
        <f>IFERROR(INDEX(Employee_Master!$C$2:$C$44,MATCH($C769,Employee_Master!$A$2:$A$44,0)),"Not Found")</f>
        <v>Sales</v>
      </c>
      <c r="F769" s="5" t="str">
        <f>IFERROR(INDEX(Employee_Master!$D$2:$D$44,MATCH($C769,Employee_Master!$A$2:$A$44,0)),"Not Found")</f>
        <v>Lisa Moore</v>
      </c>
      <c r="G769" s="5" t="str">
        <f>IFERROR(INDEX(Employee_Master!$E$2:$E$44,MATCH($C769,Employee_Master!$A$2:$A$44,0)),"Not Found")</f>
        <v>East</v>
      </c>
      <c r="H769" s="5" t="str">
        <f>Sales_Data!D766</f>
        <v>P022 - Face Wash</v>
      </c>
      <c r="I769" s="5" t="str">
        <f>IFERROR(INDEX(Product_Master!$B$2:$B$30,MATCH($H769,Product_Master!$A$2:$A$30,0)),"Invalid Product Code")</f>
        <v>Beauty</v>
      </c>
      <c r="J769" s="5">
        <f>IFERROR(INDEX(Product_Master!$C$2:$C$30,MATCH($H769,Product_Master!$A$2:$A$30,0)),0)</f>
        <v>396.75</v>
      </c>
      <c r="K769" s="5">
        <f>Sales_Data!E766</f>
        <v>8</v>
      </c>
      <c r="L769" s="5">
        <f>Sales_Data!F766</f>
        <v>4139.1899999999996</v>
      </c>
      <c r="M769" s="5">
        <f>Sales_Data!G766</f>
        <v>2967.69</v>
      </c>
      <c r="N769" s="5" t="str">
        <f>IFERROR(INDEX(Branch_Master!$B$2:$B$9,MATCH($B769,Branch_Master!$A$2:$A$9,0)),"Not Found")</f>
        <v>Kolkata</v>
      </c>
      <c r="O769" s="5" t="str">
        <f>IFERROR(INDEX(Branch_Master!$C$2:$C$9,MATCH($B769,Branch_Master!$A$2:$A$9,0)),"Not Found")</f>
        <v>West Bengal</v>
      </c>
      <c r="P769" s="5">
        <f>IFERROR(INDEX(Targets!$B$2:$B$9,MATCH($B769,Targets!$A$2:$A$9,0)),0)</f>
        <v>1910000</v>
      </c>
      <c r="Q769" s="5" t="str">
        <f t="shared" si="22"/>
        <v>Yes</v>
      </c>
      <c r="R769" s="5" t="str">
        <f t="shared" si="23"/>
        <v>Oct</v>
      </c>
    </row>
    <row r="770" spans="1:18" ht="15" customHeight="1" x14ac:dyDescent="0.3">
      <c r="A770" s="5" t="str">
        <f>Sales_Data!A767</f>
        <v>2025-10-11</v>
      </c>
      <c r="B770" s="5" t="str">
        <f>Sales_Data!B767</f>
        <v>Chennai South</v>
      </c>
      <c r="C770" s="5" t="str">
        <f>Sales_Data!C767</f>
        <v>E032</v>
      </c>
      <c r="D770" s="5" t="str">
        <f>IFERROR(INDEX(Employee_Master!$B$2:$B$44,MATCH($C770,Employee_Master!$A$2:$A$44,0)),"Not Found")</f>
        <v>Victor Allen</v>
      </c>
      <c r="E770" s="5" t="str">
        <f>IFERROR(INDEX(Employee_Master!$C$2:$C$44,MATCH($C770,Employee_Master!$A$2:$A$44,0)),"Not Found")</f>
        <v>Operations</v>
      </c>
      <c r="F770" s="5" t="str">
        <f>IFERROR(INDEX(Employee_Master!$D$2:$D$44,MATCH($C770,Employee_Master!$A$2:$A$44,0)),"Not Found")</f>
        <v>Robert Steele</v>
      </c>
      <c r="G770" s="5" t="str">
        <f>IFERROR(INDEX(Employee_Master!$E$2:$E$44,MATCH($C770,Employee_Master!$A$2:$A$44,0)),"Not Found")</f>
        <v>South</v>
      </c>
      <c r="H770" s="5" t="str">
        <f>Sales_Data!D767</f>
        <v>P001 - Wireless Earbuds</v>
      </c>
      <c r="I770" s="5" t="str">
        <f>IFERROR(INDEX(Product_Master!$B$2:$B$30,MATCH($H770,Product_Master!$A$2:$A$30,0)),"Invalid Product Code")</f>
        <v>Electronics</v>
      </c>
      <c r="J770" s="5">
        <f>IFERROR(INDEX(Product_Master!$C$2:$C$30,MATCH($H770,Product_Master!$A$2:$A$30,0)),0)</f>
        <v>1676.76</v>
      </c>
      <c r="K770" s="5">
        <f>Sales_Data!E767</f>
        <v>7</v>
      </c>
      <c r="L770" s="5">
        <f>Sales_Data!F767</f>
        <v>14099.91</v>
      </c>
      <c r="M770" s="5">
        <f>Sales_Data!G767</f>
        <v>13179.91</v>
      </c>
      <c r="N770" s="5" t="str">
        <f>IFERROR(INDEX(Branch_Master!$B$2:$B$9,MATCH($B770,Branch_Master!$A$2:$A$9,0)),"Not Found")</f>
        <v>Chennai</v>
      </c>
      <c r="O770" s="5" t="str">
        <f>IFERROR(INDEX(Branch_Master!$C$2:$C$9,MATCH($B770,Branch_Master!$A$2:$A$9,0)),"Not Found")</f>
        <v>Tamil Nadu</v>
      </c>
      <c r="P770" s="5">
        <f>IFERROR(INDEX(Targets!$B$2:$B$9,MATCH($B770,Targets!$A$2:$A$9,0)),0)</f>
        <v>1910000</v>
      </c>
      <c r="Q770" s="5" t="str">
        <f t="shared" si="22"/>
        <v>Yes</v>
      </c>
      <c r="R770" s="5" t="str">
        <f t="shared" si="23"/>
        <v>Oct</v>
      </c>
    </row>
    <row r="771" spans="1:18" ht="15" customHeight="1" x14ac:dyDescent="0.3">
      <c r="A771" s="5" t="str">
        <f>Sales_Data!A768</f>
        <v>2025-10-11</v>
      </c>
      <c r="B771" s="5" t="str">
        <f>Sales_Data!B768</f>
        <v>Pune East</v>
      </c>
      <c r="C771" s="5" t="str">
        <f>Sales_Data!C768</f>
        <v>E034</v>
      </c>
      <c r="D771" s="5" t="str">
        <f>IFERROR(INDEX(Employee_Master!$B$2:$B$44,MATCH($C771,Employee_Master!$A$2:$A$44,0)),"Not Found")</f>
        <v>Elaine Thompson</v>
      </c>
      <c r="E771" s="5" t="str">
        <f>IFERROR(INDEX(Employee_Master!$C$2:$C$44,MATCH($C771,Employee_Master!$A$2:$A$44,0)),"Not Found")</f>
        <v>Marketing</v>
      </c>
      <c r="F771" s="5" t="str">
        <f>IFERROR(INDEX(Employee_Master!$D$2:$D$44,MATCH($C771,Employee_Master!$A$2:$A$44,0)),"Not Found")</f>
        <v>Jordan Matthews</v>
      </c>
      <c r="G771" s="5" t="str">
        <f>IFERROR(INDEX(Employee_Master!$E$2:$E$44,MATCH($C771,Employee_Master!$A$2:$A$44,0)),"Not Found")</f>
        <v>West</v>
      </c>
      <c r="H771" s="5" t="str">
        <f>Sales_Data!D768</f>
        <v>P023 - Sunscreen SPF50</v>
      </c>
      <c r="I771" s="5" t="str">
        <f>IFERROR(INDEX(Product_Master!$B$2:$B$30,MATCH($H771,Product_Master!$A$2:$A$30,0)),"Invalid Product Code")</f>
        <v>Beauty</v>
      </c>
      <c r="J771" s="5">
        <f>IFERROR(INDEX(Product_Master!$C$2:$C$30,MATCH($H771,Product_Master!$A$2:$A$30,0)),0)</f>
        <v>818.95</v>
      </c>
      <c r="K771" s="5">
        <f>Sales_Data!E768</f>
        <v>6</v>
      </c>
      <c r="L771" s="5">
        <f>Sales_Data!F768</f>
        <v>6281.32</v>
      </c>
      <c r="M771" s="5">
        <f>Sales_Data!G768</f>
        <v>4250.32</v>
      </c>
      <c r="N771" s="5" t="str">
        <f>IFERROR(INDEX(Branch_Master!$B$2:$B$9,MATCH($B771,Branch_Master!$A$2:$A$9,0)),"Not Found")</f>
        <v>Pune</v>
      </c>
      <c r="O771" s="5" t="str">
        <f>IFERROR(INDEX(Branch_Master!$C$2:$C$9,MATCH($B771,Branch_Master!$A$2:$A$9,0)),"Not Found")</f>
        <v>Maharashtra</v>
      </c>
      <c r="P771" s="5">
        <f>IFERROR(INDEX(Targets!$B$2:$B$9,MATCH($B771,Targets!$A$2:$A$9,0)),0)</f>
        <v>1250000</v>
      </c>
      <c r="Q771" s="5" t="str">
        <f t="shared" si="22"/>
        <v>Yes</v>
      </c>
      <c r="R771" s="5" t="str">
        <f t="shared" si="23"/>
        <v>Oct</v>
      </c>
    </row>
    <row r="772" spans="1:18" ht="15" customHeight="1" x14ac:dyDescent="0.3">
      <c r="A772" s="5" t="str">
        <f>Sales_Data!A769</f>
        <v>2025-10-11</v>
      </c>
      <c r="B772" s="5" t="str">
        <f>Sales_Data!B769</f>
        <v>Chennai South</v>
      </c>
      <c r="C772" s="5" t="str">
        <f>Sales_Data!C769</f>
        <v>E032</v>
      </c>
      <c r="D772" s="5" t="str">
        <f>IFERROR(INDEX(Employee_Master!$B$2:$B$44,MATCH($C772,Employee_Master!$A$2:$A$44,0)),"Not Found")</f>
        <v>Victor Allen</v>
      </c>
      <c r="E772" s="5" t="str">
        <f>IFERROR(INDEX(Employee_Master!$C$2:$C$44,MATCH($C772,Employee_Master!$A$2:$A$44,0)),"Not Found")</f>
        <v>Operations</v>
      </c>
      <c r="F772" s="5" t="str">
        <f>IFERROR(INDEX(Employee_Master!$D$2:$D$44,MATCH($C772,Employee_Master!$A$2:$A$44,0)),"Not Found")</f>
        <v>Robert Steele</v>
      </c>
      <c r="G772" s="5" t="str">
        <f>IFERROR(INDEX(Employee_Master!$E$2:$E$44,MATCH($C772,Employee_Master!$A$2:$A$44,0)),"Not Found")</f>
        <v>South</v>
      </c>
      <c r="H772" s="5" t="str">
        <f>Sales_Data!D769</f>
        <v>P008 - Denim Jeans</v>
      </c>
      <c r="I772" s="5" t="str">
        <f>IFERROR(INDEX(Product_Master!$B$2:$B$30,MATCH($H772,Product_Master!$A$2:$A$30,0)),"Invalid Product Code")</f>
        <v>Apparel</v>
      </c>
      <c r="J772" s="5">
        <f>IFERROR(INDEX(Product_Master!$C$2:$C$30,MATCH($H772,Product_Master!$A$2:$A$30,0)),0)</f>
        <v>614.48</v>
      </c>
      <c r="K772" s="5">
        <f>Sales_Data!E769</f>
        <v>6</v>
      </c>
      <c r="L772" s="5">
        <f>Sales_Data!F769</f>
        <v>4385.49</v>
      </c>
      <c r="M772" s="5">
        <f>Sales_Data!G769</f>
        <v>3728.91</v>
      </c>
      <c r="N772" s="5" t="str">
        <f>IFERROR(INDEX(Branch_Master!$B$2:$B$9,MATCH($B772,Branch_Master!$A$2:$A$9,0)),"Not Found")</f>
        <v>Chennai</v>
      </c>
      <c r="O772" s="5" t="str">
        <f>IFERROR(INDEX(Branch_Master!$C$2:$C$9,MATCH($B772,Branch_Master!$A$2:$A$9,0)),"Not Found")</f>
        <v>Tamil Nadu</v>
      </c>
      <c r="P772" s="5">
        <f>IFERROR(INDEX(Targets!$B$2:$B$9,MATCH($B772,Targets!$A$2:$A$9,0)),0)</f>
        <v>1910000</v>
      </c>
      <c r="Q772" s="5" t="str">
        <f t="shared" si="22"/>
        <v>Yes</v>
      </c>
      <c r="R772" s="5" t="str">
        <f t="shared" si="23"/>
        <v>Oct</v>
      </c>
    </row>
    <row r="773" spans="1:18" ht="15" customHeight="1" x14ac:dyDescent="0.3">
      <c r="A773" s="5" t="str">
        <f>Sales_Data!A770</f>
        <v>2025-10-11</v>
      </c>
      <c r="B773" s="5" t="str">
        <f>Sales_Data!B770</f>
        <v>Hyderabad Hitech</v>
      </c>
      <c r="C773" s="5" t="str">
        <f>Sales_Data!C770</f>
        <v>E030</v>
      </c>
      <c r="D773" s="5" t="str">
        <f>IFERROR(INDEX(Employee_Master!$B$2:$B$44,MATCH($C773,Employee_Master!$A$2:$A$44,0)),"Not Found")</f>
        <v>Travis Khan</v>
      </c>
      <c r="E773" s="5" t="str">
        <f>IFERROR(INDEX(Employee_Master!$C$2:$C$44,MATCH($C773,Employee_Master!$A$2:$A$44,0)),"Not Found")</f>
        <v>Operations</v>
      </c>
      <c r="F773" s="5" t="str">
        <f>IFERROR(INDEX(Employee_Master!$D$2:$D$44,MATCH($C773,Employee_Master!$A$2:$A$44,0)),"Not Found")</f>
        <v>Anna Turner</v>
      </c>
      <c r="G773" s="5" t="str">
        <f>IFERROR(INDEX(Employee_Master!$E$2:$E$44,MATCH($C773,Employee_Master!$A$2:$A$44,0)),"Not Found")</f>
        <v>South</v>
      </c>
      <c r="H773" s="5" t="str">
        <f>Sales_Data!D770</f>
        <v>P011 - Winter Jacket</v>
      </c>
      <c r="I773" s="5" t="str">
        <f>IFERROR(INDEX(Product_Master!$B$2:$B$30,MATCH($H773,Product_Master!$A$2:$A$30,0)),"Invalid Product Code")</f>
        <v>Apparel</v>
      </c>
      <c r="J773" s="5">
        <f>IFERROR(INDEX(Product_Master!$C$2:$C$30,MATCH($H773,Product_Master!$A$2:$A$30,0)),0)</f>
        <v>264.97000000000003</v>
      </c>
      <c r="K773" s="5">
        <f>Sales_Data!E770</f>
        <v>10</v>
      </c>
      <c r="L773" s="5">
        <f>Sales_Data!F770</f>
        <v>3493.53</v>
      </c>
      <c r="M773" s="5">
        <f>Sales_Data!G770</f>
        <v>2527.39</v>
      </c>
      <c r="N773" s="5" t="str">
        <f>IFERROR(INDEX(Branch_Master!$B$2:$B$9,MATCH($B773,Branch_Master!$A$2:$A$9,0)),"Not Found")</f>
        <v>Hyderabad</v>
      </c>
      <c r="O773" s="5" t="str">
        <f>IFERROR(INDEX(Branch_Master!$C$2:$C$9,MATCH($B773,Branch_Master!$A$2:$A$9,0)),"Not Found")</f>
        <v>Telangana</v>
      </c>
      <c r="P773" s="5">
        <f>IFERROR(INDEX(Targets!$B$2:$B$9,MATCH($B773,Targets!$A$2:$A$9,0)),0)</f>
        <v>1210000</v>
      </c>
      <c r="Q773" s="5" t="str">
        <f t="shared" ref="Q773:Q836" si="24">IF(L773&gt;=M773,"Yes","No")</f>
        <v>Yes</v>
      </c>
      <c r="R773" s="5" t="str">
        <f t="shared" ref="R773:R836" si="25">TEXT(A773,"MMM")</f>
        <v>Oct</v>
      </c>
    </row>
    <row r="774" spans="1:18" ht="15" customHeight="1" x14ac:dyDescent="0.3">
      <c r="A774" s="5" t="str">
        <f>Sales_Data!A771</f>
        <v>2025-10-11</v>
      </c>
      <c r="B774" s="5" t="str">
        <f>Sales_Data!B771</f>
        <v>Hyderabad Hitech</v>
      </c>
      <c r="C774" s="5" t="str">
        <f>Sales_Data!C771</f>
        <v>E011</v>
      </c>
      <c r="D774" s="5" t="str">
        <f>IFERROR(INDEX(Employee_Master!$B$2:$B$44,MATCH($C774,Employee_Master!$A$2:$A$44,0)),"Not Found")</f>
        <v>Mark Osborne</v>
      </c>
      <c r="E774" s="5" t="str">
        <f>IFERROR(INDEX(Employee_Master!$C$2:$C$44,MATCH($C774,Employee_Master!$A$2:$A$44,0)),"Not Found")</f>
        <v>Marketing</v>
      </c>
      <c r="F774" s="5" t="str">
        <f>IFERROR(INDEX(Employee_Master!$D$2:$D$44,MATCH($C774,Employee_Master!$A$2:$A$44,0)),"Not Found")</f>
        <v>Anna Turner</v>
      </c>
      <c r="G774" s="5" t="str">
        <f>IFERROR(INDEX(Employee_Master!$E$2:$E$44,MATCH($C774,Employee_Master!$A$2:$A$44,0)),"Not Found")</f>
        <v>South</v>
      </c>
      <c r="H774" s="5" t="str">
        <f>Sales_Data!D771</f>
        <v>P022 - Face Wash</v>
      </c>
      <c r="I774" s="5" t="str">
        <f>IFERROR(INDEX(Product_Master!$B$2:$B$30,MATCH($H774,Product_Master!$A$2:$A$30,0)),"Invalid Product Code")</f>
        <v>Beauty</v>
      </c>
      <c r="J774" s="5">
        <f>IFERROR(INDEX(Product_Master!$C$2:$C$30,MATCH($H774,Product_Master!$A$2:$A$30,0)),0)</f>
        <v>396.75</v>
      </c>
      <c r="K774" s="5">
        <f>Sales_Data!E771</f>
        <v>9</v>
      </c>
      <c r="L774" s="5">
        <f>Sales_Data!F771</f>
        <v>5082.8500000000004</v>
      </c>
      <c r="M774" s="5">
        <f>Sales_Data!G771</f>
        <v>3342.57</v>
      </c>
      <c r="N774" s="5" t="str">
        <f>IFERROR(INDEX(Branch_Master!$B$2:$B$9,MATCH($B774,Branch_Master!$A$2:$A$9,0)),"Not Found")</f>
        <v>Hyderabad</v>
      </c>
      <c r="O774" s="5" t="str">
        <f>IFERROR(INDEX(Branch_Master!$C$2:$C$9,MATCH($B774,Branch_Master!$A$2:$A$9,0)),"Not Found")</f>
        <v>Telangana</v>
      </c>
      <c r="P774" s="5">
        <f>IFERROR(INDEX(Targets!$B$2:$B$9,MATCH($B774,Targets!$A$2:$A$9,0)),0)</f>
        <v>1210000</v>
      </c>
      <c r="Q774" s="5" t="str">
        <f t="shared" si="24"/>
        <v>Yes</v>
      </c>
      <c r="R774" s="5" t="str">
        <f t="shared" si="25"/>
        <v>Oct</v>
      </c>
    </row>
    <row r="775" spans="1:18" ht="15" customHeight="1" x14ac:dyDescent="0.3">
      <c r="A775" s="5" t="str">
        <f>Sales_Data!A772</f>
        <v>2025-10-11</v>
      </c>
      <c r="B775" s="5" t="str">
        <f>Sales_Data!B772</f>
        <v>Mumbai Central</v>
      </c>
      <c r="C775" s="5" t="str">
        <f>Sales_Data!C772</f>
        <v>E021</v>
      </c>
      <c r="D775" s="5" t="str">
        <f>IFERROR(INDEX(Employee_Master!$B$2:$B$44,MATCH($C775,Employee_Master!$A$2:$A$44,0)),"Not Found")</f>
        <v>Maria Garcia</v>
      </c>
      <c r="E775" s="5" t="str">
        <f>IFERROR(INDEX(Employee_Master!$C$2:$C$44,MATCH($C775,Employee_Master!$A$2:$A$44,0)),"Not Found")</f>
        <v>Sales</v>
      </c>
      <c r="F775" s="5" t="str">
        <f>IFERROR(INDEX(Employee_Master!$D$2:$D$44,MATCH($C775,Employee_Master!$A$2:$A$44,0)),"Not Found")</f>
        <v>Justin Glass</v>
      </c>
      <c r="G775" s="5" t="str">
        <f>IFERROR(INDEX(Employee_Master!$E$2:$E$44,MATCH($C775,Employee_Master!$A$2:$A$44,0)),"Not Found")</f>
        <v>West</v>
      </c>
      <c r="H775" s="5" t="str">
        <f>Sales_Data!D772</f>
        <v>P016 - Dinner Set</v>
      </c>
      <c r="I775" s="5" t="str">
        <f>IFERROR(INDEX(Product_Master!$B$2:$B$30,MATCH($H775,Product_Master!$A$2:$A$30,0)),"Invalid Product Code")</f>
        <v>Home &amp; Kitchen</v>
      </c>
      <c r="J775" s="5">
        <f>IFERROR(INDEX(Product_Master!$C$2:$C$30,MATCH($H775,Product_Master!$A$2:$A$30,0)),0)</f>
        <v>225.06</v>
      </c>
      <c r="K775" s="5">
        <f>Sales_Data!E772</f>
        <v>7</v>
      </c>
      <c r="L775" s="5">
        <f>Sales_Data!F772</f>
        <v>2212.13</v>
      </c>
      <c r="M775" s="5">
        <f>Sales_Data!G772</f>
        <v>1712.8</v>
      </c>
      <c r="N775" s="5" t="str">
        <f>IFERROR(INDEX(Branch_Master!$B$2:$B$9,MATCH($B775,Branch_Master!$A$2:$A$9,0)),"Not Found")</f>
        <v>Mumbai</v>
      </c>
      <c r="O775" s="5" t="str">
        <f>IFERROR(INDEX(Branch_Master!$C$2:$C$9,MATCH($B775,Branch_Master!$A$2:$A$9,0)),"Not Found")</f>
        <v>Maharashtra</v>
      </c>
      <c r="P775" s="5">
        <f>IFERROR(INDEX(Targets!$B$2:$B$9,MATCH($B775,Targets!$A$2:$A$9,0)),0)</f>
        <v>900000</v>
      </c>
      <c r="Q775" s="5" t="str">
        <f t="shared" si="24"/>
        <v>Yes</v>
      </c>
      <c r="R775" s="5" t="str">
        <f t="shared" si="25"/>
        <v>Oct</v>
      </c>
    </row>
    <row r="776" spans="1:18" ht="15" customHeight="1" x14ac:dyDescent="0.3">
      <c r="A776" s="5" t="str">
        <f>Sales_Data!A773</f>
        <v>2025-10-11</v>
      </c>
      <c r="B776" s="5" t="str">
        <f>Sales_Data!B773</f>
        <v>Bangalore North</v>
      </c>
      <c r="C776" s="5" t="str">
        <f>Sales_Data!C773</f>
        <v>E006</v>
      </c>
      <c r="D776" s="5" t="str">
        <f>IFERROR(INDEX(Employee_Master!$B$2:$B$44,MATCH($C776,Employee_Master!$A$2:$A$44,0)),"Not Found")</f>
        <v>Dylan Jones</v>
      </c>
      <c r="E776" s="5" t="str">
        <f>IFERROR(INDEX(Employee_Master!$C$2:$C$44,MATCH($C776,Employee_Master!$A$2:$A$44,0)),"Not Found")</f>
        <v>Sales</v>
      </c>
      <c r="F776" s="5" t="str">
        <f>IFERROR(INDEX(Employee_Master!$D$2:$D$44,MATCH($C776,Employee_Master!$A$2:$A$44,0)),"Not Found")</f>
        <v>Jose Soto</v>
      </c>
      <c r="G776" s="5" t="str">
        <f>IFERROR(INDEX(Employee_Master!$E$2:$E$44,MATCH($C776,Employee_Master!$A$2:$A$44,0)),"Not Found")</f>
        <v>South</v>
      </c>
      <c r="H776" s="5" t="str">
        <f>Sales_Data!D773</f>
        <v>P027 - Cricket Bat</v>
      </c>
      <c r="I776" s="5" t="str">
        <f>IFERROR(INDEX(Product_Master!$B$2:$B$30,MATCH($H776,Product_Master!$A$2:$A$30,0)),"Invalid Product Code")</f>
        <v>Sports</v>
      </c>
      <c r="J776" s="5">
        <f>IFERROR(INDEX(Product_Master!$C$2:$C$30,MATCH($H776,Product_Master!$A$2:$A$30,0)),0)</f>
        <v>822.7</v>
      </c>
      <c r="K776" s="5">
        <f>Sales_Data!E773</f>
        <v>10</v>
      </c>
      <c r="L776" s="5">
        <f>Sales_Data!F773</f>
        <v>10876.72</v>
      </c>
      <c r="M776" s="5">
        <f>Sales_Data!G773</f>
        <v>8587.94</v>
      </c>
      <c r="N776" s="5" t="str">
        <f>IFERROR(INDEX(Branch_Master!$B$2:$B$9,MATCH($B776,Branch_Master!$A$2:$A$9,0)),"Not Found")</f>
        <v>Bangalore</v>
      </c>
      <c r="O776" s="5" t="str">
        <f>IFERROR(INDEX(Branch_Master!$C$2:$C$9,MATCH($B776,Branch_Master!$A$2:$A$9,0)),"Not Found")</f>
        <v>Karnataka</v>
      </c>
      <c r="P776" s="5">
        <f>IFERROR(INDEX(Targets!$B$2:$B$9,MATCH($B776,Targets!$A$2:$A$9,0)),0)</f>
        <v>900000</v>
      </c>
      <c r="Q776" s="5" t="str">
        <f t="shared" si="24"/>
        <v>Yes</v>
      </c>
      <c r="R776" s="5" t="str">
        <f t="shared" si="25"/>
        <v>Oct</v>
      </c>
    </row>
    <row r="777" spans="1:18" ht="15" customHeight="1" x14ac:dyDescent="0.3">
      <c r="A777" s="5" t="str">
        <f>Sales_Data!A774</f>
        <v>2025-10-12</v>
      </c>
      <c r="B777" s="5" t="str">
        <f>Sales_Data!B774</f>
        <v>Delhi NCR</v>
      </c>
      <c r="C777" s="5" t="str">
        <f>Sales_Data!C774</f>
        <v>E031</v>
      </c>
      <c r="D777" s="5" t="str">
        <f>IFERROR(INDEX(Employee_Master!$B$2:$B$44,MATCH($C777,Employee_Master!$A$2:$A$44,0)),"Not Found")</f>
        <v>Jennifer Garcia</v>
      </c>
      <c r="E777" s="5" t="str">
        <f>IFERROR(INDEX(Employee_Master!$C$2:$C$44,MATCH($C777,Employee_Master!$A$2:$A$44,0)),"Not Found")</f>
        <v>Sales</v>
      </c>
      <c r="F777" s="5" t="str">
        <f>IFERROR(INDEX(Employee_Master!$D$2:$D$44,MATCH($C777,Employee_Master!$A$2:$A$44,0)),"Not Found")</f>
        <v>William Oconnell</v>
      </c>
      <c r="G777" s="5" t="str">
        <f>IFERROR(INDEX(Employee_Master!$E$2:$E$44,MATCH($C777,Employee_Master!$A$2:$A$44,0)),"Not Found")</f>
        <v>North</v>
      </c>
      <c r="H777" s="5" t="str">
        <f>Sales_Data!D774</f>
        <v>P015 - Water Bottle</v>
      </c>
      <c r="I777" s="5" t="str">
        <f>IFERROR(INDEX(Product_Master!$B$2:$B$30,MATCH($H777,Product_Master!$A$2:$A$30,0)),"Invalid Product Code")</f>
        <v>Home &amp; Kitchen</v>
      </c>
      <c r="J777" s="5">
        <f>IFERROR(INDEX(Product_Master!$C$2:$C$30,MATCH($H777,Product_Master!$A$2:$A$30,0)),0)</f>
        <v>197.57</v>
      </c>
      <c r="K777" s="5">
        <f>Sales_Data!E774</f>
        <v>5</v>
      </c>
      <c r="L777" s="5">
        <f>Sales_Data!F774</f>
        <v>1333.26</v>
      </c>
      <c r="M777" s="5">
        <f>Sales_Data!G774</f>
        <v>996.91</v>
      </c>
      <c r="N777" s="5" t="str">
        <f>IFERROR(INDEX(Branch_Master!$B$2:$B$9,MATCH($B777,Branch_Master!$A$2:$A$9,0)),"Not Found")</f>
        <v>New Delhi</v>
      </c>
      <c r="O777" s="5" t="str">
        <f>IFERROR(INDEX(Branch_Master!$C$2:$C$9,MATCH($B777,Branch_Master!$A$2:$A$9,0)),"Not Found")</f>
        <v>Delhi</v>
      </c>
      <c r="P777" s="5">
        <f>IFERROR(INDEX(Targets!$B$2:$B$9,MATCH($B777,Targets!$A$2:$A$9,0)),0)</f>
        <v>2070000</v>
      </c>
      <c r="Q777" s="5" t="str">
        <f t="shared" si="24"/>
        <v>Yes</v>
      </c>
      <c r="R777" s="5" t="str">
        <f t="shared" si="25"/>
        <v>Oct</v>
      </c>
    </row>
    <row r="778" spans="1:18" ht="15" customHeight="1" x14ac:dyDescent="0.3">
      <c r="A778" s="5" t="str">
        <f>Sales_Data!A775</f>
        <v>2025-10-12</v>
      </c>
      <c r="B778" s="5" t="str">
        <f>Sales_Data!B775</f>
        <v>Ahmedabad West</v>
      </c>
      <c r="C778" s="5" t="str">
        <f>Sales_Data!C775</f>
        <v>E037</v>
      </c>
      <c r="D778" s="5" t="str">
        <f>IFERROR(INDEX(Employee_Master!$B$2:$B$44,MATCH($C778,Employee_Master!$A$2:$A$44,0)),"Not Found")</f>
        <v>Thomas Harris</v>
      </c>
      <c r="E778" s="5" t="str">
        <f>IFERROR(INDEX(Employee_Master!$C$2:$C$44,MATCH($C778,Employee_Master!$A$2:$A$44,0)),"Not Found")</f>
        <v>Customer Support</v>
      </c>
      <c r="F778" s="5" t="str">
        <f>IFERROR(INDEX(Employee_Master!$D$2:$D$44,MATCH($C778,Employee_Master!$A$2:$A$44,0)),"Not Found")</f>
        <v>Joseph Brown</v>
      </c>
      <c r="G778" s="5" t="str">
        <f>IFERROR(INDEX(Employee_Master!$E$2:$E$44,MATCH($C778,Employee_Master!$A$2:$A$44,0)),"Not Found")</f>
        <v>West</v>
      </c>
      <c r="H778" s="5" t="str">
        <f>Sales_Data!D775</f>
        <v>P011 - Winter Jacket</v>
      </c>
      <c r="I778" s="5" t="str">
        <f>IFERROR(INDEX(Product_Master!$B$2:$B$30,MATCH($H778,Product_Master!$A$2:$A$30,0)),"Invalid Product Code")</f>
        <v>Apparel</v>
      </c>
      <c r="J778" s="5">
        <f>IFERROR(INDEX(Product_Master!$C$2:$C$30,MATCH($H778,Product_Master!$A$2:$A$30,0)),0)</f>
        <v>264.97000000000003</v>
      </c>
      <c r="K778" s="5">
        <f>Sales_Data!E775</f>
        <v>7</v>
      </c>
      <c r="L778" s="5">
        <f>Sales_Data!F775</f>
        <v>2640.66</v>
      </c>
      <c r="M778" s="5">
        <f>Sales_Data!G775</f>
        <v>1840.3</v>
      </c>
      <c r="N778" s="5" t="str">
        <f>IFERROR(INDEX(Branch_Master!$B$2:$B$9,MATCH($B778,Branch_Master!$A$2:$A$9,0)),"Not Found")</f>
        <v>Ahmedabad</v>
      </c>
      <c r="O778" s="5" t="str">
        <f>IFERROR(INDEX(Branch_Master!$C$2:$C$9,MATCH($B778,Branch_Master!$A$2:$A$9,0)),"Not Found")</f>
        <v>Gujarat</v>
      </c>
      <c r="P778" s="5">
        <f>IFERROR(INDEX(Targets!$B$2:$B$9,MATCH($B778,Targets!$A$2:$A$9,0)),0)</f>
        <v>1590000</v>
      </c>
      <c r="Q778" s="5" t="str">
        <f t="shared" si="24"/>
        <v>Yes</v>
      </c>
      <c r="R778" s="5" t="str">
        <f t="shared" si="25"/>
        <v>Oct</v>
      </c>
    </row>
    <row r="779" spans="1:18" ht="15" customHeight="1" x14ac:dyDescent="0.3">
      <c r="A779" s="5" t="str">
        <f>Sales_Data!A776</f>
        <v>2025-10-12</v>
      </c>
      <c r="B779" s="5" t="str">
        <f>Sales_Data!B776</f>
        <v>Mumbai Central</v>
      </c>
      <c r="C779" s="5" t="str">
        <f>Sales_Data!C776</f>
        <v>E036</v>
      </c>
      <c r="D779" s="5" t="str">
        <f>IFERROR(INDEX(Employee_Master!$B$2:$B$44,MATCH($C779,Employee_Master!$A$2:$A$44,0)),"Not Found")</f>
        <v>Sarah Mendez</v>
      </c>
      <c r="E779" s="5" t="str">
        <f>IFERROR(INDEX(Employee_Master!$C$2:$C$44,MATCH($C779,Employee_Master!$A$2:$A$44,0)),"Not Found")</f>
        <v>Sales</v>
      </c>
      <c r="F779" s="5" t="str">
        <f>IFERROR(INDEX(Employee_Master!$D$2:$D$44,MATCH($C779,Employee_Master!$A$2:$A$44,0)),"Not Found")</f>
        <v>Justin Glass</v>
      </c>
      <c r="G779" s="5" t="str">
        <f>IFERROR(INDEX(Employee_Master!$E$2:$E$44,MATCH($C779,Employee_Master!$A$2:$A$44,0)),"Not Found")</f>
        <v>West</v>
      </c>
      <c r="H779" s="5" t="str">
        <f>Sales_Data!D776</f>
        <v>P023 - Sunscreen SPF50</v>
      </c>
      <c r="I779" s="5" t="str">
        <f>IFERROR(INDEX(Product_Master!$B$2:$B$30,MATCH($H779,Product_Master!$A$2:$A$30,0)),"Invalid Product Code")</f>
        <v>Beauty</v>
      </c>
      <c r="J779" s="5">
        <f>IFERROR(INDEX(Product_Master!$C$2:$C$30,MATCH($H779,Product_Master!$A$2:$A$30,0)),0)</f>
        <v>818.95</v>
      </c>
      <c r="K779" s="5">
        <f>Sales_Data!E776</f>
        <v>9</v>
      </c>
      <c r="L779" s="5">
        <f>Sales_Data!F776</f>
        <v>10141.280000000001</v>
      </c>
      <c r="M779" s="5">
        <f>Sales_Data!G776</f>
        <v>7342.37</v>
      </c>
      <c r="N779" s="5" t="str">
        <f>IFERROR(INDEX(Branch_Master!$B$2:$B$9,MATCH($B779,Branch_Master!$A$2:$A$9,0)),"Not Found")</f>
        <v>Mumbai</v>
      </c>
      <c r="O779" s="5" t="str">
        <f>IFERROR(INDEX(Branch_Master!$C$2:$C$9,MATCH($B779,Branch_Master!$A$2:$A$9,0)),"Not Found")</f>
        <v>Maharashtra</v>
      </c>
      <c r="P779" s="5">
        <f>IFERROR(INDEX(Targets!$B$2:$B$9,MATCH($B779,Targets!$A$2:$A$9,0)),0)</f>
        <v>900000</v>
      </c>
      <c r="Q779" s="5" t="str">
        <f t="shared" si="24"/>
        <v>Yes</v>
      </c>
      <c r="R779" s="5" t="str">
        <f t="shared" si="25"/>
        <v>Oct</v>
      </c>
    </row>
    <row r="780" spans="1:18" ht="15" customHeight="1" x14ac:dyDescent="0.3">
      <c r="A780" s="5" t="str">
        <f>Sales_Data!A777</f>
        <v>2025-10-12</v>
      </c>
      <c r="B780" s="5" t="str">
        <f>Sales_Data!B777</f>
        <v>Chennai South</v>
      </c>
      <c r="C780" s="5" t="str">
        <f>Sales_Data!C777</f>
        <v>E032</v>
      </c>
      <c r="D780" s="5" t="str">
        <f>IFERROR(INDEX(Employee_Master!$B$2:$B$44,MATCH($C780,Employee_Master!$A$2:$A$44,0)),"Not Found")</f>
        <v>Victor Allen</v>
      </c>
      <c r="E780" s="5" t="str">
        <f>IFERROR(INDEX(Employee_Master!$C$2:$C$44,MATCH($C780,Employee_Master!$A$2:$A$44,0)),"Not Found")</f>
        <v>Operations</v>
      </c>
      <c r="F780" s="5" t="str">
        <f>IFERROR(INDEX(Employee_Master!$D$2:$D$44,MATCH($C780,Employee_Master!$A$2:$A$44,0)),"Not Found")</f>
        <v>Robert Steele</v>
      </c>
      <c r="G780" s="5" t="str">
        <f>IFERROR(INDEX(Employee_Master!$E$2:$E$44,MATCH($C780,Employee_Master!$A$2:$A$44,0)),"Not Found")</f>
        <v>South</v>
      </c>
      <c r="H780" s="5" t="str">
        <f>Sales_Data!D777</f>
        <v>P018 - Cooking Oil 1L</v>
      </c>
      <c r="I780" s="5" t="str">
        <f>IFERROR(INDEX(Product_Master!$B$2:$B$30,MATCH($H780,Product_Master!$A$2:$A$30,0)),"Invalid Product Code")</f>
        <v>Grocery</v>
      </c>
      <c r="J780" s="5">
        <f>IFERROR(INDEX(Product_Master!$C$2:$C$30,MATCH($H780,Product_Master!$A$2:$A$30,0)),0)</f>
        <v>1483.63</v>
      </c>
      <c r="K780" s="5">
        <f>Sales_Data!E777</f>
        <v>7</v>
      </c>
      <c r="L780" s="5">
        <f>Sales_Data!F777</f>
        <v>14843.94</v>
      </c>
      <c r="M780" s="5">
        <f>Sales_Data!G777</f>
        <v>10471.780000000001</v>
      </c>
      <c r="N780" s="5" t="str">
        <f>IFERROR(INDEX(Branch_Master!$B$2:$B$9,MATCH($B780,Branch_Master!$A$2:$A$9,0)),"Not Found")</f>
        <v>Chennai</v>
      </c>
      <c r="O780" s="5" t="str">
        <f>IFERROR(INDEX(Branch_Master!$C$2:$C$9,MATCH($B780,Branch_Master!$A$2:$A$9,0)),"Not Found")</f>
        <v>Tamil Nadu</v>
      </c>
      <c r="P780" s="5">
        <f>IFERROR(INDEX(Targets!$B$2:$B$9,MATCH($B780,Targets!$A$2:$A$9,0)),0)</f>
        <v>1910000</v>
      </c>
      <c r="Q780" s="5" t="str">
        <f t="shared" si="24"/>
        <v>Yes</v>
      </c>
      <c r="R780" s="5" t="str">
        <f t="shared" si="25"/>
        <v>Oct</v>
      </c>
    </row>
    <row r="781" spans="1:18" ht="15" customHeight="1" x14ac:dyDescent="0.3">
      <c r="A781" s="5" t="str">
        <f>Sales_Data!A778</f>
        <v>2025-10-13</v>
      </c>
      <c r="B781" s="5" t="str">
        <f>Sales_Data!B778</f>
        <v>Chennai South</v>
      </c>
      <c r="C781" s="5" t="str">
        <f>Sales_Data!C778</f>
        <v>E019</v>
      </c>
      <c r="D781" s="5" t="str">
        <f>IFERROR(INDEX(Employee_Master!$B$2:$B$44,MATCH($C781,Employee_Master!$A$2:$A$44,0)),"Not Found")</f>
        <v>Regina Torres</v>
      </c>
      <c r="E781" s="5" t="str">
        <f>IFERROR(INDEX(Employee_Master!$C$2:$C$44,MATCH($C781,Employee_Master!$A$2:$A$44,0)),"Not Found")</f>
        <v>Operations</v>
      </c>
      <c r="F781" s="5" t="str">
        <f>IFERROR(INDEX(Employee_Master!$D$2:$D$44,MATCH($C781,Employee_Master!$A$2:$A$44,0)),"Not Found")</f>
        <v>Robert Steele</v>
      </c>
      <c r="G781" s="5" t="str">
        <f>IFERROR(INDEX(Employee_Master!$E$2:$E$44,MATCH($C781,Employee_Master!$A$2:$A$44,0)),"Not Found")</f>
        <v>South</v>
      </c>
      <c r="H781" s="5" t="str">
        <f>Sales_Data!D778</f>
        <v>P024 - Hair Serum</v>
      </c>
      <c r="I781" s="5" t="str">
        <f>IFERROR(INDEX(Product_Master!$B$2:$B$30,MATCH($H781,Product_Master!$A$2:$A$30,0)),"Invalid Product Code")</f>
        <v>Beauty</v>
      </c>
      <c r="J781" s="5">
        <f>IFERROR(INDEX(Product_Master!$C$2:$C$30,MATCH($H781,Product_Master!$A$2:$A$30,0)),0)</f>
        <v>1457.31</v>
      </c>
      <c r="K781" s="5">
        <f>Sales_Data!E778</f>
        <v>1</v>
      </c>
      <c r="L781" s="5">
        <f>Sales_Data!F778</f>
        <v>1994.87</v>
      </c>
      <c r="M781" s="5">
        <f>Sales_Data!G778</f>
        <v>1455.45</v>
      </c>
      <c r="N781" s="5" t="str">
        <f>IFERROR(INDEX(Branch_Master!$B$2:$B$9,MATCH($B781,Branch_Master!$A$2:$A$9,0)),"Not Found")</f>
        <v>Chennai</v>
      </c>
      <c r="O781" s="5" t="str">
        <f>IFERROR(INDEX(Branch_Master!$C$2:$C$9,MATCH($B781,Branch_Master!$A$2:$A$9,0)),"Not Found")</f>
        <v>Tamil Nadu</v>
      </c>
      <c r="P781" s="5">
        <f>IFERROR(INDEX(Targets!$B$2:$B$9,MATCH($B781,Targets!$A$2:$A$9,0)),0)</f>
        <v>1910000</v>
      </c>
      <c r="Q781" s="5" t="str">
        <f t="shared" si="24"/>
        <v>Yes</v>
      </c>
      <c r="R781" s="5" t="str">
        <f t="shared" si="25"/>
        <v>Oct</v>
      </c>
    </row>
    <row r="782" spans="1:18" ht="15" customHeight="1" x14ac:dyDescent="0.3">
      <c r="A782" s="5" t="str">
        <f>Sales_Data!A779</f>
        <v>2025-10-13</v>
      </c>
      <c r="B782" s="5" t="str">
        <f>Sales_Data!B779</f>
        <v>Hyderabad Hitech</v>
      </c>
      <c r="C782" s="5" t="str">
        <f>Sales_Data!C779</f>
        <v>E026</v>
      </c>
      <c r="D782" s="5" t="str">
        <f>IFERROR(INDEX(Employee_Master!$B$2:$B$44,MATCH($C782,Employee_Master!$A$2:$A$44,0)),"Not Found")</f>
        <v>Karen Andrews</v>
      </c>
      <c r="E782" s="5" t="str">
        <f>IFERROR(INDEX(Employee_Master!$C$2:$C$44,MATCH($C782,Employee_Master!$A$2:$A$44,0)),"Not Found")</f>
        <v>Marketing</v>
      </c>
      <c r="F782" s="5" t="str">
        <f>IFERROR(INDEX(Employee_Master!$D$2:$D$44,MATCH($C782,Employee_Master!$A$2:$A$44,0)),"Not Found")</f>
        <v>Anna Turner</v>
      </c>
      <c r="G782" s="5" t="str">
        <f>IFERROR(INDEX(Employee_Master!$E$2:$E$44,MATCH($C782,Employee_Master!$A$2:$A$44,0)),"Not Found")</f>
        <v>South</v>
      </c>
      <c r="H782" s="5" t="str">
        <f>Sales_Data!D779</f>
        <v>P028 - Football</v>
      </c>
      <c r="I782" s="5" t="str">
        <f>IFERROR(INDEX(Product_Master!$B$2:$B$30,MATCH($H782,Product_Master!$A$2:$A$30,0)),"Invalid Product Code")</f>
        <v>Sports</v>
      </c>
      <c r="J782" s="5">
        <f>IFERROR(INDEX(Product_Master!$C$2:$C$30,MATCH($H782,Product_Master!$A$2:$A$30,0)),0)</f>
        <v>314.25</v>
      </c>
      <c r="K782" s="5">
        <f>Sales_Data!E779</f>
        <v>2</v>
      </c>
      <c r="L782" s="5">
        <f>Sales_Data!F779</f>
        <v>784.06</v>
      </c>
      <c r="M782" s="5">
        <f>Sales_Data!G779</f>
        <v>545.01</v>
      </c>
      <c r="N782" s="5" t="str">
        <f>IFERROR(INDEX(Branch_Master!$B$2:$B$9,MATCH($B782,Branch_Master!$A$2:$A$9,0)),"Not Found")</f>
        <v>Hyderabad</v>
      </c>
      <c r="O782" s="5" t="str">
        <f>IFERROR(INDEX(Branch_Master!$C$2:$C$9,MATCH($B782,Branch_Master!$A$2:$A$9,0)),"Not Found")</f>
        <v>Telangana</v>
      </c>
      <c r="P782" s="5">
        <f>IFERROR(INDEX(Targets!$B$2:$B$9,MATCH($B782,Targets!$A$2:$A$9,0)),0)</f>
        <v>1210000</v>
      </c>
      <c r="Q782" s="5" t="str">
        <f t="shared" si="24"/>
        <v>Yes</v>
      </c>
      <c r="R782" s="5" t="str">
        <f t="shared" si="25"/>
        <v>Oct</v>
      </c>
    </row>
    <row r="783" spans="1:18" ht="15" customHeight="1" x14ac:dyDescent="0.3">
      <c r="A783" s="5" t="str">
        <f>Sales_Data!A780</f>
        <v>2025-10-13</v>
      </c>
      <c r="B783" s="5" t="str">
        <f>Sales_Data!B780</f>
        <v>Delhi NCR</v>
      </c>
      <c r="C783" s="5" t="str">
        <f>Sales_Data!C780</f>
        <v>E031</v>
      </c>
      <c r="D783" s="5" t="str">
        <f>IFERROR(INDEX(Employee_Master!$B$2:$B$44,MATCH($C783,Employee_Master!$A$2:$A$44,0)),"Not Found")</f>
        <v>Jennifer Garcia</v>
      </c>
      <c r="E783" s="5" t="str">
        <f>IFERROR(INDEX(Employee_Master!$C$2:$C$44,MATCH($C783,Employee_Master!$A$2:$A$44,0)),"Not Found")</f>
        <v>Sales</v>
      </c>
      <c r="F783" s="5" t="str">
        <f>IFERROR(INDEX(Employee_Master!$D$2:$D$44,MATCH($C783,Employee_Master!$A$2:$A$44,0)),"Not Found")</f>
        <v>William Oconnell</v>
      </c>
      <c r="G783" s="5" t="str">
        <f>IFERROR(INDEX(Employee_Master!$E$2:$E$44,MATCH($C783,Employee_Master!$A$2:$A$44,0)),"Not Found")</f>
        <v>North</v>
      </c>
      <c r="H783" s="5" t="str">
        <f>Sales_Data!D780</f>
        <v>P005 - LED Monitor</v>
      </c>
      <c r="I783" s="5" t="str">
        <f>IFERROR(INDEX(Product_Master!$B$2:$B$30,MATCH($H783,Product_Master!$A$2:$A$30,0)),"Invalid Product Code")</f>
        <v>Electronics</v>
      </c>
      <c r="J783" s="5">
        <f>IFERROR(INDEX(Product_Master!$C$2:$C$30,MATCH($H783,Product_Master!$A$2:$A$30,0)),0)</f>
        <v>489.9</v>
      </c>
      <c r="K783" s="5">
        <f>Sales_Data!E780</f>
        <v>10</v>
      </c>
      <c r="L783" s="5">
        <f>Sales_Data!F780</f>
        <v>6551.28</v>
      </c>
      <c r="M783" s="5">
        <f>Sales_Data!G780</f>
        <v>5057.5600000000004</v>
      </c>
      <c r="N783" s="5" t="str">
        <f>IFERROR(INDEX(Branch_Master!$B$2:$B$9,MATCH($B783,Branch_Master!$A$2:$A$9,0)),"Not Found")</f>
        <v>New Delhi</v>
      </c>
      <c r="O783" s="5" t="str">
        <f>IFERROR(INDEX(Branch_Master!$C$2:$C$9,MATCH($B783,Branch_Master!$A$2:$A$9,0)),"Not Found")</f>
        <v>Delhi</v>
      </c>
      <c r="P783" s="5">
        <f>IFERROR(INDEX(Targets!$B$2:$B$9,MATCH($B783,Targets!$A$2:$A$9,0)),0)</f>
        <v>2070000</v>
      </c>
      <c r="Q783" s="5" t="str">
        <f t="shared" si="24"/>
        <v>Yes</v>
      </c>
      <c r="R783" s="5" t="str">
        <f t="shared" si="25"/>
        <v>Oct</v>
      </c>
    </row>
    <row r="784" spans="1:18" ht="15" customHeight="1" x14ac:dyDescent="0.3">
      <c r="A784" s="5" t="str">
        <f>Sales_Data!A781</f>
        <v>2025-10-13</v>
      </c>
      <c r="B784" s="5" t="str">
        <f>Sales_Data!B781</f>
        <v>Hyderabad Hitech</v>
      </c>
      <c r="C784" s="5" t="str">
        <f>Sales_Data!C781</f>
        <v>E014</v>
      </c>
      <c r="D784" s="5" t="str">
        <f>IFERROR(INDEX(Employee_Master!$B$2:$B$44,MATCH($C784,Employee_Master!$A$2:$A$44,0)),"Not Found")</f>
        <v>Brian Brown</v>
      </c>
      <c r="E784" s="5" t="str">
        <f>IFERROR(INDEX(Employee_Master!$C$2:$C$44,MATCH($C784,Employee_Master!$A$2:$A$44,0)),"Not Found")</f>
        <v>Marketing</v>
      </c>
      <c r="F784" s="5" t="str">
        <f>IFERROR(INDEX(Employee_Master!$D$2:$D$44,MATCH($C784,Employee_Master!$A$2:$A$44,0)),"Not Found")</f>
        <v>Anna Turner</v>
      </c>
      <c r="G784" s="5" t="str">
        <f>IFERROR(INDEX(Employee_Master!$E$2:$E$44,MATCH($C784,Employee_Master!$A$2:$A$44,0)),"Not Found")</f>
        <v>South</v>
      </c>
      <c r="H784" s="5" t="str">
        <f>Sales_Data!D781</f>
        <v>P022 - Face Wash</v>
      </c>
      <c r="I784" s="5" t="str">
        <f>IFERROR(INDEX(Product_Master!$B$2:$B$30,MATCH($H784,Product_Master!$A$2:$A$30,0)),"Invalid Product Code")</f>
        <v>Beauty</v>
      </c>
      <c r="J784" s="5">
        <f>IFERROR(INDEX(Product_Master!$C$2:$C$30,MATCH($H784,Product_Master!$A$2:$A$30,0)),0)</f>
        <v>396.75</v>
      </c>
      <c r="K784" s="5">
        <f>Sales_Data!E781</f>
        <v>12</v>
      </c>
      <c r="L784" s="5">
        <f>Sales_Data!F781</f>
        <v>6113.07</v>
      </c>
      <c r="M784" s="5">
        <f>Sales_Data!G781</f>
        <v>4355.63</v>
      </c>
      <c r="N784" s="5" t="str">
        <f>IFERROR(INDEX(Branch_Master!$B$2:$B$9,MATCH($B784,Branch_Master!$A$2:$A$9,0)),"Not Found")</f>
        <v>Hyderabad</v>
      </c>
      <c r="O784" s="5" t="str">
        <f>IFERROR(INDEX(Branch_Master!$C$2:$C$9,MATCH($B784,Branch_Master!$A$2:$A$9,0)),"Not Found")</f>
        <v>Telangana</v>
      </c>
      <c r="P784" s="5">
        <f>IFERROR(INDEX(Targets!$B$2:$B$9,MATCH($B784,Targets!$A$2:$A$9,0)),0)</f>
        <v>1210000</v>
      </c>
      <c r="Q784" s="5" t="str">
        <f t="shared" si="24"/>
        <v>Yes</v>
      </c>
      <c r="R784" s="5" t="str">
        <f t="shared" si="25"/>
        <v>Oct</v>
      </c>
    </row>
    <row r="785" spans="1:18" ht="15" customHeight="1" x14ac:dyDescent="0.3">
      <c r="A785" s="5" t="str">
        <f>Sales_Data!A782</f>
        <v>2025-10-13</v>
      </c>
      <c r="B785" s="5" t="str">
        <f>Sales_Data!B782</f>
        <v>Ahmedabad West</v>
      </c>
      <c r="C785" s="5" t="str">
        <f>Sales_Data!C782</f>
        <v>E037</v>
      </c>
      <c r="D785" s="5" t="str">
        <f>IFERROR(INDEX(Employee_Master!$B$2:$B$44,MATCH($C785,Employee_Master!$A$2:$A$44,0)),"Not Found")</f>
        <v>Thomas Harris</v>
      </c>
      <c r="E785" s="5" t="str">
        <f>IFERROR(INDEX(Employee_Master!$C$2:$C$44,MATCH($C785,Employee_Master!$A$2:$A$44,0)),"Not Found")</f>
        <v>Customer Support</v>
      </c>
      <c r="F785" s="5" t="str">
        <f>IFERROR(INDEX(Employee_Master!$D$2:$D$44,MATCH($C785,Employee_Master!$A$2:$A$44,0)),"Not Found")</f>
        <v>Joseph Brown</v>
      </c>
      <c r="G785" s="5" t="str">
        <f>IFERROR(INDEX(Employee_Master!$E$2:$E$44,MATCH($C785,Employee_Master!$A$2:$A$44,0)),"Not Found")</f>
        <v>West</v>
      </c>
      <c r="H785" s="5" t="str">
        <f>Sales_Data!D782</f>
        <v>P012 - Non-Stick Pan</v>
      </c>
      <c r="I785" s="5" t="str">
        <f>IFERROR(INDEX(Product_Master!$B$2:$B$30,MATCH($H785,Product_Master!$A$2:$A$30,0)),"Invalid Product Code")</f>
        <v>Home &amp; Kitchen</v>
      </c>
      <c r="J785" s="5">
        <f>IFERROR(INDEX(Product_Master!$C$2:$C$30,MATCH($H785,Product_Master!$A$2:$A$30,0)),0)</f>
        <v>353.18</v>
      </c>
      <c r="K785" s="5">
        <f>Sales_Data!E782</f>
        <v>12</v>
      </c>
      <c r="L785" s="5">
        <f>Sales_Data!F782</f>
        <v>5999.01</v>
      </c>
      <c r="M785" s="5">
        <f>Sales_Data!G782</f>
        <v>3717.51</v>
      </c>
      <c r="N785" s="5" t="str">
        <f>IFERROR(INDEX(Branch_Master!$B$2:$B$9,MATCH($B785,Branch_Master!$A$2:$A$9,0)),"Not Found")</f>
        <v>Ahmedabad</v>
      </c>
      <c r="O785" s="5" t="str">
        <f>IFERROR(INDEX(Branch_Master!$C$2:$C$9,MATCH($B785,Branch_Master!$A$2:$A$9,0)),"Not Found")</f>
        <v>Gujarat</v>
      </c>
      <c r="P785" s="5">
        <f>IFERROR(INDEX(Targets!$B$2:$B$9,MATCH($B785,Targets!$A$2:$A$9,0)),0)</f>
        <v>1590000</v>
      </c>
      <c r="Q785" s="5" t="str">
        <f t="shared" si="24"/>
        <v>Yes</v>
      </c>
      <c r="R785" s="5" t="str">
        <f t="shared" si="25"/>
        <v>Oct</v>
      </c>
    </row>
    <row r="786" spans="1:18" ht="15" customHeight="1" x14ac:dyDescent="0.3">
      <c r="A786" s="5" t="str">
        <f>Sales_Data!A783</f>
        <v>2025-10-14</v>
      </c>
      <c r="B786" s="5" t="str">
        <f>Sales_Data!B783</f>
        <v>Delhi NCR</v>
      </c>
      <c r="C786" s="5" t="str">
        <f>Sales_Data!C783</f>
        <v>E013</v>
      </c>
      <c r="D786" s="5" t="str">
        <f>IFERROR(INDEX(Employee_Master!$B$2:$B$44,MATCH($C786,Employee_Master!$A$2:$A$44,0)),"Not Found")</f>
        <v>Norma Wilson</v>
      </c>
      <c r="E786" s="5" t="str">
        <f>IFERROR(INDEX(Employee_Master!$C$2:$C$44,MATCH($C786,Employee_Master!$A$2:$A$44,0)),"Not Found")</f>
        <v>Customer Support</v>
      </c>
      <c r="F786" s="5" t="str">
        <f>IFERROR(INDEX(Employee_Master!$D$2:$D$44,MATCH($C786,Employee_Master!$A$2:$A$44,0)),"Not Found")</f>
        <v>William Oconnell</v>
      </c>
      <c r="G786" s="5" t="str">
        <f>IFERROR(INDEX(Employee_Master!$E$2:$E$44,MATCH($C786,Employee_Master!$A$2:$A$44,0)),"Not Found")</f>
        <v>North</v>
      </c>
      <c r="H786" s="5" t="str">
        <f>Sales_Data!D783</f>
        <v>P024 - Hair Serum</v>
      </c>
      <c r="I786" s="5" t="str">
        <f>IFERROR(INDEX(Product_Master!$B$2:$B$30,MATCH($H786,Product_Master!$A$2:$A$30,0)),"Invalid Product Code")</f>
        <v>Beauty</v>
      </c>
      <c r="J786" s="5">
        <f>IFERROR(INDEX(Product_Master!$C$2:$C$30,MATCH($H786,Product_Master!$A$2:$A$30,0)),0)</f>
        <v>1457.31</v>
      </c>
      <c r="K786" s="5">
        <f>Sales_Data!E783</f>
        <v>10</v>
      </c>
      <c r="L786" s="5">
        <f>Sales_Data!F783</f>
        <v>20031.57</v>
      </c>
      <c r="M786" s="5">
        <f>Sales_Data!G783</f>
        <v>15456.16</v>
      </c>
      <c r="N786" s="5" t="str">
        <f>IFERROR(INDEX(Branch_Master!$B$2:$B$9,MATCH($B786,Branch_Master!$A$2:$A$9,0)),"Not Found")</f>
        <v>New Delhi</v>
      </c>
      <c r="O786" s="5" t="str">
        <f>IFERROR(INDEX(Branch_Master!$C$2:$C$9,MATCH($B786,Branch_Master!$A$2:$A$9,0)),"Not Found")</f>
        <v>Delhi</v>
      </c>
      <c r="P786" s="5">
        <f>IFERROR(INDEX(Targets!$B$2:$B$9,MATCH($B786,Targets!$A$2:$A$9,0)),0)</f>
        <v>2070000</v>
      </c>
      <c r="Q786" s="5" t="str">
        <f t="shared" si="24"/>
        <v>Yes</v>
      </c>
      <c r="R786" s="5" t="str">
        <f t="shared" si="25"/>
        <v>Oct</v>
      </c>
    </row>
    <row r="787" spans="1:18" ht="15" customHeight="1" x14ac:dyDescent="0.3">
      <c r="A787" s="5" t="str">
        <f>Sales_Data!A784</f>
        <v>2025-10-14</v>
      </c>
      <c r="B787" s="5" t="str">
        <f>Sales_Data!B784</f>
        <v>Chennai South</v>
      </c>
      <c r="C787" s="5" t="str">
        <f>Sales_Data!C784</f>
        <v>E019</v>
      </c>
      <c r="D787" s="5" t="str">
        <f>IFERROR(INDEX(Employee_Master!$B$2:$B$44,MATCH($C787,Employee_Master!$A$2:$A$44,0)),"Not Found")</f>
        <v>Regina Torres</v>
      </c>
      <c r="E787" s="5" t="str">
        <f>IFERROR(INDEX(Employee_Master!$C$2:$C$44,MATCH($C787,Employee_Master!$A$2:$A$44,0)),"Not Found")</f>
        <v>Operations</v>
      </c>
      <c r="F787" s="5" t="str">
        <f>IFERROR(INDEX(Employee_Master!$D$2:$D$44,MATCH($C787,Employee_Master!$A$2:$A$44,0)),"Not Found")</f>
        <v>Robert Steele</v>
      </c>
      <c r="G787" s="5" t="str">
        <f>IFERROR(INDEX(Employee_Master!$E$2:$E$44,MATCH($C787,Employee_Master!$A$2:$A$44,0)),"Not Found")</f>
        <v>South</v>
      </c>
      <c r="H787" s="5" t="str">
        <f>Sales_Data!D784</f>
        <v>P022 - Face Wash</v>
      </c>
      <c r="I787" s="5" t="str">
        <f>IFERROR(INDEX(Product_Master!$B$2:$B$30,MATCH($H787,Product_Master!$A$2:$A$30,0)),"Invalid Product Code")</f>
        <v>Beauty</v>
      </c>
      <c r="J787" s="5">
        <f>IFERROR(INDEX(Product_Master!$C$2:$C$30,MATCH($H787,Product_Master!$A$2:$A$30,0)),0)</f>
        <v>396.75</v>
      </c>
      <c r="K787" s="5">
        <f>Sales_Data!E784</f>
        <v>7</v>
      </c>
      <c r="L787" s="5">
        <f>Sales_Data!F784</f>
        <v>3938.82</v>
      </c>
      <c r="M787" s="5">
        <f>Sales_Data!G784</f>
        <v>3085.58</v>
      </c>
      <c r="N787" s="5" t="str">
        <f>IFERROR(INDEX(Branch_Master!$B$2:$B$9,MATCH($B787,Branch_Master!$A$2:$A$9,0)),"Not Found")</f>
        <v>Chennai</v>
      </c>
      <c r="O787" s="5" t="str">
        <f>IFERROR(INDEX(Branch_Master!$C$2:$C$9,MATCH($B787,Branch_Master!$A$2:$A$9,0)),"Not Found")</f>
        <v>Tamil Nadu</v>
      </c>
      <c r="P787" s="5">
        <f>IFERROR(INDEX(Targets!$B$2:$B$9,MATCH($B787,Targets!$A$2:$A$9,0)),0)</f>
        <v>1910000</v>
      </c>
      <c r="Q787" s="5" t="str">
        <f t="shared" si="24"/>
        <v>Yes</v>
      </c>
      <c r="R787" s="5" t="str">
        <f t="shared" si="25"/>
        <v>Oct</v>
      </c>
    </row>
    <row r="788" spans="1:18" ht="15" customHeight="1" x14ac:dyDescent="0.3">
      <c r="A788" s="5" t="str">
        <f>Sales_Data!A785</f>
        <v>2025-10-14</v>
      </c>
      <c r="B788" s="5" t="str">
        <f>Sales_Data!B785</f>
        <v>Pune East</v>
      </c>
      <c r="C788" s="5" t="str">
        <f>Sales_Data!C785</f>
        <v>E023</v>
      </c>
      <c r="D788" s="5" t="str">
        <f>IFERROR(INDEX(Employee_Master!$B$2:$B$44,MATCH($C788,Employee_Master!$A$2:$A$44,0)),"Not Found")</f>
        <v>Edward Jones</v>
      </c>
      <c r="E788" s="5" t="str">
        <f>IFERROR(INDEX(Employee_Master!$C$2:$C$44,MATCH($C788,Employee_Master!$A$2:$A$44,0)),"Not Found")</f>
        <v>Operations</v>
      </c>
      <c r="F788" s="5" t="str">
        <f>IFERROR(INDEX(Employee_Master!$D$2:$D$44,MATCH($C788,Employee_Master!$A$2:$A$44,0)),"Not Found")</f>
        <v>Jordan Matthews</v>
      </c>
      <c r="G788" s="5" t="str">
        <f>IFERROR(INDEX(Employee_Master!$E$2:$E$44,MATCH($C788,Employee_Master!$A$2:$A$44,0)),"Not Found")</f>
        <v>West</v>
      </c>
      <c r="H788" s="5" t="str">
        <f>Sales_Data!D785</f>
        <v>P024 - Hair Serum</v>
      </c>
      <c r="I788" s="5" t="str">
        <f>IFERROR(INDEX(Product_Master!$B$2:$B$30,MATCH($H788,Product_Master!$A$2:$A$30,0)),"Invalid Product Code")</f>
        <v>Beauty</v>
      </c>
      <c r="J788" s="5">
        <f>IFERROR(INDEX(Product_Master!$C$2:$C$30,MATCH($H788,Product_Master!$A$2:$A$30,0)),0)</f>
        <v>1457.31</v>
      </c>
      <c r="K788" s="5">
        <f>Sales_Data!E785</f>
        <v>9</v>
      </c>
      <c r="L788" s="5">
        <f>Sales_Data!F785</f>
        <v>17564.09</v>
      </c>
      <c r="M788" s="5">
        <f>Sales_Data!G785</f>
        <v>13846.14</v>
      </c>
      <c r="N788" s="5" t="str">
        <f>IFERROR(INDEX(Branch_Master!$B$2:$B$9,MATCH($B788,Branch_Master!$A$2:$A$9,0)),"Not Found")</f>
        <v>Pune</v>
      </c>
      <c r="O788" s="5" t="str">
        <f>IFERROR(INDEX(Branch_Master!$C$2:$C$9,MATCH($B788,Branch_Master!$A$2:$A$9,0)),"Not Found")</f>
        <v>Maharashtra</v>
      </c>
      <c r="P788" s="5">
        <f>IFERROR(INDEX(Targets!$B$2:$B$9,MATCH($B788,Targets!$A$2:$A$9,0)),0)</f>
        <v>1250000</v>
      </c>
      <c r="Q788" s="5" t="str">
        <f t="shared" si="24"/>
        <v>Yes</v>
      </c>
      <c r="R788" s="5" t="str">
        <f t="shared" si="25"/>
        <v>Oct</v>
      </c>
    </row>
    <row r="789" spans="1:18" ht="15" customHeight="1" x14ac:dyDescent="0.3">
      <c r="A789" s="5" t="str">
        <f>Sales_Data!A786</f>
        <v>2025-10-14</v>
      </c>
      <c r="B789" s="5" t="str">
        <f>Sales_Data!B786</f>
        <v>Chennai South</v>
      </c>
      <c r="C789" s="5" t="str">
        <f>Sales_Data!C786</f>
        <v>E015</v>
      </c>
      <c r="D789" s="5" t="str">
        <f>IFERROR(INDEX(Employee_Master!$B$2:$B$44,MATCH($C789,Employee_Master!$A$2:$A$44,0)),"Not Found")</f>
        <v>Cassandra Hansen</v>
      </c>
      <c r="E789" s="5" t="str">
        <f>IFERROR(INDEX(Employee_Master!$C$2:$C$44,MATCH($C789,Employee_Master!$A$2:$A$44,0)),"Not Found")</f>
        <v>Customer Support</v>
      </c>
      <c r="F789" s="5" t="str">
        <f>IFERROR(INDEX(Employee_Master!$D$2:$D$44,MATCH($C789,Employee_Master!$A$2:$A$44,0)),"Not Found")</f>
        <v>Robert Steele</v>
      </c>
      <c r="G789" s="5" t="str">
        <f>IFERROR(INDEX(Employee_Master!$E$2:$E$44,MATCH($C789,Employee_Master!$A$2:$A$44,0)),"Not Found")</f>
        <v>South</v>
      </c>
      <c r="H789" s="5" t="str">
        <f>Sales_Data!D786</f>
        <v>P028 - Football</v>
      </c>
      <c r="I789" s="5" t="str">
        <f>IFERROR(INDEX(Product_Master!$B$2:$B$30,MATCH($H789,Product_Master!$A$2:$A$30,0)),"Invalid Product Code")</f>
        <v>Sports</v>
      </c>
      <c r="J789" s="5">
        <f>IFERROR(INDEX(Product_Master!$C$2:$C$30,MATCH($H789,Product_Master!$A$2:$A$30,0)),0)</f>
        <v>314.25</v>
      </c>
      <c r="K789" s="5">
        <f>Sales_Data!E786</f>
        <v>11</v>
      </c>
      <c r="L789" s="5">
        <f>Sales_Data!F786</f>
        <v>4537.17</v>
      </c>
      <c r="M789" s="5">
        <f>Sales_Data!G786</f>
        <v>2990.03</v>
      </c>
      <c r="N789" s="5" t="str">
        <f>IFERROR(INDEX(Branch_Master!$B$2:$B$9,MATCH($B789,Branch_Master!$A$2:$A$9,0)),"Not Found")</f>
        <v>Chennai</v>
      </c>
      <c r="O789" s="5" t="str">
        <f>IFERROR(INDEX(Branch_Master!$C$2:$C$9,MATCH($B789,Branch_Master!$A$2:$A$9,0)),"Not Found")</f>
        <v>Tamil Nadu</v>
      </c>
      <c r="P789" s="5">
        <f>IFERROR(INDEX(Targets!$B$2:$B$9,MATCH($B789,Targets!$A$2:$A$9,0)),0)</f>
        <v>1910000</v>
      </c>
      <c r="Q789" s="5" t="str">
        <f t="shared" si="24"/>
        <v>Yes</v>
      </c>
      <c r="R789" s="5" t="str">
        <f t="shared" si="25"/>
        <v>Oct</v>
      </c>
    </row>
    <row r="790" spans="1:18" ht="15" customHeight="1" x14ac:dyDescent="0.3">
      <c r="A790" s="5" t="str">
        <f>Sales_Data!A787</f>
        <v>2025-10-14</v>
      </c>
      <c r="B790" s="5" t="str">
        <f>Sales_Data!B787</f>
        <v>Chennai South</v>
      </c>
      <c r="C790" s="5" t="str">
        <f>Sales_Data!C787</f>
        <v>E032</v>
      </c>
      <c r="D790" s="5" t="str">
        <f>IFERROR(INDEX(Employee_Master!$B$2:$B$44,MATCH($C790,Employee_Master!$A$2:$A$44,0)),"Not Found")</f>
        <v>Victor Allen</v>
      </c>
      <c r="E790" s="5" t="str">
        <f>IFERROR(INDEX(Employee_Master!$C$2:$C$44,MATCH($C790,Employee_Master!$A$2:$A$44,0)),"Not Found")</f>
        <v>Operations</v>
      </c>
      <c r="F790" s="5" t="str">
        <f>IFERROR(INDEX(Employee_Master!$D$2:$D$44,MATCH($C790,Employee_Master!$A$2:$A$44,0)),"Not Found")</f>
        <v>Robert Steele</v>
      </c>
      <c r="G790" s="5" t="str">
        <f>IFERROR(INDEX(Employee_Master!$E$2:$E$44,MATCH($C790,Employee_Master!$A$2:$A$44,0)),"Not Found")</f>
        <v>South</v>
      </c>
      <c r="H790" s="5" t="str">
        <f>Sales_Data!D787</f>
        <v>P018 - Cooking Oil 1L</v>
      </c>
      <c r="I790" s="5" t="str">
        <f>IFERROR(INDEX(Product_Master!$B$2:$B$30,MATCH($H790,Product_Master!$A$2:$A$30,0)),"Invalid Product Code")</f>
        <v>Grocery</v>
      </c>
      <c r="J790" s="5">
        <f>IFERROR(INDEX(Product_Master!$C$2:$C$30,MATCH($H790,Product_Master!$A$2:$A$30,0)),0)</f>
        <v>1483.63</v>
      </c>
      <c r="K790" s="5">
        <f>Sales_Data!E787</f>
        <v>11</v>
      </c>
      <c r="L790" s="5">
        <f>Sales_Data!F787</f>
        <v>19791.689999999999</v>
      </c>
      <c r="M790" s="5">
        <f>Sales_Data!G787</f>
        <v>16389.53</v>
      </c>
      <c r="N790" s="5" t="str">
        <f>IFERROR(INDEX(Branch_Master!$B$2:$B$9,MATCH($B790,Branch_Master!$A$2:$A$9,0)),"Not Found")</f>
        <v>Chennai</v>
      </c>
      <c r="O790" s="5" t="str">
        <f>IFERROR(INDEX(Branch_Master!$C$2:$C$9,MATCH($B790,Branch_Master!$A$2:$A$9,0)),"Not Found")</f>
        <v>Tamil Nadu</v>
      </c>
      <c r="P790" s="5">
        <f>IFERROR(INDEX(Targets!$B$2:$B$9,MATCH($B790,Targets!$A$2:$A$9,0)),0)</f>
        <v>1910000</v>
      </c>
      <c r="Q790" s="5" t="str">
        <f t="shared" si="24"/>
        <v>Yes</v>
      </c>
      <c r="R790" s="5" t="str">
        <f t="shared" si="25"/>
        <v>Oct</v>
      </c>
    </row>
    <row r="791" spans="1:18" ht="15" customHeight="1" x14ac:dyDescent="0.3">
      <c r="A791" s="5" t="str">
        <f>Sales_Data!A788</f>
        <v>2025-10-14</v>
      </c>
      <c r="B791" s="5" t="str">
        <f>Sales_Data!B788</f>
        <v>Chennai South</v>
      </c>
      <c r="C791" s="5" t="str">
        <f>Sales_Data!C788</f>
        <v>E015</v>
      </c>
      <c r="D791" s="5" t="str">
        <f>IFERROR(INDEX(Employee_Master!$B$2:$B$44,MATCH($C791,Employee_Master!$A$2:$A$44,0)),"Not Found")</f>
        <v>Cassandra Hansen</v>
      </c>
      <c r="E791" s="5" t="str">
        <f>IFERROR(INDEX(Employee_Master!$C$2:$C$44,MATCH($C791,Employee_Master!$A$2:$A$44,0)),"Not Found")</f>
        <v>Customer Support</v>
      </c>
      <c r="F791" s="5" t="str">
        <f>IFERROR(INDEX(Employee_Master!$D$2:$D$44,MATCH($C791,Employee_Master!$A$2:$A$44,0)),"Not Found")</f>
        <v>Robert Steele</v>
      </c>
      <c r="G791" s="5" t="str">
        <f>IFERROR(INDEX(Employee_Master!$E$2:$E$44,MATCH($C791,Employee_Master!$A$2:$A$44,0)),"Not Found")</f>
        <v>South</v>
      </c>
      <c r="H791" s="5" t="str">
        <f>Sales_Data!D788</f>
        <v>P024 - Hair Serum</v>
      </c>
      <c r="I791" s="5" t="str">
        <f>IFERROR(INDEX(Product_Master!$B$2:$B$30,MATCH($H791,Product_Master!$A$2:$A$30,0)),"Invalid Product Code")</f>
        <v>Beauty</v>
      </c>
      <c r="J791" s="5">
        <f>IFERROR(INDEX(Product_Master!$C$2:$C$30,MATCH($H791,Product_Master!$A$2:$A$30,0)),0)</f>
        <v>1457.31</v>
      </c>
      <c r="K791" s="5">
        <f>Sales_Data!E788</f>
        <v>6</v>
      </c>
      <c r="L791" s="5">
        <f>Sales_Data!F788</f>
        <v>11597.78</v>
      </c>
      <c r="M791" s="5">
        <f>Sales_Data!G788</f>
        <v>7754.02</v>
      </c>
      <c r="N791" s="5" t="str">
        <f>IFERROR(INDEX(Branch_Master!$B$2:$B$9,MATCH($B791,Branch_Master!$A$2:$A$9,0)),"Not Found")</f>
        <v>Chennai</v>
      </c>
      <c r="O791" s="5" t="str">
        <f>IFERROR(INDEX(Branch_Master!$C$2:$C$9,MATCH($B791,Branch_Master!$A$2:$A$9,0)),"Not Found")</f>
        <v>Tamil Nadu</v>
      </c>
      <c r="P791" s="5">
        <f>IFERROR(INDEX(Targets!$B$2:$B$9,MATCH($B791,Targets!$A$2:$A$9,0)),0)</f>
        <v>1910000</v>
      </c>
      <c r="Q791" s="5" t="str">
        <f t="shared" si="24"/>
        <v>Yes</v>
      </c>
      <c r="R791" s="5" t="str">
        <f t="shared" si="25"/>
        <v>Oct</v>
      </c>
    </row>
    <row r="792" spans="1:18" ht="15" customHeight="1" x14ac:dyDescent="0.3">
      <c r="A792" s="5" t="str">
        <f>Sales_Data!A789</f>
        <v>2025-10-15</v>
      </c>
      <c r="B792" s="5" t="str">
        <f>Sales_Data!B789</f>
        <v>Pune East</v>
      </c>
      <c r="C792" s="5" t="str">
        <f>Sales_Data!C789</f>
        <v>E022</v>
      </c>
      <c r="D792" s="5" t="str">
        <f>IFERROR(INDEX(Employee_Master!$B$2:$B$44,MATCH($C792,Employee_Master!$A$2:$A$44,0)),"Not Found")</f>
        <v>Cindy Green PhD</v>
      </c>
      <c r="E792" s="5" t="str">
        <f>IFERROR(INDEX(Employee_Master!$C$2:$C$44,MATCH($C792,Employee_Master!$A$2:$A$44,0)),"Not Found")</f>
        <v>Customer Support</v>
      </c>
      <c r="F792" s="5" t="str">
        <f>IFERROR(INDEX(Employee_Master!$D$2:$D$44,MATCH($C792,Employee_Master!$A$2:$A$44,0)),"Not Found")</f>
        <v>Jordan Matthews</v>
      </c>
      <c r="G792" s="5" t="str">
        <f>IFERROR(INDEX(Employee_Master!$E$2:$E$44,MATCH($C792,Employee_Master!$A$2:$A$44,0)),"Not Found")</f>
        <v>West</v>
      </c>
      <c r="H792" s="5" t="str">
        <f>Sales_Data!D789</f>
        <v>P029 - Dumbbell Set 10kg</v>
      </c>
      <c r="I792" s="5" t="str">
        <f>IFERROR(INDEX(Product_Master!$B$2:$B$30,MATCH($H792,Product_Master!$A$2:$A$30,0)),"Invalid Product Code")</f>
        <v>Sports</v>
      </c>
      <c r="J792" s="5">
        <f>IFERROR(INDEX(Product_Master!$C$2:$C$30,MATCH($H792,Product_Master!$A$2:$A$30,0)),0)</f>
        <v>435</v>
      </c>
      <c r="K792" s="5">
        <f>Sales_Data!E789</f>
        <v>5</v>
      </c>
      <c r="L792" s="5">
        <f>Sales_Data!F789</f>
        <v>2689.55</v>
      </c>
      <c r="M792" s="5">
        <f>Sales_Data!G789</f>
        <v>1991.92</v>
      </c>
      <c r="N792" s="5" t="str">
        <f>IFERROR(INDEX(Branch_Master!$B$2:$B$9,MATCH($B792,Branch_Master!$A$2:$A$9,0)),"Not Found")</f>
        <v>Pune</v>
      </c>
      <c r="O792" s="5" t="str">
        <f>IFERROR(INDEX(Branch_Master!$C$2:$C$9,MATCH($B792,Branch_Master!$A$2:$A$9,0)),"Not Found")</f>
        <v>Maharashtra</v>
      </c>
      <c r="P792" s="5">
        <f>IFERROR(INDEX(Targets!$B$2:$B$9,MATCH($B792,Targets!$A$2:$A$9,0)),0)</f>
        <v>1250000</v>
      </c>
      <c r="Q792" s="5" t="str">
        <f t="shared" si="24"/>
        <v>Yes</v>
      </c>
      <c r="R792" s="5" t="str">
        <f t="shared" si="25"/>
        <v>Oct</v>
      </c>
    </row>
    <row r="793" spans="1:18" ht="15" customHeight="1" x14ac:dyDescent="0.3">
      <c r="A793" s="5" t="str">
        <f>Sales_Data!A790</f>
        <v>2025-10-16</v>
      </c>
      <c r="B793" s="5" t="str">
        <f>Sales_Data!B790</f>
        <v>Bangalore North</v>
      </c>
      <c r="C793" s="5" t="str">
        <f>Sales_Data!C790</f>
        <v>E040</v>
      </c>
      <c r="D793" s="5" t="str">
        <f>IFERROR(INDEX(Employee_Master!$B$2:$B$44,MATCH($C793,Employee_Master!$A$2:$A$44,0)),"Not Found")</f>
        <v>Bonnie Cox</v>
      </c>
      <c r="E793" s="5" t="str">
        <f>IFERROR(INDEX(Employee_Master!$C$2:$C$44,MATCH($C793,Employee_Master!$A$2:$A$44,0)),"Not Found")</f>
        <v>Customer Support</v>
      </c>
      <c r="F793" s="5" t="str">
        <f>IFERROR(INDEX(Employee_Master!$D$2:$D$44,MATCH($C793,Employee_Master!$A$2:$A$44,0)),"Not Found")</f>
        <v>Jose Soto</v>
      </c>
      <c r="G793" s="5" t="str">
        <f>IFERROR(INDEX(Employee_Master!$E$2:$E$44,MATCH($C793,Employee_Master!$A$2:$A$44,0)),"Not Found")</f>
        <v>South</v>
      </c>
      <c r="H793" s="5" t="str">
        <f>Sales_Data!D790</f>
        <v>P007 - Cotton T-Shirt</v>
      </c>
      <c r="I793" s="5" t="str">
        <f>IFERROR(INDEX(Product_Master!$B$2:$B$30,MATCH($H793,Product_Master!$A$2:$A$30,0)),"Invalid Product Code")</f>
        <v>Apparel</v>
      </c>
      <c r="J793" s="5">
        <f>IFERROR(INDEX(Product_Master!$C$2:$C$30,MATCH($H793,Product_Master!$A$2:$A$30,0)),0)</f>
        <v>338.44</v>
      </c>
      <c r="K793" s="5">
        <f>Sales_Data!E790</f>
        <v>7</v>
      </c>
      <c r="L793" s="5">
        <f>Sales_Data!F790</f>
        <v>3105.16</v>
      </c>
      <c r="M793" s="5">
        <f>Sales_Data!G790</f>
        <v>2428.15</v>
      </c>
      <c r="N793" s="5" t="str">
        <f>IFERROR(INDEX(Branch_Master!$B$2:$B$9,MATCH($B793,Branch_Master!$A$2:$A$9,0)),"Not Found")</f>
        <v>Bangalore</v>
      </c>
      <c r="O793" s="5" t="str">
        <f>IFERROR(INDEX(Branch_Master!$C$2:$C$9,MATCH($B793,Branch_Master!$A$2:$A$9,0)),"Not Found")</f>
        <v>Karnataka</v>
      </c>
      <c r="P793" s="5">
        <f>IFERROR(INDEX(Targets!$B$2:$B$9,MATCH($B793,Targets!$A$2:$A$9,0)),0)</f>
        <v>900000</v>
      </c>
      <c r="Q793" s="5" t="str">
        <f t="shared" si="24"/>
        <v>Yes</v>
      </c>
      <c r="R793" s="5" t="str">
        <f t="shared" si="25"/>
        <v>Oct</v>
      </c>
    </row>
    <row r="794" spans="1:18" ht="15" customHeight="1" x14ac:dyDescent="0.3">
      <c r="A794" s="5" t="str">
        <f>Sales_Data!A791</f>
        <v>2025-10-16</v>
      </c>
      <c r="B794" s="5" t="str">
        <f>Sales_Data!B791</f>
        <v>Ahmedabad West</v>
      </c>
      <c r="C794" s="5" t="str">
        <f>Sales_Data!C791</f>
        <v>E039</v>
      </c>
      <c r="D794" s="5" t="str">
        <f>IFERROR(INDEX(Employee_Master!$B$2:$B$44,MATCH($C794,Employee_Master!$A$2:$A$44,0)),"Not Found")</f>
        <v>Christopher Wood</v>
      </c>
      <c r="E794" s="5" t="str">
        <f>IFERROR(INDEX(Employee_Master!$C$2:$C$44,MATCH($C794,Employee_Master!$A$2:$A$44,0)),"Not Found")</f>
        <v>Marketing</v>
      </c>
      <c r="F794" s="5" t="str">
        <f>IFERROR(INDEX(Employee_Master!$D$2:$D$44,MATCH($C794,Employee_Master!$A$2:$A$44,0)),"Not Found")</f>
        <v>Joseph Brown</v>
      </c>
      <c r="G794" s="5" t="str">
        <f>IFERROR(INDEX(Employee_Master!$E$2:$E$44,MATCH($C794,Employee_Master!$A$2:$A$44,0)),"Not Found")</f>
        <v>West</v>
      </c>
      <c r="H794" s="5" t="str">
        <f>Sales_Data!D791</f>
        <v>P022 - Face Wash</v>
      </c>
      <c r="I794" s="5" t="str">
        <f>IFERROR(INDEX(Product_Master!$B$2:$B$30,MATCH($H794,Product_Master!$A$2:$A$30,0)),"Invalid Product Code")</f>
        <v>Beauty</v>
      </c>
      <c r="J794" s="5">
        <f>IFERROR(INDEX(Product_Master!$C$2:$C$30,MATCH($H794,Product_Master!$A$2:$A$30,0)),0)</f>
        <v>396.75</v>
      </c>
      <c r="K794" s="5">
        <f>Sales_Data!E791</f>
        <v>8</v>
      </c>
      <c r="L794" s="5">
        <f>Sales_Data!F791</f>
        <v>3960.22</v>
      </c>
      <c r="M794" s="5">
        <f>Sales_Data!G791</f>
        <v>3436.33</v>
      </c>
      <c r="N794" s="5" t="str">
        <f>IFERROR(INDEX(Branch_Master!$B$2:$B$9,MATCH($B794,Branch_Master!$A$2:$A$9,0)),"Not Found")</f>
        <v>Ahmedabad</v>
      </c>
      <c r="O794" s="5" t="str">
        <f>IFERROR(INDEX(Branch_Master!$C$2:$C$9,MATCH($B794,Branch_Master!$A$2:$A$9,0)),"Not Found")</f>
        <v>Gujarat</v>
      </c>
      <c r="P794" s="5">
        <f>IFERROR(INDEX(Targets!$B$2:$B$9,MATCH($B794,Targets!$A$2:$A$9,0)),0)</f>
        <v>1590000</v>
      </c>
      <c r="Q794" s="5" t="str">
        <f t="shared" si="24"/>
        <v>Yes</v>
      </c>
      <c r="R794" s="5" t="str">
        <f t="shared" si="25"/>
        <v>Oct</v>
      </c>
    </row>
    <row r="795" spans="1:18" ht="15" customHeight="1" x14ac:dyDescent="0.3">
      <c r="A795" s="5" t="str">
        <f>Sales_Data!A792</f>
        <v>2025-10-16</v>
      </c>
      <c r="B795" s="5" t="str">
        <f>Sales_Data!B792</f>
        <v>Pune East</v>
      </c>
      <c r="C795" s="5" t="str">
        <f>Sales_Data!C792</f>
        <v>E023</v>
      </c>
      <c r="D795" s="5" t="str">
        <f>IFERROR(INDEX(Employee_Master!$B$2:$B$44,MATCH($C795,Employee_Master!$A$2:$A$44,0)),"Not Found")</f>
        <v>Edward Jones</v>
      </c>
      <c r="E795" s="5" t="str">
        <f>IFERROR(INDEX(Employee_Master!$C$2:$C$44,MATCH($C795,Employee_Master!$A$2:$A$44,0)),"Not Found")</f>
        <v>Operations</v>
      </c>
      <c r="F795" s="5" t="str">
        <f>IFERROR(INDEX(Employee_Master!$D$2:$D$44,MATCH($C795,Employee_Master!$A$2:$A$44,0)),"Not Found")</f>
        <v>Jordan Matthews</v>
      </c>
      <c r="G795" s="5" t="str">
        <f>IFERROR(INDEX(Employee_Master!$E$2:$E$44,MATCH($C795,Employee_Master!$A$2:$A$44,0)),"Not Found")</f>
        <v>West</v>
      </c>
      <c r="H795" s="5" t="str">
        <f>Sales_Data!D792</f>
        <v>P003 - Bluetooth Speaker</v>
      </c>
      <c r="I795" s="5" t="str">
        <f>IFERROR(INDEX(Product_Master!$B$2:$B$30,MATCH($H795,Product_Master!$A$2:$A$30,0)),"Invalid Product Code")</f>
        <v>Electronics</v>
      </c>
      <c r="J795" s="5">
        <f>IFERROR(INDEX(Product_Master!$C$2:$C$30,MATCH($H795,Product_Master!$A$2:$A$30,0)),0)</f>
        <v>351.01</v>
      </c>
      <c r="K795" s="5">
        <f>Sales_Data!E792</f>
        <v>12</v>
      </c>
      <c r="L795" s="5">
        <f>Sales_Data!F792</f>
        <v>5110.82</v>
      </c>
      <c r="M795" s="5">
        <f>Sales_Data!G792</f>
        <v>4756.53</v>
      </c>
      <c r="N795" s="5" t="str">
        <f>IFERROR(INDEX(Branch_Master!$B$2:$B$9,MATCH($B795,Branch_Master!$A$2:$A$9,0)),"Not Found")</f>
        <v>Pune</v>
      </c>
      <c r="O795" s="5" t="str">
        <f>IFERROR(INDEX(Branch_Master!$C$2:$C$9,MATCH($B795,Branch_Master!$A$2:$A$9,0)),"Not Found")</f>
        <v>Maharashtra</v>
      </c>
      <c r="P795" s="5">
        <f>IFERROR(INDEX(Targets!$B$2:$B$9,MATCH($B795,Targets!$A$2:$A$9,0)),0)</f>
        <v>1250000</v>
      </c>
      <c r="Q795" s="5" t="str">
        <f t="shared" si="24"/>
        <v>Yes</v>
      </c>
      <c r="R795" s="5" t="str">
        <f t="shared" si="25"/>
        <v>Oct</v>
      </c>
    </row>
    <row r="796" spans="1:18" ht="15" customHeight="1" x14ac:dyDescent="0.3">
      <c r="A796" s="5" t="str">
        <f>Sales_Data!A793</f>
        <v>2025-10-16</v>
      </c>
      <c r="B796" s="5" t="str">
        <f>Sales_Data!B793</f>
        <v>Chennai South</v>
      </c>
      <c r="C796" s="5" t="str">
        <f>Sales_Data!C793</f>
        <v>E015</v>
      </c>
      <c r="D796" s="5" t="str">
        <f>IFERROR(INDEX(Employee_Master!$B$2:$B$44,MATCH($C796,Employee_Master!$A$2:$A$44,0)),"Not Found")</f>
        <v>Cassandra Hansen</v>
      </c>
      <c r="E796" s="5" t="str">
        <f>IFERROR(INDEX(Employee_Master!$C$2:$C$44,MATCH($C796,Employee_Master!$A$2:$A$44,0)),"Not Found")</f>
        <v>Customer Support</v>
      </c>
      <c r="F796" s="5" t="str">
        <f>IFERROR(INDEX(Employee_Master!$D$2:$D$44,MATCH($C796,Employee_Master!$A$2:$A$44,0)),"Not Found")</f>
        <v>Robert Steele</v>
      </c>
      <c r="G796" s="5" t="str">
        <f>IFERROR(INDEX(Employee_Master!$E$2:$E$44,MATCH($C796,Employee_Master!$A$2:$A$44,0)),"Not Found")</f>
        <v>South</v>
      </c>
      <c r="H796" s="5" t="str">
        <f>Sales_Data!D793</f>
        <v>P029 - Dumbbell Set 10kg</v>
      </c>
      <c r="I796" s="5" t="str">
        <f>IFERROR(INDEX(Product_Master!$B$2:$B$30,MATCH($H796,Product_Master!$A$2:$A$30,0)),"Invalid Product Code")</f>
        <v>Sports</v>
      </c>
      <c r="J796" s="5">
        <f>IFERROR(INDEX(Product_Master!$C$2:$C$30,MATCH($H796,Product_Master!$A$2:$A$30,0)),0)</f>
        <v>435</v>
      </c>
      <c r="K796" s="5">
        <f>Sales_Data!E793</f>
        <v>8</v>
      </c>
      <c r="L796" s="5">
        <f>Sales_Data!F793</f>
        <v>4173.38</v>
      </c>
      <c r="M796" s="5">
        <f>Sales_Data!G793</f>
        <v>3619.71</v>
      </c>
      <c r="N796" s="5" t="str">
        <f>IFERROR(INDEX(Branch_Master!$B$2:$B$9,MATCH($B796,Branch_Master!$A$2:$A$9,0)),"Not Found")</f>
        <v>Chennai</v>
      </c>
      <c r="O796" s="5" t="str">
        <f>IFERROR(INDEX(Branch_Master!$C$2:$C$9,MATCH($B796,Branch_Master!$A$2:$A$9,0)),"Not Found")</f>
        <v>Tamil Nadu</v>
      </c>
      <c r="P796" s="5">
        <f>IFERROR(INDEX(Targets!$B$2:$B$9,MATCH($B796,Targets!$A$2:$A$9,0)),0)</f>
        <v>1910000</v>
      </c>
      <c r="Q796" s="5" t="str">
        <f t="shared" si="24"/>
        <v>Yes</v>
      </c>
      <c r="R796" s="5" t="str">
        <f t="shared" si="25"/>
        <v>Oct</v>
      </c>
    </row>
    <row r="797" spans="1:18" ht="15" customHeight="1" x14ac:dyDescent="0.3">
      <c r="A797" s="5" t="str">
        <f>Sales_Data!A794</f>
        <v>2025-10-17</v>
      </c>
      <c r="B797" s="5" t="str">
        <f>Sales_Data!B794</f>
        <v>Ahmedabad West</v>
      </c>
      <c r="C797" s="5" t="str">
        <f>Sales_Data!C794</f>
        <v>E017</v>
      </c>
      <c r="D797" s="5" t="str">
        <f>IFERROR(INDEX(Employee_Master!$B$2:$B$44,MATCH($C797,Employee_Master!$A$2:$A$44,0)),"Not Found")</f>
        <v>Mathew Wilson</v>
      </c>
      <c r="E797" s="5" t="str">
        <f>IFERROR(INDEX(Employee_Master!$C$2:$C$44,MATCH($C797,Employee_Master!$A$2:$A$44,0)),"Not Found")</f>
        <v>Operations</v>
      </c>
      <c r="F797" s="5" t="str">
        <f>IFERROR(INDEX(Employee_Master!$D$2:$D$44,MATCH($C797,Employee_Master!$A$2:$A$44,0)),"Not Found")</f>
        <v>Joseph Brown</v>
      </c>
      <c r="G797" s="5" t="str">
        <f>IFERROR(INDEX(Employee_Master!$E$2:$E$44,MATCH($C797,Employee_Master!$A$2:$A$44,0)),"Not Found")</f>
        <v>West</v>
      </c>
      <c r="H797" s="5" t="str">
        <f>Sales_Data!D794</f>
        <v>P015 - Water Bottle</v>
      </c>
      <c r="I797" s="5" t="str">
        <f>IFERROR(INDEX(Product_Master!$B$2:$B$30,MATCH($H797,Product_Master!$A$2:$A$30,0)),"Invalid Product Code")</f>
        <v>Home &amp; Kitchen</v>
      </c>
      <c r="J797" s="5">
        <f>IFERROR(INDEX(Product_Master!$C$2:$C$30,MATCH($H797,Product_Master!$A$2:$A$30,0)),0)</f>
        <v>197.57</v>
      </c>
      <c r="K797" s="5">
        <f>Sales_Data!E794</f>
        <v>1</v>
      </c>
      <c r="L797" s="5">
        <f>Sales_Data!F794</f>
        <v>254.88</v>
      </c>
      <c r="M797" s="5">
        <f>Sales_Data!G794</f>
        <v>194.37</v>
      </c>
      <c r="N797" s="5" t="str">
        <f>IFERROR(INDEX(Branch_Master!$B$2:$B$9,MATCH($B797,Branch_Master!$A$2:$A$9,0)),"Not Found")</f>
        <v>Ahmedabad</v>
      </c>
      <c r="O797" s="5" t="str">
        <f>IFERROR(INDEX(Branch_Master!$C$2:$C$9,MATCH($B797,Branch_Master!$A$2:$A$9,0)),"Not Found")</f>
        <v>Gujarat</v>
      </c>
      <c r="P797" s="5">
        <f>IFERROR(INDEX(Targets!$B$2:$B$9,MATCH($B797,Targets!$A$2:$A$9,0)),0)</f>
        <v>1590000</v>
      </c>
      <c r="Q797" s="5" t="str">
        <f t="shared" si="24"/>
        <v>Yes</v>
      </c>
      <c r="R797" s="5" t="str">
        <f t="shared" si="25"/>
        <v>Oct</v>
      </c>
    </row>
    <row r="798" spans="1:18" ht="15" customHeight="1" x14ac:dyDescent="0.3">
      <c r="A798" s="5" t="str">
        <f>Sales_Data!A795</f>
        <v>2025-10-17</v>
      </c>
      <c r="B798" s="5" t="str">
        <f>Sales_Data!B795</f>
        <v>Chennai South</v>
      </c>
      <c r="C798" s="5" t="str">
        <f>Sales_Data!C795</f>
        <v>E019</v>
      </c>
      <c r="D798" s="5" t="str">
        <f>IFERROR(INDEX(Employee_Master!$B$2:$B$44,MATCH($C798,Employee_Master!$A$2:$A$44,0)),"Not Found")</f>
        <v>Regina Torres</v>
      </c>
      <c r="E798" s="5" t="str">
        <f>IFERROR(INDEX(Employee_Master!$C$2:$C$44,MATCH($C798,Employee_Master!$A$2:$A$44,0)),"Not Found")</f>
        <v>Operations</v>
      </c>
      <c r="F798" s="5" t="str">
        <f>IFERROR(INDEX(Employee_Master!$D$2:$D$44,MATCH($C798,Employee_Master!$A$2:$A$44,0)),"Not Found")</f>
        <v>Robert Steele</v>
      </c>
      <c r="G798" s="5" t="str">
        <f>IFERROR(INDEX(Employee_Master!$E$2:$E$44,MATCH($C798,Employee_Master!$A$2:$A$44,0)),"Not Found")</f>
        <v>South</v>
      </c>
      <c r="H798" s="5" t="str">
        <f>Sales_Data!D795</f>
        <v>P027 - Cricket Bat</v>
      </c>
      <c r="I798" s="5" t="str">
        <f>IFERROR(INDEX(Product_Master!$B$2:$B$30,MATCH($H798,Product_Master!$A$2:$A$30,0)),"Invalid Product Code")</f>
        <v>Sports</v>
      </c>
      <c r="J798" s="5">
        <f>IFERROR(INDEX(Product_Master!$C$2:$C$30,MATCH($H798,Product_Master!$A$2:$A$30,0)),0)</f>
        <v>822.7</v>
      </c>
      <c r="K798" s="5">
        <f>Sales_Data!E795</f>
        <v>11</v>
      </c>
      <c r="L798" s="5">
        <f>Sales_Data!F795</f>
        <v>12675.33</v>
      </c>
      <c r="M798" s="5">
        <f>Sales_Data!G795</f>
        <v>9436.08</v>
      </c>
      <c r="N798" s="5" t="str">
        <f>IFERROR(INDEX(Branch_Master!$B$2:$B$9,MATCH($B798,Branch_Master!$A$2:$A$9,0)),"Not Found")</f>
        <v>Chennai</v>
      </c>
      <c r="O798" s="5" t="str">
        <f>IFERROR(INDEX(Branch_Master!$C$2:$C$9,MATCH($B798,Branch_Master!$A$2:$A$9,0)),"Not Found")</f>
        <v>Tamil Nadu</v>
      </c>
      <c r="P798" s="5">
        <f>IFERROR(INDEX(Targets!$B$2:$B$9,MATCH($B798,Targets!$A$2:$A$9,0)),0)</f>
        <v>1910000</v>
      </c>
      <c r="Q798" s="5" t="str">
        <f t="shared" si="24"/>
        <v>Yes</v>
      </c>
      <c r="R798" s="5" t="str">
        <f t="shared" si="25"/>
        <v>Oct</v>
      </c>
    </row>
    <row r="799" spans="1:18" ht="15" customHeight="1" x14ac:dyDescent="0.3">
      <c r="A799" s="5" t="str">
        <f>Sales_Data!A796</f>
        <v>2025-10-17</v>
      </c>
      <c r="B799" s="5" t="str">
        <f>Sales_Data!B796</f>
        <v>Bangalore North</v>
      </c>
      <c r="C799" s="5" t="str">
        <f>Sales_Data!C796</f>
        <v>E040</v>
      </c>
      <c r="D799" s="5" t="str">
        <f>IFERROR(INDEX(Employee_Master!$B$2:$B$44,MATCH($C799,Employee_Master!$A$2:$A$44,0)),"Not Found")</f>
        <v>Bonnie Cox</v>
      </c>
      <c r="E799" s="5" t="str">
        <f>IFERROR(INDEX(Employee_Master!$C$2:$C$44,MATCH($C799,Employee_Master!$A$2:$A$44,0)),"Not Found")</f>
        <v>Customer Support</v>
      </c>
      <c r="F799" s="5" t="str">
        <f>IFERROR(INDEX(Employee_Master!$D$2:$D$44,MATCH($C799,Employee_Master!$A$2:$A$44,0)),"Not Found")</f>
        <v>Jose Soto</v>
      </c>
      <c r="G799" s="5" t="str">
        <f>IFERROR(INDEX(Employee_Master!$E$2:$E$44,MATCH($C799,Employee_Master!$A$2:$A$44,0)),"Not Found")</f>
        <v>South</v>
      </c>
      <c r="H799" s="5" t="str">
        <f>Sales_Data!D796</f>
        <v>P999 - Discontinued Item</v>
      </c>
      <c r="I799" s="5" t="str">
        <f>IFERROR(INDEX(Product_Master!$B$2:$B$30,MATCH($H799,Product_Master!$A$2:$A$30,0)),"Invalid Product Code")</f>
        <v>Invalid Product Code</v>
      </c>
      <c r="J799" s="5">
        <f>IFERROR(INDEX(Product_Master!$C$2:$C$30,MATCH($H799,Product_Master!$A$2:$A$30,0)),0)</f>
        <v>0</v>
      </c>
      <c r="K799" s="5">
        <f>Sales_Data!E796</f>
        <v>10</v>
      </c>
      <c r="L799" s="5">
        <f>Sales_Data!F796</f>
        <v>5835.81</v>
      </c>
      <c r="M799" s="5">
        <f>Sales_Data!G796</f>
        <v>4799.34</v>
      </c>
      <c r="N799" s="5" t="str">
        <f>IFERROR(INDEX(Branch_Master!$B$2:$B$9,MATCH($B799,Branch_Master!$A$2:$A$9,0)),"Not Found")</f>
        <v>Bangalore</v>
      </c>
      <c r="O799" s="5" t="str">
        <f>IFERROR(INDEX(Branch_Master!$C$2:$C$9,MATCH($B799,Branch_Master!$A$2:$A$9,0)),"Not Found")</f>
        <v>Karnataka</v>
      </c>
      <c r="P799" s="5">
        <f>IFERROR(INDEX(Targets!$B$2:$B$9,MATCH($B799,Targets!$A$2:$A$9,0)),0)</f>
        <v>900000</v>
      </c>
      <c r="Q799" s="5" t="str">
        <f t="shared" si="24"/>
        <v>Yes</v>
      </c>
      <c r="R799" s="5" t="str">
        <f t="shared" si="25"/>
        <v>Oct</v>
      </c>
    </row>
    <row r="800" spans="1:18" ht="15" customHeight="1" x14ac:dyDescent="0.3">
      <c r="A800" s="5" t="str">
        <f>Sales_Data!A797</f>
        <v>2025-10-18</v>
      </c>
      <c r="B800" s="5" t="str">
        <f>Sales_Data!B797</f>
        <v>Pune East</v>
      </c>
      <c r="C800" s="5" t="str">
        <f>Sales_Data!C797</f>
        <v>E022</v>
      </c>
      <c r="D800" s="5" t="str">
        <f>IFERROR(INDEX(Employee_Master!$B$2:$B$44,MATCH($C800,Employee_Master!$A$2:$A$44,0)),"Not Found")</f>
        <v>Cindy Green PhD</v>
      </c>
      <c r="E800" s="5" t="str">
        <f>IFERROR(INDEX(Employee_Master!$C$2:$C$44,MATCH($C800,Employee_Master!$A$2:$A$44,0)),"Not Found")</f>
        <v>Customer Support</v>
      </c>
      <c r="F800" s="5" t="str">
        <f>IFERROR(INDEX(Employee_Master!$D$2:$D$44,MATCH($C800,Employee_Master!$A$2:$A$44,0)),"Not Found")</f>
        <v>Jordan Matthews</v>
      </c>
      <c r="G800" s="5" t="str">
        <f>IFERROR(INDEX(Employee_Master!$E$2:$E$44,MATCH($C800,Employee_Master!$A$2:$A$44,0)),"Not Found")</f>
        <v>West</v>
      </c>
      <c r="H800" s="5" t="str">
        <f>Sales_Data!D797</f>
        <v>P004 - Power Bank</v>
      </c>
      <c r="I800" s="5" t="str">
        <f>IFERROR(INDEX(Product_Master!$B$2:$B$30,MATCH($H800,Product_Master!$A$2:$A$30,0)),"Invalid Product Code")</f>
        <v>Electronics</v>
      </c>
      <c r="J800" s="5">
        <f>IFERROR(INDEX(Product_Master!$C$2:$C$30,MATCH($H800,Product_Master!$A$2:$A$30,0)),0)</f>
        <v>76.91</v>
      </c>
      <c r="K800" s="5">
        <f>Sales_Data!E797</f>
        <v>9</v>
      </c>
      <c r="L800" s="5">
        <f>Sales_Data!F797</f>
        <v>952.46</v>
      </c>
      <c r="M800" s="5">
        <f>Sales_Data!G797</f>
        <v>614.07000000000005</v>
      </c>
      <c r="N800" s="5" t="str">
        <f>IFERROR(INDEX(Branch_Master!$B$2:$B$9,MATCH($B800,Branch_Master!$A$2:$A$9,0)),"Not Found")</f>
        <v>Pune</v>
      </c>
      <c r="O800" s="5" t="str">
        <f>IFERROR(INDEX(Branch_Master!$C$2:$C$9,MATCH($B800,Branch_Master!$A$2:$A$9,0)),"Not Found")</f>
        <v>Maharashtra</v>
      </c>
      <c r="P800" s="5">
        <f>IFERROR(INDEX(Targets!$B$2:$B$9,MATCH($B800,Targets!$A$2:$A$9,0)),0)</f>
        <v>1250000</v>
      </c>
      <c r="Q800" s="5" t="str">
        <f t="shared" si="24"/>
        <v>Yes</v>
      </c>
      <c r="R800" s="5" t="str">
        <f t="shared" si="25"/>
        <v>Oct</v>
      </c>
    </row>
    <row r="801" spans="1:18" ht="15" customHeight="1" x14ac:dyDescent="0.3">
      <c r="A801" s="5" t="str">
        <f>Sales_Data!A798</f>
        <v>2025-10-19</v>
      </c>
      <c r="B801" s="5" t="str">
        <f>Sales_Data!B798</f>
        <v>Pune East</v>
      </c>
      <c r="C801" s="5" t="str">
        <f>Sales_Data!C798</f>
        <v>E022</v>
      </c>
      <c r="D801" s="5" t="str">
        <f>IFERROR(INDEX(Employee_Master!$B$2:$B$44,MATCH($C801,Employee_Master!$A$2:$A$44,0)),"Not Found")</f>
        <v>Cindy Green PhD</v>
      </c>
      <c r="E801" s="5" t="str">
        <f>IFERROR(INDEX(Employee_Master!$C$2:$C$44,MATCH($C801,Employee_Master!$A$2:$A$44,0)),"Not Found")</f>
        <v>Customer Support</v>
      </c>
      <c r="F801" s="5" t="str">
        <f>IFERROR(INDEX(Employee_Master!$D$2:$D$44,MATCH($C801,Employee_Master!$A$2:$A$44,0)),"Not Found")</f>
        <v>Jordan Matthews</v>
      </c>
      <c r="G801" s="5" t="str">
        <f>IFERROR(INDEX(Employee_Master!$E$2:$E$44,MATCH($C801,Employee_Master!$A$2:$A$44,0)),"Not Found")</f>
        <v>West</v>
      </c>
      <c r="H801" s="5" t="str">
        <f>Sales_Data!D798</f>
        <v>P010 - Running Shoes</v>
      </c>
      <c r="I801" s="5" t="str">
        <f>IFERROR(INDEX(Product_Master!$B$2:$B$30,MATCH($H801,Product_Master!$A$2:$A$30,0)),"Invalid Product Code")</f>
        <v>Apparel</v>
      </c>
      <c r="J801" s="5">
        <f>IFERROR(INDEX(Product_Master!$C$2:$C$30,MATCH($H801,Product_Master!$A$2:$A$30,0)),0)</f>
        <v>233.71</v>
      </c>
      <c r="K801" s="5">
        <f>Sales_Data!E798</f>
        <v>4</v>
      </c>
      <c r="L801" s="5">
        <f>Sales_Data!F798</f>
        <v>1153.53</v>
      </c>
      <c r="M801" s="5">
        <f>Sales_Data!G798</f>
        <v>872.89</v>
      </c>
      <c r="N801" s="5" t="str">
        <f>IFERROR(INDEX(Branch_Master!$B$2:$B$9,MATCH($B801,Branch_Master!$A$2:$A$9,0)),"Not Found")</f>
        <v>Pune</v>
      </c>
      <c r="O801" s="5" t="str">
        <f>IFERROR(INDEX(Branch_Master!$C$2:$C$9,MATCH($B801,Branch_Master!$A$2:$A$9,0)),"Not Found")</f>
        <v>Maharashtra</v>
      </c>
      <c r="P801" s="5">
        <f>IFERROR(INDEX(Targets!$B$2:$B$9,MATCH($B801,Targets!$A$2:$A$9,0)),0)</f>
        <v>1250000</v>
      </c>
      <c r="Q801" s="5" t="str">
        <f t="shared" si="24"/>
        <v>Yes</v>
      </c>
      <c r="R801" s="5" t="str">
        <f t="shared" si="25"/>
        <v>Oct</v>
      </c>
    </row>
    <row r="802" spans="1:18" ht="15" customHeight="1" x14ac:dyDescent="0.3">
      <c r="A802" s="5" t="str">
        <f>Sales_Data!A799</f>
        <v>2025-10-19</v>
      </c>
      <c r="B802" s="5" t="str">
        <f>Sales_Data!B799</f>
        <v>Chennai South</v>
      </c>
      <c r="C802" s="5" t="str">
        <f>Sales_Data!C799</f>
        <v>E032</v>
      </c>
      <c r="D802" s="5" t="str">
        <f>IFERROR(INDEX(Employee_Master!$B$2:$B$44,MATCH($C802,Employee_Master!$A$2:$A$44,0)),"Not Found")</f>
        <v>Victor Allen</v>
      </c>
      <c r="E802" s="5" t="str">
        <f>IFERROR(INDEX(Employee_Master!$C$2:$C$44,MATCH($C802,Employee_Master!$A$2:$A$44,0)),"Not Found")</f>
        <v>Operations</v>
      </c>
      <c r="F802" s="5" t="str">
        <f>IFERROR(INDEX(Employee_Master!$D$2:$D$44,MATCH($C802,Employee_Master!$A$2:$A$44,0)),"Not Found")</f>
        <v>Robert Steele</v>
      </c>
      <c r="G802" s="5" t="str">
        <f>IFERROR(INDEX(Employee_Master!$E$2:$E$44,MATCH($C802,Employee_Master!$A$2:$A$44,0)),"Not Found")</f>
        <v>South</v>
      </c>
      <c r="H802" s="5" t="str">
        <f>Sales_Data!D799</f>
        <v>P017 - Basmati Rice 5kg</v>
      </c>
      <c r="I802" s="5" t="str">
        <f>IFERROR(INDEX(Product_Master!$B$2:$B$30,MATCH($H802,Product_Master!$A$2:$A$30,0)),"Invalid Product Code")</f>
        <v>Grocery</v>
      </c>
      <c r="J802" s="5">
        <f>IFERROR(INDEX(Product_Master!$C$2:$C$30,MATCH($H802,Product_Master!$A$2:$A$30,0)),0)</f>
        <v>825.33</v>
      </c>
      <c r="K802" s="5">
        <f>Sales_Data!E799</f>
        <v>6</v>
      </c>
      <c r="L802" s="5">
        <f>Sales_Data!F799</f>
        <v>6081.45</v>
      </c>
      <c r="M802" s="5">
        <f>Sales_Data!G799</f>
        <v>4540.07</v>
      </c>
      <c r="N802" s="5" t="str">
        <f>IFERROR(INDEX(Branch_Master!$B$2:$B$9,MATCH($B802,Branch_Master!$A$2:$A$9,0)),"Not Found")</f>
        <v>Chennai</v>
      </c>
      <c r="O802" s="5" t="str">
        <f>IFERROR(INDEX(Branch_Master!$C$2:$C$9,MATCH($B802,Branch_Master!$A$2:$A$9,0)),"Not Found")</f>
        <v>Tamil Nadu</v>
      </c>
      <c r="P802" s="5">
        <f>IFERROR(INDEX(Targets!$B$2:$B$9,MATCH($B802,Targets!$A$2:$A$9,0)),0)</f>
        <v>1910000</v>
      </c>
      <c r="Q802" s="5" t="str">
        <f t="shared" si="24"/>
        <v>Yes</v>
      </c>
      <c r="R802" s="5" t="str">
        <f t="shared" si="25"/>
        <v>Oct</v>
      </c>
    </row>
    <row r="803" spans="1:18" ht="15" customHeight="1" x14ac:dyDescent="0.3">
      <c r="A803" s="5" t="str">
        <f>Sales_Data!A800</f>
        <v>2025-10-19</v>
      </c>
      <c r="B803" s="5" t="str">
        <f>Sales_Data!B800</f>
        <v>Hyderabad Hitech</v>
      </c>
      <c r="C803" s="5" t="str">
        <f>Sales_Data!C800</f>
        <v>E030</v>
      </c>
      <c r="D803" s="5" t="str">
        <f>IFERROR(INDEX(Employee_Master!$B$2:$B$44,MATCH($C803,Employee_Master!$A$2:$A$44,0)),"Not Found")</f>
        <v>Travis Khan</v>
      </c>
      <c r="E803" s="5" t="str">
        <f>IFERROR(INDEX(Employee_Master!$C$2:$C$44,MATCH($C803,Employee_Master!$A$2:$A$44,0)),"Not Found")</f>
        <v>Operations</v>
      </c>
      <c r="F803" s="5" t="str">
        <f>IFERROR(INDEX(Employee_Master!$D$2:$D$44,MATCH($C803,Employee_Master!$A$2:$A$44,0)),"Not Found")</f>
        <v>Anna Turner</v>
      </c>
      <c r="G803" s="5" t="str">
        <f>IFERROR(INDEX(Employee_Master!$E$2:$E$44,MATCH($C803,Employee_Master!$A$2:$A$44,0)),"Not Found")</f>
        <v>South</v>
      </c>
      <c r="H803" s="5" t="str">
        <f>Sales_Data!D800</f>
        <v>P005 - LED Monitor</v>
      </c>
      <c r="I803" s="5" t="str">
        <f>IFERROR(INDEX(Product_Master!$B$2:$B$30,MATCH($H803,Product_Master!$A$2:$A$30,0)),"Invalid Product Code")</f>
        <v>Electronics</v>
      </c>
      <c r="J803" s="5">
        <f>IFERROR(INDEX(Product_Master!$C$2:$C$30,MATCH($H803,Product_Master!$A$2:$A$30,0)),0)</f>
        <v>489.9</v>
      </c>
      <c r="K803" s="5">
        <f>Sales_Data!E800</f>
        <v>1</v>
      </c>
      <c r="L803" s="5">
        <f>Sales_Data!F800</f>
        <v>612.79999999999995</v>
      </c>
      <c r="M803" s="5">
        <f>Sales_Data!G800</f>
        <v>422.63</v>
      </c>
      <c r="N803" s="5" t="str">
        <f>IFERROR(INDEX(Branch_Master!$B$2:$B$9,MATCH($B803,Branch_Master!$A$2:$A$9,0)),"Not Found")</f>
        <v>Hyderabad</v>
      </c>
      <c r="O803" s="5" t="str">
        <f>IFERROR(INDEX(Branch_Master!$C$2:$C$9,MATCH($B803,Branch_Master!$A$2:$A$9,0)),"Not Found")</f>
        <v>Telangana</v>
      </c>
      <c r="P803" s="5">
        <f>IFERROR(INDEX(Targets!$B$2:$B$9,MATCH($B803,Targets!$A$2:$A$9,0)),0)</f>
        <v>1210000</v>
      </c>
      <c r="Q803" s="5" t="str">
        <f t="shared" si="24"/>
        <v>Yes</v>
      </c>
      <c r="R803" s="5" t="str">
        <f t="shared" si="25"/>
        <v>Oct</v>
      </c>
    </row>
    <row r="804" spans="1:18" ht="15" customHeight="1" x14ac:dyDescent="0.3">
      <c r="A804" s="5" t="str">
        <f>Sales_Data!A801</f>
        <v>2025-10-19</v>
      </c>
      <c r="B804" s="5" t="str">
        <f>Sales_Data!B801</f>
        <v>Bangalore North</v>
      </c>
      <c r="C804" s="5" t="str">
        <f>Sales_Data!C801</f>
        <v>E040</v>
      </c>
      <c r="D804" s="5" t="str">
        <f>IFERROR(INDEX(Employee_Master!$B$2:$B$44,MATCH($C804,Employee_Master!$A$2:$A$44,0)),"Not Found")</f>
        <v>Bonnie Cox</v>
      </c>
      <c r="E804" s="5" t="str">
        <f>IFERROR(INDEX(Employee_Master!$C$2:$C$44,MATCH($C804,Employee_Master!$A$2:$A$44,0)),"Not Found")</f>
        <v>Customer Support</v>
      </c>
      <c r="F804" s="5" t="str">
        <f>IFERROR(INDEX(Employee_Master!$D$2:$D$44,MATCH($C804,Employee_Master!$A$2:$A$44,0)),"Not Found")</f>
        <v>Jose Soto</v>
      </c>
      <c r="G804" s="5" t="str">
        <f>IFERROR(INDEX(Employee_Master!$E$2:$E$44,MATCH($C804,Employee_Master!$A$2:$A$44,0)),"Not Found")</f>
        <v>South</v>
      </c>
      <c r="H804" s="5" t="str">
        <f>Sales_Data!D801</f>
        <v>P003 - Bluetooth Speaker</v>
      </c>
      <c r="I804" s="5" t="str">
        <f>IFERROR(INDEX(Product_Master!$B$2:$B$30,MATCH($H804,Product_Master!$A$2:$A$30,0)),"Invalid Product Code")</f>
        <v>Electronics</v>
      </c>
      <c r="J804" s="5">
        <f>IFERROR(INDEX(Product_Master!$C$2:$C$30,MATCH($H804,Product_Master!$A$2:$A$30,0)),0)</f>
        <v>351.01</v>
      </c>
      <c r="K804" s="5">
        <f>Sales_Data!E801</f>
        <v>7</v>
      </c>
      <c r="L804" s="5">
        <f>Sales_Data!F801</f>
        <v>3203.58</v>
      </c>
      <c r="M804" s="5">
        <f>Sales_Data!G801</f>
        <v>2455.3000000000002</v>
      </c>
      <c r="N804" s="5" t="str">
        <f>IFERROR(INDEX(Branch_Master!$B$2:$B$9,MATCH($B804,Branch_Master!$A$2:$A$9,0)),"Not Found")</f>
        <v>Bangalore</v>
      </c>
      <c r="O804" s="5" t="str">
        <f>IFERROR(INDEX(Branch_Master!$C$2:$C$9,MATCH($B804,Branch_Master!$A$2:$A$9,0)),"Not Found")</f>
        <v>Karnataka</v>
      </c>
      <c r="P804" s="5">
        <f>IFERROR(INDEX(Targets!$B$2:$B$9,MATCH($B804,Targets!$A$2:$A$9,0)),0)</f>
        <v>900000</v>
      </c>
      <c r="Q804" s="5" t="str">
        <f t="shared" si="24"/>
        <v>Yes</v>
      </c>
      <c r="R804" s="5" t="str">
        <f t="shared" si="25"/>
        <v>Oct</v>
      </c>
    </row>
    <row r="805" spans="1:18" ht="15" customHeight="1" x14ac:dyDescent="0.3">
      <c r="A805" s="5" t="str">
        <f>Sales_Data!A802</f>
        <v>2025-10-19</v>
      </c>
      <c r="B805" s="5" t="str">
        <f>Sales_Data!B802</f>
        <v>Bangalore North</v>
      </c>
      <c r="C805" s="5" t="str">
        <f>Sales_Data!C802</f>
        <v>E040</v>
      </c>
      <c r="D805" s="5" t="str">
        <f>IFERROR(INDEX(Employee_Master!$B$2:$B$44,MATCH($C805,Employee_Master!$A$2:$A$44,0)),"Not Found")</f>
        <v>Bonnie Cox</v>
      </c>
      <c r="E805" s="5" t="str">
        <f>IFERROR(INDEX(Employee_Master!$C$2:$C$44,MATCH($C805,Employee_Master!$A$2:$A$44,0)),"Not Found")</f>
        <v>Customer Support</v>
      </c>
      <c r="F805" s="5" t="str">
        <f>IFERROR(INDEX(Employee_Master!$D$2:$D$44,MATCH($C805,Employee_Master!$A$2:$A$44,0)),"Not Found")</f>
        <v>Jose Soto</v>
      </c>
      <c r="G805" s="5" t="str">
        <f>IFERROR(INDEX(Employee_Master!$E$2:$E$44,MATCH($C805,Employee_Master!$A$2:$A$44,0)),"Not Found")</f>
        <v>South</v>
      </c>
      <c r="H805" s="5" t="str">
        <f>Sales_Data!D802</f>
        <v>P019 - Organic Honey</v>
      </c>
      <c r="I805" s="5" t="str">
        <f>IFERROR(INDEX(Product_Master!$B$2:$B$30,MATCH($H805,Product_Master!$A$2:$A$30,0)),"Invalid Product Code")</f>
        <v>Grocery</v>
      </c>
      <c r="J805" s="5">
        <f>IFERROR(INDEX(Product_Master!$C$2:$C$30,MATCH($H805,Product_Master!$A$2:$A$30,0)),0)</f>
        <v>482.15</v>
      </c>
      <c r="K805" s="5">
        <f>Sales_Data!E802</f>
        <v>9</v>
      </c>
      <c r="L805" s="5">
        <f>Sales_Data!F802</f>
        <v>5150.8900000000003</v>
      </c>
      <c r="M805" s="5">
        <f>Sales_Data!G802</f>
        <v>4289.3</v>
      </c>
      <c r="N805" s="5" t="str">
        <f>IFERROR(INDEX(Branch_Master!$B$2:$B$9,MATCH($B805,Branch_Master!$A$2:$A$9,0)),"Not Found")</f>
        <v>Bangalore</v>
      </c>
      <c r="O805" s="5" t="str">
        <f>IFERROR(INDEX(Branch_Master!$C$2:$C$9,MATCH($B805,Branch_Master!$A$2:$A$9,0)),"Not Found")</f>
        <v>Karnataka</v>
      </c>
      <c r="P805" s="5">
        <f>IFERROR(INDEX(Targets!$B$2:$B$9,MATCH($B805,Targets!$A$2:$A$9,0)),0)</f>
        <v>900000</v>
      </c>
      <c r="Q805" s="5" t="str">
        <f t="shared" si="24"/>
        <v>Yes</v>
      </c>
      <c r="R805" s="5" t="str">
        <f t="shared" si="25"/>
        <v>Oct</v>
      </c>
    </row>
    <row r="806" spans="1:18" ht="15" customHeight="1" x14ac:dyDescent="0.3">
      <c r="A806" s="5" t="str">
        <f>Sales_Data!A803</f>
        <v>2025-10-19</v>
      </c>
      <c r="B806" s="5" t="str">
        <f>Sales_Data!B803</f>
        <v>Kolkata Central</v>
      </c>
      <c r="C806" s="5" t="str">
        <f>Sales_Data!C803</f>
        <v>E028</v>
      </c>
      <c r="D806" s="5" t="str">
        <f>IFERROR(INDEX(Employee_Master!$B$2:$B$44,MATCH($C806,Employee_Master!$A$2:$A$44,0)),"Not Found")</f>
        <v>Sabrina Wright</v>
      </c>
      <c r="E806" s="5" t="str">
        <f>IFERROR(INDEX(Employee_Master!$C$2:$C$44,MATCH($C806,Employee_Master!$A$2:$A$44,0)),"Not Found")</f>
        <v>Customer Support</v>
      </c>
      <c r="F806" s="5" t="str">
        <f>IFERROR(INDEX(Employee_Master!$D$2:$D$44,MATCH($C806,Employee_Master!$A$2:$A$44,0)),"Not Found")</f>
        <v>Lisa Moore</v>
      </c>
      <c r="G806" s="5" t="str">
        <f>IFERROR(INDEX(Employee_Master!$E$2:$E$44,MATCH($C806,Employee_Master!$A$2:$A$44,0)),"Not Found")</f>
        <v>East</v>
      </c>
      <c r="H806" s="5" t="str">
        <f>Sales_Data!D803</f>
        <v>P009 - Formal Shirt</v>
      </c>
      <c r="I806" s="5" t="str">
        <f>IFERROR(INDEX(Product_Master!$B$2:$B$30,MATCH($H806,Product_Master!$A$2:$A$30,0)),"Invalid Product Code")</f>
        <v>Apparel</v>
      </c>
      <c r="J806" s="5">
        <f>IFERROR(INDEX(Product_Master!$C$2:$C$30,MATCH($H806,Product_Master!$A$2:$A$30,0)),0)</f>
        <v>661.65</v>
      </c>
      <c r="K806" s="5">
        <f>Sales_Data!E803</f>
        <v>2</v>
      </c>
      <c r="L806" s="5">
        <f>Sales_Data!F803</f>
        <v>1785.91</v>
      </c>
      <c r="M806" s="5">
        <f>Sales_Data!G803</f>
        <v>1163.42</v>
      </c>
      <c r="N806" s="5" t="str">
        <f>IFERROR(INDEX(Branch_Master!$B$2:$B$9,MATCH($B806,Branch_Master!$A$2:$A$9,0)),"Not Found")</f>
        <v>Kolkata</v>
      </c>
      <c r="O806" s="5" t="str">
        <f>IFERROR(INDEX(Branch_Master!$C$2:$C$9,MATCH($B806,Branch_Master!$A$2:$A$9,0)),"Not Found")</f>
        <v>West Bengal</v>
      </c>
      <c r="P806" s="5">
        <f>IFERROR(INDEX(Targets!$B$2:$B$9,MATCH($B806,Targets!$A$2:$A$9,0)),0)</f>
        <v>1910000</v>
      </c>
      <c r="Q806" s="5" t="str">
        <f t="shared" si="24"/>
        <v>Yes</v>
      </c>
      <c r="R806" s="5" t="str">
        <f t="shared" si="25"/>
        <v>Oct</v>
      </c>
    </row>
    <row r="807" spans="1:18" ht="15" customHeight="1" x14ac:dyDescent="0.3">
      <c r="A807" s="5" t="str">
        <f>Sales_Data!A804</f>
        <v>2025-10-20</v>
      </c>
      <c r="B807" s="5" t="str">
        <f>Sales_Data!B804</f>
        <v>Ahmedabad West</v>
      </c>
      <c r="C807" s="5" t="str">
        <f>Sales_Data!C804</f>
        <v>E008</v>
      </c>
      <c r="D807" s="5" t="str">
        <f>IFERROR(INDEX(Employee_Master!$B$2:$B$44,MATCH($C807,Employee_Master!$A$2:$A$44,0)),"Not Found")</f>
        <v>Tyler Boone</v>
      </c>
      <c r="E807" s="5" t="str">
        <f>IFERROR(INDEX(Employee_Master!$C$2:$C$44,MATCH($C807,Employee_Master!$A$2:$A$44,0)),"Not Found")</f>
        <v>Marketing</v>
      </c>
      <c r="F807" s="5" t="str">
        <f>IFERROR(INDEX(Employee_Master!$D$2:$D$44,MATCH($C807,Employee_Master!$A$2:$A$44,0)),"Not Found")</f>
        <v>Joseph Brown</v>
      </c>
      <c r="G807" s="5" t="str">
        <f>IFERROR(INDEX(Employee_Master!$E$2:$E$44,MATCH($C807,Employee_Master!$A$2:$A$44,0)),"Not Found")</f>
        <v>West</v>
      </c>
      <c r="H807" s="5" t="str">
        <f>Sales_Data!D804</f>
        <v>P001 - Wireless Earbuds</v>
      </c>
      <c r="I807" s="5" t="str">
        <f>IFERROR(INDEX(Product_Master!$B$2:$B$30,MATCH($H807,Product_Master!$A$2:$A$30,0)),"Invalid Product Code")</f>
        <v>Electronics</v>
      </c>
      <c r="J807" s="5">
        <f>IFERROR(INDEX(Product_Master!$C$2:$C$30,MATCH($H807,Product_Master!$A$2:$A$30,0)),0)</f>
        <v>1676.76</v>
      </c>
      <c r="K807" s="5">
        <f>Sales_Data!E804</f>
        <v>7</v>
      </c>
      <c r="L807" s="5">
        <f>Sales_Data!F804</f>
        <v>13955.04</v>
      </c>
      <c r="M807" s="5">
        <f>Sales_Data!G804</f>
        <v>11353.48</v>
      </c>
      <c r="N807" s="5" t="str">
        <f>IFERROR(INDEX(Branch_Master!$B$2:$B$9,MATCH($B807,Branch_Master!$A$2:$A$9,0)),"Not Found")</f>
        <v>Ahmedabad</v>
      </c>
      <c r="O807" s="5" t="str">
        <f>IFERROR(INDEX(Branch_Master!$C$2:$C$9,MATCH($B807,Branch_Master!$A$2:$A$9,0)),"Not Found")</f>
        <v>Gujarat</v>
      </c>
      <c r="P807" s="5">
        <f>IFERROR(INDEX(Targets!$B$2:$B$9,MATCH($B807,Targets!$A$2:$A$9,0)),0)</f>
        <v>1590000</v>
      </c>
      <c r="Q807" s="5" t="str">
        <f t="shared" si="24"/>
        <v>Yes</v>
      </c>
      <c r="R807" s="5" t="str">
        <f t="shared" si="25"/>
        <v>Oct</v>
      </c>
    </row>
    <row r="808" spans="1:18" ht="15" customHeight="1" x14ac:dyDescent="0.3">
      <c r="A808" s="5" t="str">
        <f>Sales_Data!A805</f>
        <v>2025-10-21</v>
      </c>
      <c r="B808" s="5" t="str">
        <f>Sales_Data!B805</f>
        <v>Hyderabad Hitech</v>
      </c>
      <c r="C808" s="5" t="str">
        <f>Sales_Data!C805</f>
        <v>E011</v>
      </c>
      <c r="D808" s="5" t="str">
        <f>IFERROR(INDEX(Employee_Master!$B$2:$B$44,MATCH($C808,Employee_Master!$A$2:$A$44,0)),"Not Found")</f>
        <v>Mark Osborne</v>
      </c>
      <c r="E808" s="5" t="str">
        <f>IFERROR(INDEX(Employee_Master!$C$2:$C$44,MATCH($C808,Employee_Master!$A$2:$A$44,0)),"Not Found")</f>
        <v>Marketing</v>
      </c>
      <c r="F808" s="5" t="str">
        <f>IFERROR(INDEX(Employee_Master!$D$2:$D$44,MATCH($C808,Employee_Master!$A$2:$A$44,0)),"Not Found")</f>
        <v>Anna Turner</v>
      </c>
      <c r="G808" s="5" t="str">
        <f>IFERROR(INDEX(Employee_Master!$E$2:$E$44,MATCH($C808,Employee_Master!$A$2:$A$44,0)),"Not Found")</f>
        <v>South</v>
      </c>
      <c r="H808" s="5" t="str">
        <f>Sales_Data!D805</f>
        <v>P020 - Green Tea Pack</v>
      </c>
      <c r="I808" s="5" t="str">
        <f>IFERROR(INDEX(Product_Master!$B$2:$B$30,MATCH($H808,Product_Master!$A$2:$A$30,0)),"Invalid Product Code")</f>
        <v>Grocery</v>
      </c>
      <c r="J808" s="5">
        <f>IFERROR(INDEX(Product_Master!$C$2:$C$30,MATCH($H808,Product_Master!$A$2:$A$30,0)),0)</f>
        <v>305.39</v>
      </c>
      <c r="K808" s="5">
        <f>Sales_Data!E805</f>
        <v>4</v>
      </c>
      <c r="L808" s="5">
        <f>Sales_Data!F805</f>
        <v>1505.26</v>
      </c>
      <c r="M808" s="5">
        <f>Sales_Data!G805</f>
        <v>1048.47</v>
      </c>
      <c r="N808" s="5" t="str">
        <f>IFERROR(INDEX(Branch_Master!$B$2:$B$9,MATCH($B808,Branch_Master!$A$2:$A$9,0)),"Not Found")</f>
        <v>Hyderabad</v>
      </c>
      <c r="O808" s="5" t="str">
        <f>IFERROR(INDEX(Branch_Master!$C$2:$C$9,MATCH($B808,Branch_Master!$A$2:$A$9,0)),"Not Found")</f>
        <v>Telangana</v>
      </c>
      <c r="P808" s="5">
        <f>IFERROR(INDEX(Targets!$B$2:$B$9,MATCH($B808,Targets!$A$2:$A$9,0)),0)</f>
        <v>1210000</v>
      </c>
      <c r="Q808" s="5" t="str">
        <f t="shared" si="24"/>
        <v>Yes</v>
      </c>
      <c r="R808" s="5" t="str">
        <f t="shared" si="25"/>
        <v>Oct</v>
      </c>
    </row>
    <row r="809" spans="1:18" ht="15" customHeight="1" x14ac:dyDescent="0.3">
      <c r="A809" s="5" t="str">
        <f>Sales_Data!A806</f>
        <v>2025-10-21</v>
      </c>
      <c r="B809" s="5" t="str">
        <f>Sales_Data!B806</f>
        <v>Hyderabad Hitech</v>
      </c>
      <c r="C809" s="5" t="str">
        <f>Sales_Data!C806</f>
        <v>E020</v>
      </c>
      <c r="D809" s="5" t="str">
        <f>IFERROR(INDEX(Employee_Master!$B$2:$B$44,MATCH($C809,Employee_Master!$A$2:$A$44,0)),"Not Found")</f>
        <v>Christine Long</v>
      </c>
      <c r="E809" s="5" t="str">
        <f>IFERROR(INDEX(Employee_Master!$C$2:$C$44,MATCH($C809,Employee_Master!$A$2:$A$44,0)),"Not Found")</f>
        <v>Operations</v>
      </c>
      <c r="F809" s="5" t="str">
        <f>IFERROR(INDEX(Employee_Master!$D$2:$D$44,MATCH($C809,Employee_Master!$A$2:$A$44,0)),"Not Found")</f>
        <v>Anna Turner</v>
      </c>
      <c r="G809" s="5" t="str">
        <f>IFERROR(INDEX(Employee_Master!$E$2:$E$44,MATCH($C809,Employee_Master!$A$2:$A$44,0)),"Not Found")</f>
        <v>South</v>
      </c>
      <c r="H809" s="5" t="str">
        <f>Sales_Data!D806</f>
        <v>P024 - Hair Serum</v>
      </c>
      <c r="I809" s="5" t="str">
        <f>IFERROR(INDEX(Product_Master!$B$2:$B$30,MATCH($H809,Product_Master!$A$2:$A$30,0)),"Invalid Product Code")</f>
        <v>Beauty</v>
      </c>
      <c r="J809" s="5">
        <f>IFERROR(INDEX(Product_Master!$C$2:$C$30,MATCH($H809,Product_Master!$A$2:$A$30,0)),0)</f>
        <v>1457.31</v>
      </c>
      <c r="K809" s="5">
        <f>Sales_Data!E806</f>
        <v>7</v>
      </c>
      <c r="L809" s="5">
        <f>Sales_Data!F806</f>
        <v>13890.53</v>
      </c>
      <c r="M809" s="5">
        <f>Sales_Data!G806</f>
        <v>8949.1299999999992</v>
      </c>
      <c r="N809" s="5" t="str">
        <f>IFERROR(INDEX(Branch_Master!$B$2:$B$9,MATCH($B809,Branch_Master!$A$2:$A$9,0)),"Not Found")</f>
        <v>Hyderabad</v>
      </c>
      <c r="O809" s="5" t="str">
        <f>IFERROR(INDEX(Branch_Master!$C$2:$C$9,MATCH($B809,Branch_Master!$A$2:$A$9,0)),"Not Found")</f>
        <v>Telangana</v>
      </c>
      <c r="P809" s="5">
        <f>IFERROR(INDEX(Targets!$B$2:$B$9,MATCH($B809,Targets!$A$2:$A$9,0)),0)</f>
        <v>1210000</v>
      </c>
      <c r="Q809" s="5" t="str">
        <f t="shared" si="24"/>
        <v>Yes</v>
      </c>
      <c r="R809" s="5" t="str">
        <f t="shared" si="25"/>
        <v>Oct</v>
      </c>
    </row>
    <row r="810" spans="1:18" ht="15" customHeight="1" x14ac:dyDescent="0.3">
      <c r="A810" s="5" t="str">
        <f>Sales_Data!A807</f>
        <v>2025-10-21</v>
      </c>
      <c r="B810" s="5" t="str">
        <f>Sales_Data!B807</f>
        <v>Ahmedabad West</v>
      </c>
      <c r="C810" s="5" t="str">
        <f>Sales_Data!C807</f>
        <v>E002</v>
      </c>
      <c r="D810" s="5" t="str">
        <f>IFERROR(INDEX(Employee_Master!$B$2:$B$44,MATCH($C810,Employee_Master!$A$2:$A$44,0)),"Not Found")</f>
        <v>Jeremiah Kirby</v>
      </c>
      <c r="E810" s="5" t="str">
        <f>IFERROR(INDEX(Employee_Master!$C$2:$C$44,MATCH($C810,Employee_Master!$A$2:$A$44,0)),"Not Found")</f>
        <v>Marketing</v>
      </c>
      <c r="F810" s="5" t="str">
        <f>IFERROR(INDEX(Employee_Master!$D$2:$D$44,MATCH($C810,Employee_Master!$A$2:$A$44,0)),"Not Found")</f>
        <v>Joseph Brown</v>
      </c>
      <c r="G810" s="5" t="str">
        <f>IFERROR(INDEX(Employee_Master!$E$2:$E$44,MATCH($C810,Employee_Master!$A$2:$A$44,0)),"Not Found")</f>
        <v>West</v>
      </c>
      <c r="H810" s="5" t="str">
        <f>Sales_Data!D807</f>
        <v>P014 - Air Fryer</v>
      </c>
      <c r="I810" s="5" t="str">
        <f>IFERROR(INDEX(Product_Master!$B$2:$B$30,MATCH($H810,Product_Master!$A$2:$A$30,0)),"Invalid Product Code")</f>
        <v>Home &amp; Kitchen</v>
      </c>
      <c r="J810" s="5">
        <f>IFERROR(INDEX(Product_Master!$C$2:$C$30,MATCH($H810,Product_Master!$A$2:$A$30,0)),0)</f>
        <v>729.85</v>
      </c>
      <c r="K810" s="5">
        <f>Sales_Data!E807</f>
        <v>9</v>
      </c>
      <c r="L810" s="5">
        <f>Sales_Data!F807</f>
        <v>7880.49</v>
      </c>
      <c r="M810" s="5">
        <f>Sales_Data!G807</f>
        <v>5593.08</v>
      </c>
      <c r="N810" s="5" t="str">
        <f>IFERROR(INDEX(Branch_Master!$B$2:$B$9,MATCH($B810,Branch_Master!$A$2:$A$9,0)),"Not Found")</f>
        <v>Ahmedabad</v>
      </c>
      <c r="O810" s="5" t="str">
        <f>IFERROR(INDEX(Branch_Master!$C$2:$C$9,MATCH($B810,Branch_Master!$A$2:$A$9,0)),"Not Found")</f>
        <v>Gujarat</v>
      </c>
      <c r="P810" s="5">
        <f>IFERROR(INDEX(Targets!$B$2:$B$9,MATCH($B810,Targets!$A$2:$A$9,0)),0)</f>
        <v>1590000</v>
      </c>
      <c r="Q810" s="5" t="str">
        <f t="shared" si="24"/>
        <v>Yes</v>
      </c>
      <c r="R810" s="5" t="str">
        <f t="shared" si="25"/>
        <v>Oct</v>
      </c>
    </row>
    <row r="811" spans="1:18" ht="15" customHeight="1" x14ac:dyDescent="0.3">
      <c r="A811" s="5" t="str">
        <f>Sales_Data!A808</f>
        <v>2025-10-21</v>
      </c>
      <c r="B811" s="5" t="str">
        <f>Sales_Data!B808</f>
        <v>Hyderabad Hitech</v>
      </c>
      <c r="C811" s="5" t="str">
        <f>Sales_Data!C808</f>
        <v>E030</v>
      </c>
      <c r="D811" s="5" t="str">
        <f>IFERROR(INDEX(Employee_Master!$B$2:$B$44,MATCH($C811,Employee_Master!$A$2:$A$44,0)),"Not Found")</f>
        <v>Travis Khan</v>
      </c>
      <c r="E811" s="5" t="str">
        <f>IFERROR(INDEX(Employee_Master!$C$2:$C$44,MATCH($C811,Employee_Master!$A$2:$A$44,0)),"Not Found")</f>
        <v>Operations</v>
      </c>
      <c r="F811" s="5" t="str">
        <f>IFERROR(INDEX(Employee_Master!$D$2:$D$44,MATCH($C811,Employee_Master!$A$2:$A$44,0)),"Not Found")</f>
        <v>Anna Turner</v>
      </c>
      <c r="G811" s="5" t="str">
        <f>IFERROR(INDEX(Employee_Master!$E$2:$E$44,MATCH($C811,Employee_Master!$A$2:$A$44,0)),"Not Found")</f>
        <v>South</v>
      </c>
      <c r="H811" s="5" t="str">
        <f>Sales_Data!D808</f>
        <v>P023 - Sunscreen SPF50</v>
      </c>
      <c r="I811" s="5" t="str">
        <f>IFERROR(INDEX(Product_Master!$B$2:$B$30,MATCH($H811,Product_Master!$A$2:$A$30,0)),"Invalid Product Code")</f>
        <v>Beauty</v>
      </c>
      <c r="J811" s="5">
        <f>IFERROR(INDEX(Product_Master!$C$2:$C$30,MATCH($H811,Product_Master!$A$2:$A$30,0)),0)</f>
        <v>818.95</v>
      </c>
      <c r="K811" s="5">
        <f>Sales_Data!E808</f>
        <v>12</v>
      </c>
      <c r="L811" s="5">
        <f>Sales_Data!F808</f>
        <v>13632.92</v>
      </c>
      <c r="M811" s="5">
        <f>Sales_Data!G808</f>
        <v>8934.69</v>
      </c>
      <c r="N811" s="5" t="str">
        <f>IFERROR(INDEX(Branch_Master!$B$2:$B$9,MATCH($B811,Branch_Master!$A$2:$A$9,0)),"Not Found")</f>
        <v>Hyderabad</v>
      </c>
      <c r="O811" s="5" t="str">
        <f>IFERROR(INDEX(Branch_Master!$C$2:$C$9,MATCH($B811,Branch_Master!$A$2:$A$9,0)),"Not Found")</f>
        <v>Telangana</v>
      </c>
      <c r="P811" s="5">
        <f>IFERROR(INDEX(Targets!$B$2:$B$9,MATCH($B811,Targets!$A$2:$A$9,0)),0)</f>
        <v>1210000</v>
      </c>
      <c r="Q811" s="5" t="str">
        <f t="shared" si="24"/>
        <v>Yes</v>
      </c>
      <c r="R811" s="5" t="str">
        <f t="shared" si="25"/>
        <v>Oct</v>
      </c>
    </row>
    <row r="812" spans="1:18" ht="15" customHeight="1" x14ac:dyDescent="0.3">
      <c r="A812" s="5" t="str">
        <f>Sales_Data!A809</f>
        <v>2025-10-22</v>
      </c>
      <c r="B812" s="5" t="str">
        <f>Sales_Data!B809</f>
        <v>Mumbai Central</v>
      </c>
      <c r="C812" s="5" t="str">
        <f>Sales_Data!C809</f>
        <v>E016</v>
      </c>
      <c r="D812" s="5" t="str">
        <f>IFERROR(INDEX(Employee_Master!$B$2:$B$44,MATCH($C812,Employee_Master!$A$2:$A$44,0)),"Not Found")</f>
        <v>Connor Dennis</v>
      </c>
      <c r="E812" s="5" t="str">
        <f>IFERROR(INDEX(Employee_Master!$C$2:$C$44,MATCH($C812,Employee_Master!$A$2:$A$44,0)),"Not Found")</f>
        <v>Sales</v>
      </c>
      <c r="F812" s="5" t="str">
        <f>IFERROR(INDEX(Employee_Master!$D$2:$D$44,MATCH($C812,Employee_Master!$A$2:$A$44,0)),"Not Found")</f>
        <v>Justin Glass</v>
      </c>
      <c r="G812" s="5" t="str">
        <f>IFERROR(INDEX(Employee_Master!$E$2:$E$44,MATCH($C812,Employee_Master!$A$2:$A$44,0)),"Not Found")</f>
        <v>West</v>
      </c>
      <c r="H812" s="5" t="str">
        <f>Sales_Data!D809</f>
        <v>P015 - Water Bottle</v>
      </c>
      <c r="I812" s="5" t="str">
        <f>IFERROR(INDEX(Product_Master!$B$2:$B$30,MATCH($H812,Product_Master!$A$2:$A$30,0)),"Invalid Product Code")</f>
        <v>Home &amp; Kitchen</v>
      </c>
      <c r="J812" s="5">
        <f>IFERROR(INDEX(Product_Master!$C$2:$C$30,MATCH($H812,Product_Master!$A$2:$A$30,0)),0)</f>
        <v>197.57</v>
      </c>
      <c r="K812" s="5">
        <f>Sales_Data!E809</f>
        <v>8</v>
      </c>
      <c r="L812" s="5">
        <f>Sales_Data!F809</f>
        <v>1981.9</v>
      </c>
      <c r="M812" s="5">
        <f>Sales_Data!G809</f>
        <v>1616.09</v>
      </c>
      <c r="N812" s="5" t="str">
        <f>IFERROR(INDEX(Branch_Master!$B$2:$B$9,MATCH($B812,Branch_Master!$A$2:$A$9,0)),"Not Found")</f>
        <v>Mumbai</v>
      </c>
      <c r="O812" s="5" t="str">
        <f>IFERROR(INDEX(Branch_Master!$C$2:$C$9,MATCH($B812,Branch_Master!$A$2:$A$9,0)),"Not Found")</f>
        <v>Maharashtra</v>
      </c>
      <c r="P812" s="5">
        <f>IFERROR(INDEX(Targets!$B$2:$B$9,MATCH($B812,Targets!$A$2:$A$9,0)),0)</f>
        <v>900000</v>
      </c>
      <c r="Q812" s="5" t="str">
        <f t="shared" si="24"/>
        <v>Yes</v>
      </c>
      <c r="R812" s="5" t="str">
        <f t="shared" si="25"/>
        <v>Oct</v>
      </c>
    </row>
    <row r="813" spans="1:18" ht="15" customHeight="1" x14ac:dyDescent="0.3">
      <c r="A813" s="5" t="str">
        <f>Sales_Data!A810</f>
        <v>2025-10-22</v>
      </c>
      <c r="B813" s="5" t="str">
        <f>Sales_Data!B810</f>
        <v>Chennai South</v>
      </c>
      <c r="C813" s="5" t="str">
        <f>Sales_Data!C810</f>
        <v>E032</v>
      </c>
      <c r="D813" s="5" t="str">
        <f>IFERROR(INDEX(Employee_Master!$B$2:$B$44,MATCH($C813,Employee_Master!$A$2:$A$44,0)),"Not Found")</f>
        <v>Victor Allen</v>
      </c>
      <c r="E813" s="5" t="str">
        <f>IFERROR(INDEX(Employee_Master!$C$2:$C$44,MATCH($C813,Employee_Master!$A$2:$A$44,0)),"Not Found")</f>
        <v>Operations</v>
      </c>
      <c r="F813" s="5" t="str">
        <f>IFERROR(INDEX(Employee_Master!$D$2:$D$44,MATCH($C813,Employee_Master!$A$2:$A$44,0)),"Not Found")</f>
        <v>Robert Steele</v>
      </c>
      <c r="G813" s="5" t="str">
        <f>IFERROR(INDEX(Employee_Master!$E$2:$E$44,MATCH($C813,Employee_Master!$A$2:$A$44,0)),"Not Found")</f>
        <v>South</v>
      </c>
      <c r="H813" s="5" t="str">
        <f>Sales_Data!D810</f>
        <v>P029 - Dumbbell Set 10kg</v>
      </c>
      <c r="I813" s="5" t="str">
        <f>IFERROR(INDEX(Product_Master!$B$2:$B$30,MATCH($H813,Product_Master!$A$2:$A$30,0)),"Invalid Product Code")</f>
        <v>Sports</v>
      </c>
      <c r="J813" s="5">
        <f>IFERROR(INDEX(Product_Master!$C$2:$C$30,MATCH($H813,Product_Master!$A$2:$A$30,0)),0)</f>
        <v>435</v>
      </c>
      <c r="K813" s="5">
        <f>Sales_Data!E810</f>
        <v>1</v>
      </c>
      <c r="L813" s="5">
        <f>Sales_Data!F810</f>
        <v>0</v>
      </c>
      <c r="M813" s="5">
        <f>Sales_Data!G810</f>
        <v>400.05</v>
      </c>
      <c r="N813" s="5" t="str">
        <f>IFERROR(INDEX(Branch_Master!$B$2:$B$9,MATCH($B813,Branch_Master!$A$2:$A$9,0)),"Not Found")</f>
        <v>Chennai</v>
      </c>
      <c r="O813" s="5" t="str">
        <f>IFERROR(INDEX(Branch_Master!$C$2:$C$9,MATCH($B813,Branch_Master!$A$2:$A$9,0)),"Not Found")</f>
        <v>Tamil Nadu</v>
      </c>
      <c r="P813" s="5">
        <f>IFERROR(INDEX(Targets!$B$2:$B$9,MATCH($B813,Targets!$A$2:$A$9,0)),0)</f>
        <v>1910000</v>
      </c>
      <c r="Q813" s="5" t="str">
        <f t="shared" si="24"/>
        <v>No</v>
      </c>
      <c r="R813" s="5" t="str">
        <f t="shared" si="25"/>
        <v>Oct</v>
      </c>
    </row>
    <row r="814" spans="1:18" ht="15" customHeight="1" x14ac:dyDescent="0.3">
      <c r="A814" s="5" t="str">
        <f>Sales_Data!A811</f>
        <v>2025-10-22</v>
      </c>
      <c r="B814" s="5" t="str">
        <f>Sales_Data!B811</f>
        <v>Hyderabad Hitech</v>
      </c>
      <c r="C814" s="5" t="str">
        <f>Sales_Data!C811</f>
        <v>E026</v>
      </c>
      <c r="D814" s="5" t="str">
        <f>IFERROR(INDEX(Employee_Master!$B$2:$B$44,MATCH($C814,Employee_Master!$A$2:$A$44,0)),"Not Found")</f>
        <v>Karen Andrews</v>
      </c>
      <c r="E814" s="5" t="str">
        <f>IFERROR(INDEX(Employee_Master!$C$2:$C$44,MATCH($C814,Employee_Master!$A$2:$A$44,0)),"Not Found")</f>
        <v>Marketing</v>
      </c>
      <c r="F814" s="5" t="str">
        <f>IFERROR(INDEX(Employee_Master!$D$2:$D$44,MATCH($C814,Employee_Master!$A$2:$A$44,0)),"Not Found")</f>
        <v>Anna Turner</v>
      </c>
      <c r="G814" s="5" t="str">
        <f>IFERROR(INDEX(Employee_Master!$E$2:$E$44,MATCH($C814,Employee_Master!$A$2:$A$44,0)),"Not Found")</f>
        <v>South</v>
      </c>
      <c r="H814" s="5" t="str">
        <f>Sales_Data!D811</f>
        <v>P019 - Organic Honey</v>
      </c>
      <c r="I814" s="5" t="str">
        <f>IFERROR(INDEX(Product_Master!$B$2:$B$30,MATCH($H814,Product_Master!$A$2:$A$30,0)),"Invalid Product Code")</f>
        <v>Grocery</v>
      </c>
      <c r="J814" s="5">
        <f>IFERROR(INDEX(Product_Master!$C$2:$C$30,MATCH($H814,Product_Master!$A$2:$A$30,0)),0)</f>
        <v>482.15</v>
      </c>
      <c r="K814" s="5">
        <f>Sales_Data!E811</f>
        <v>5</v>
      </c>
      <c r="L814" s="5">
        <f>Sales_Data!F811</f>
        <v>3411.6</v>
      </c>
      <c r="M814" s="5">
        <f>Sales_Data!G811</f>
        <v>2060</v>
      </c>
      <c r="N814" s="5" t="str">
        <f>IFERROR(INDEX(Branch_Master!$B$2:$B$9,MATCH($B814,Branch_Master!$A$2:$A$9,0)),"Not Found")</f>
        <v>Hyderabad</v>
      </c>
      <c r="O814" s="5" t="str">
        <f>IFERROR(INDEX(Branch_Master!$C$2:$C$9,MATCH($B814,Branch_Master!$A$2:$A$9,0)),"Not Found")</f>
        <v>Telangana</v>
      </c>
      <c r="P814" s="5">
        <f>IFERROR(INDEX(Targets!$B$2:$B$9,MATCH($B814,Targets!$A$2:$A$9,0)),0)</f>
        <v>1210000</v>
      </c>
      <c r="Q814" s="5" t="str">
        <f t="shared" si="24"/>
        <v>Yes</v>
      </c>
      <c r="R814" s="5" t="str">
        <f t="shared" si="25"/>
        <v>Oct</v>
      </c>
    </row>
    <row r="815" spans="1:18" ht="15" customHeight="1" x14ac:dyDescent="0.3">
      <c r="A815" s="5" t="str">
        <f>Sales_Data!A812</f>
        <v>2025-10-23</v>
      </c>
      <c r="B815" s="5" t="str">
        <f>Sales_Data!B812</f>
        <v>Kolkata Central</v>
      </c>
      <c r="C815" s="5" t="str">
        <f>Sales_Data!C812</f>
        <v>E024</v>
      </c>
      <c r="D815" s="5" t="str">
        <f>IFERROR(INDEX(Employee_Master!$B$2:$B$44,MATCH($C815,Employee_Master!$A$2:$A$44,0)),"Not Found")</f>
        <v>Kevin Sanchez</v>
      </c>
      <c r="E815" s="5" t="str">
        <f>IFERROR(INDEX(Employee_Master!$C$2:$C$44,MATCH($C815,Employee_Master!$A$2:$A$44,0)),"Not Found")</f>
        <v>Sales</v>
      </c>
      <c r="F815" s="5" t="str">
        <f>IFERROR(INDEX(Employee_Master!$D$2:$D$44,MATCH($C815,Employee_Master!$A$2:$A$44,0)),"Not Found")</f>
        <v>Lisa Moore</v>
      </c>
      <c r="G815" s="5" t="str">
        <f>IFERROR(INDEX(Employee_Master!$E$2:$E$44,MATCH($C815,Employee_Master!$A$2:$A$44,0)),"Not Found")</f>
        <v>East</v>
      </c>
      <c r="H815" s="5" t="str">
        <f>Sales_Data!D812</f>
        <v>P018 - Cooking Oil 1L</v>
      </c>
      <c r="I815" s="5" t="str">
        <f>IFERROR(INDEX(Product_Master!$B$2:$B$30,MATCH($H815,Product_Master!$A$2:$A$30,0)),"Invalid Product Code")</f>
        <v>Grocery</v>
      </c>
      <c r="J815" s="5">
        <f>IFERROR(INDEX(Product_Master!$C$2:$C$30,MATCH($H815,Product_Master!$A$2:$A$30,0)),0)</f>
        <v>1483.63</v>
      </c>
      <c r="K815" s="5">
        <f>Sales_Data!E812</f>
        <v>5</v>
      </c>
      <c r="L815" s="5">
        <f>Sales_Data!F812</f>
        <v>10222.530000000001</v>
      </c>
      <c r="M815" s="5">
        <f>Sales_Data!G812</f>
        <v>6632.33</v>
      </c>
      <c r="N815" s="5" t="str">
        <f>IFERROR(INDEX(Branch_Master!$B$2:$B$9,MATCH($B815,Branch_Master!$A$2:$A$9,0)),"Not Found")</f>
        <v>Kolkata</v>
      </c>
      <c r="O815" s="5" t="str">
        <f>IFERROR(INDEX(Branch_Master!$C$2:$C$9,MATCH($B815,Branch_Master!$A$2:$A$9,0)),"Not Found")</f>
        <v>West Bengal</v>
      </c>
      <c r="P815" s="5">
        <f>IFERROR(INDEX(Targets!$B$2:$B$9,MATCH($B815,Targets!$A$2:$A$9,0)),0)</f>
        <v>1910000</v>
      </c>
      <c r="Q815" s="5" t="str">
        <f t="shared" si="24"/>
        <v>Yes</v>
      </c>
      <c r="R815" s="5" t="str">
        <f t="shared" si="25"/>
        <v>Oct</v>
      </c>
    </row>
    <row r="816" spans="1:18" ht="15" customHeight="1" x14ac:dyDescent="0.3">
      <c r="A816" s="5" t="str">
        <f>Sales_Data!A813</f>
        <v>2025-10-23</v>
      </c>
      <c r="B816" s="5" t="str">
        <f>Sales_Data!B813</f>
        <v>Chennai South</v>
      </c>
      <c r="C816" s="5" t="str">
        <f>Sales_Data!C813</f>
        <v>E019</v>
      </c>
      <c r="D816" s="5" t="str">
        <f>IFERROR(INDEX(Employee_Master!$B$2:$B$44,MATCH($C816,Employee_Master!$A$2:$A$44,0)),"Not Found")</f>
        <v>Regina Torres</v>
      </c>
      <c r="E816" s="5" t="str">
        <f>IFERROR(INDEX(Employee_Master!$C$2:$C$44,MATCH($C816,Employee_Master!$A$2:$A$44,0)),"Not Found")</f>
        <v>Operations</v>
      </c>
      <c r="F816" s="5" t="str">
        <f>IFERROR(INDEX(Employee_Master!$D$2:$D$44,MATCH($C816,Employee_Master!$A$2:$A$44,0)),"Not Found")</f>
        <v>Robert Steele</v>
      </c>
      <c r="G816" s="5" t="str">
        <f>IFERROR(INDEX(Employee_Master!$E$2:$E$44,MATCH($C816,Employee_Master!$A$2:$A$44,0)),"Not Found")</f>
        <v>South</v>
      </c>
      <c r="H816" s="5" t="str">
        <f>Sales_Data!D813</f>
        <v>P003 - Bluetooth Speaker</v>
      </c>
      <c r="I816" s="5" t="str">
        <f>IFERROR(INDEX(Product_Master!$B$2:$B$30,MATCH($H816,Product_Master!$A$2:$A$30,0)),"Invalid Product Code")</f>
        <v>Electronics</v>
      </c>
      <c r="J816" s="5">
        <f>IFERROR(INDEX(Product_Master!$C$2:$C$30,MATCH($H816,Product_Master!$A$2:$A$30,0)),0)</f>
        <v>351.01</v>
      </c>
      <c r="K816" s="5">
        <f>Sales_Data!E813</f>
        <v>8</v>
      </c>
      <c r="L816" s="5">
        <f>Sales_Data!F813</f>
        <v>3756.92</v>
      </c>
      <c r="M816" s="5">
        <f>Sales_Data!G813</f>
        <v>2785.32</v>
      </c>
      <c r="N816" s="5" t="str">
        <f>IFERROR(INDEX(Branch_Master!$B$2:$B$9,MATCH($B816,Branch_Master!$A$2:$A$9,0)),"Not Found")</f>
        <v>Chennai</v>
      </c>
      <c r="O816" s="5" t="str">
        <f>IFERROR(INDEX(Branch_Master!$C$2:$C$9,MATCH($B816,Branch_Master!$A$2:$A$9,0)),"Not Found")</f>
        <v>Tamil Nadu</v>
      </c>
      <c r="P816" s="5">
        <f>IFERROR(INDEX(Targets!$B$2:$B$9,MATCH($B816,Targets!$A$2:$A$9,0)),0)</f>
        <v>1910000</v>
      </c>
      <c r="Q816" s="5" t="str">
        <f t="shared" si="24"/>
        <v>Yes</v>
      </c>
      <c r="R816" s="5" t="str">
        <f t="shared" si="25"/>
        <v>Oct</v>
      </c>
    </row>
    <row r="817" spans="1:18" ht="15" customHeight="1" x14ac:dyDescent="0.3">
      <c r="A817" s="5" t="str">
        <f>Sales_Data!A814</f>
        <v>2025-10-23</v>
      </c>
      <c r="B817" s="5" t="str">
        <f>Sales_Data!B814</f>
        <v>Kolkata Central</v>
      </c>
      <c r="C817" s="5" t="str">
        <f>Sales_Data!C814</f>
        <v>E029</v>
      </c>
      <c r="D817" s="5" t="str">
        <f>IFERROR(INDEX(Employee_Master!$B$2:$B$44,MATCH($C817,Employee_Master!$A$2:$A$44,0)),"Not Found")</f>
        <v>Patrick Shepard</v>
      </c>
      <c r="E817" s="5" t="str">
        <f>IFERROR(INDEX(Employee_Master!$C$2:$C$44,MATCH($C817,Employee_Master!$A$2:$A$44,0)),"Not Found")</f>
        <v>Sales</v>
      </c>
      <c r="F817" s="5" t="str">
        <f>IFERROR(INDEX(Employee_Master!$D$2:$D$44,MATCH($C817,Employee_Master!$A$2:$A$44,0)),"Not Found")</f>
        <v>Lisa Moore</v>
      </c>
      <c r="G817" s="5" t="str">
        <f>IFERROR(INDEX(Employee_Master!$E$2:$E$44,MATCH($C817,Employee_Master!$A$2:$A$44,0)),"Not Found")</f>
        <v>East</v>
      </c>
      <c r="H817" s="5" t="str">
        <f>Sales_Data!D814</f>
        <v>P004 - Power Bank</v>
      </c>
      <c r="I817" s="5" t="str">
        <f>IFERROR(INDEX(Product_Master!$B$2:$B$30,MATCH($H817,Product_Master!$A$2:$A$30,0)),"Invalid Product Code")</f>
        <v>Electronics</v>
      </c>
      <c r="J817" s="5">
        <f>IFERROR(INDEX(Product_Master!$C$2:$C$30,MATCH($H817,Product_Master!$A$2:$A$30,0)),0)</f>
        <v>76.91</v>
      </c>
      <c r="K817" s="5">
        <f>Sales_Data!E814</f>
        <v>11</v>
      </c>
      <c r="L817" s="5">
        <f>Sales_Data!F814</f>
        <v>1188.46</v>
      </c>
      <c r="M817" s="5">
        <f>Sales_Data!G814</f>
        <v>833.17</v>
      </c>
      <c r="N817" s="5" t="str">
        <f>IFERROR(INDEX(Branch_Master!$B$2:$B$9,MATCH($B817,Branch_Master!$A$2:$A$9,0)),"Not Found")</f>
        <v>Kolkata</v>
      </c>
      <c r="O817" s="5" t="str">
        <f>IFERROR(INDEX(Branch_Master!$C$2:$C$9,MATCH($B817,Branch_Master!$A$2:$A$9,0)),"Not Found")</f>
        <v>West Bengal</v>
      </c>
      <c r="P817" s="5">
        <f>IFERROR(INDEX(Targets!$B$2:$B$9,MATCH($B817,Targets!$A$2:$A$9,0)),0)</f>
        <v>1910000</v>
      </c>
      <c r="Q817" s="5" t="str">
        <f t="shared" si="24"/>
        <v>Yes</v>
      </c>
      <c r="R817" s="5" t="str">
        <f t="shared" si="25"/>
        <v>Oct</v>
      </c>
    </row>
    <row r="818" spans="1:18" ht="15" customHeight="1" x14ac:dyDescent="0.3">
      <c r="A818" s="5" t="str">
        <f>Sales_Data!A815</f>
        <v>2025-10-24</v>
      </c>
      <c r="B818" s="5" t="str">
        <f>Sales_Data!B815</f>
        <v>Kolkata Central</v>
      </c>
      <c r="C818" s="5" t="str">
        <f>Sales_Data!C815</f>
        <v>E029</v>
      </c>
      <c r="D818" s="5" t="str">
        <f>IFERROR(INDEX(Employee_Master!$B$2:$B$44,MATCH($C818,Employee_Master!$A$2:$A$44,0)),"Not Found")</f>
        <v>Patrick Shepard</v>
      </c>
      <c r="E818" s="5" t="str">
        <f>IFERROR(INDEX(Employee_Master!$C$2:$C$44,MATCH($C818,Employee_Master!$A$2:$A$44,0)),"Not Found")</f>
        <v>Sales</v>
      </c>
      <c r="F818" s="5" t="str">
        <f>IFERROR(INDEX(Employee_Master!$D$2:$D$44,MATCH($C818,Employee_Master!$A$2:$A$44,0)),"Not Found")</f>
        <v>Lisa Moore</v>
      </c>
      <c r="G818" s="5" t="str">
        <f>IFERROR(INDEX(Employee_Master!$E$2:$E$44,MATCH($C818,Employee_Master!$A$2:$A$44,0)),"Not Found")</f>
        <v>East</v>
      </c>
      <c r="H818" s="5" t="str">
        <f>Sales_Data!D815</f>
        <v>P004 - Power Bank</v>
      </c>
      <c r="I818" s="5" t="str">
        <f>IFERROR(INDEX(Product_Master!$B$2:$B$30,MATCH($H818,Product_Master!$A$2:$A$30,0)),"Invalid Product Code")</f>
        <v>Electronics</v>
      </c>
      <c r="J818" s="5">
        <f>IFERROR(INDEX(Product_Master!$C$2:$C$30,MATCH($H818,Product_Master!$A$2:$A$30,0)),0)</f>
        <v>76.91</v>
      </c>
      <c r="K818" s="5">
        <f>Sales_Data!E815</f>
        <v>8</v>
      </c>
      <c r="L818" s="5">
        <f>Sales_Data!F815</f>
        <v>739.97</v>
      </c>
      <c r="M818" s="5">
        <f>Sales_Data!G815</f>
        <v>625.01</v>
      </c>
      <c r="N818" s="5" t="str">
        <f>IFERROR(INDEX(Branch_Master!$B$2:$B$9,MATCH($B818,Branch_Master!$A$2:$A$9,0)),"Not Found")</f>
        <v>Kolkata</v>
      </c>
      <c r="O818" s="5" t="str">
        <f>IFERROR(INDEX(Branch_Master!$C$2:$C$9,MATCH($B818,Branch_Master!$A$2:$A$9,0)),"Not Found")</f>
        <v>West Bengal</v>
      </c>
      <c r="P818" s="5">
        <f>IFERROR(INDEX(Targets!$B$2:$B$9,MATCH($B818,Targets!$A$2:$A$9,0)),0)</f>
        <v>1910000</v>
      </c>
      <c r="Q818" s="5" t="str">
        <f t="shared" si="24"/>
        <v>Yes</v>
      </c>
      <c r="R818" s="5" t="str">
        <f t="shared" si="25"/>
        <v>Oct</v>
      </c>
    </row>
    <row r="819" spans="1:18" ht="15" customHeight="1" x14ac:dyDescent="0.3">
      <c r="A819" s="5" t="str">
        <f>Sales_Data!A816</f>
        <v>2025-10-24</v>
      </c>
      <c r="B819" s="5" t="str">
        <f>Sales_Data!B816</f>
        <v>Ahmedabad West</v>
      </c>
      <c r="C819" s="5" t="str">
        <f>Sales_Data!C816</f>
        <v>E005</v>
      </c>
      <c r="D819" s="5" t="str">
        <f>IFERROR(INDEX(Employee_Master!$B$2:$B$44,MATCH($C819,Employee_Master!$A$2:$A$44,0)),"Not Found")</f>
        <v>Dr. Sara Zimmerman MD</v>
      </c>
      <c r="E819" s="5" t="str">
        <f>IFERROR(INDEX(Employee_Master!$C$2:$C$44,MATCH($C819,Employee_Master!$A$2:$A$44,0)),"Not Found")</f>
        <v>Operations</v>
      </c>
      <c r="F819" s="5" t="str">
        <f>IFERROR(INDEX(Employee_Master!$D$2:$D$44,MATCH($C819,Employee_Master!$A$2:$A$44,0)),"Not Found")</f>
        <v>Joseph Brown</v>
      </c>
      <c r="G819" s="5" t="str">
        <f>IFERROR(INDEX(Employee_Master!$E$2:$E$44,MATCH($C819,Employee_Master!$A$2:$A$44,0)),"Not Found")</f>
        <v>West</v>
      </c>
      <c r="H819" s="5" t="str">
        <f>Sales_Data!D816</f>
        <v>P009 - Formal Shirt</v>
      </c>
      <c r="I819" s="5" t="str">
        <f>IFERROR(INDEX(Product_Master!$B$2:$B$30,MATCH($H819,Product_Master!$A$2:$A$30,0)),"Invalid Product Code")</f>
        <v>Apparel</v>
      </c>
      <c r="J819" s="5">
        <f>IFERROR(INDEX(Product_Master!$C$2:$C$30,MATCH($H819,Product_Master!$A$2:$A$30,0)),0)</f>
        <v>661.65</v>
      </c>
      <c r="K819" s="5">
        <f>Sales_Data!E816</f>
        <v>12</v>
      </c>
      <c r="L819" s="5">
        <f>Sales_Data!F816</f>
        <v>10695.59</v>
      </c>
      <c r="M819" s="5">
        <f>Sales_Data!G816</f>
        <v>7719.7</v>
      </c>
      <c r="N819" s="5" t="str">
        <f>IFERROR(INDEX(Branch_Master!$B$2:$B$9,MATCH($B819,Branch_Master!$A$2:$A$9,0)),"Not Found")</f>
        <v>Ahmedabad</v>
      </c>
      <c r="O819" s="5" t="str">
        <f>IFERROR(INDEX(Branch_Master!$C$2:$C$9,MATCH($B819,Branch_Master!$A$2:$A$9,0)),"Not Found")</f>
        <v>Gujarat</v>
      </c>
      <c r="P819" s="5">
        <f>IFERROR(INDEX(Targets!$B$2:$B$9,MATCH($B819,Targets!$A$2:$A$9,0)),0)</f>
        <v>1590000</v>
      </c>
      <c r="Q819" s="5" t="str">
        <f t="shared" si="24"/>
        <v>Yes</v>
      </c>
      <c r="R819" s="5" t="str">
        <f t="shared" si="25"/>
        <v>Oct</v>
      </c>
    </row>
    <row r="820" spans="1:18" ht="15" customHeight="1" x14ac:dyDescent="0.3">
      <c r="A820" s="5" t="str">
        <f>Sales_Data!A817</f>
        <v>2025-10-26</v>
      </c>
      <c r="B820" s="5" t="str">
        <f>Sales_Data!B817</f>
        <v>Pune East</v>
      </c>
      <c r="C820" s="5" t="str">
        <f>Sales_Data!C817</f>
        <v>E023</v>
      </c>
      <c r="D820" s="5" t="str">
        <f>IFERROR(INDEX(Employee_Master!$B$2:$B$44,MATCH($C820,Employee_Master!$A$2:$A$44,0)),"Not Found")</f>
        <v>Edward Jones</v>
      </c>
      <c r="E820" s="5" t="str">
        <f>IFERROR(INDEX(Employee_Master!$C$2:$C$44,MATCH($C820,Employee_Master!$A$2:$A$44,0)),"Not Found")</f>
        <v>Operations</v>
      </c>
      <c r="F820" s="5" t="str">
        <f>IFERROR(INDEX(Employee_Master!$D$2:$D$44,MATCH($C820,Employee_Master!$A$2:$A$44,0)),"Not Found")</f>
        <v>Jordan Matthews</v>
      </c>
      <c r="G820" s="5" t="str">
        <f>IFERROR(INDEX(Employee_Master!$E$2:$E$44,MATCH($C820,Employee_Master!$A$2:$A$44,0)),"Not Found")</f>
        <v>West</v>
      </c>
      <c r="H820" s="5" t="str">
        <f>Sales_Data!D817</f>
        <v>P017 - Basmati Rice 5kg</v>
      </c>
      <c r="I820" s="5" t="str">
        <f>IFERROR(INDEX(Product_Master!$B$2:$B$30,MATCH($H820,Product_Master!$A$2:$A$30,0)),"Invalid Product Code")</f>
        <v>Grocery</v>
      </c>
      <c r="J820" s="5">
        <f>IFERROR(INDEX(Product_Master!$C$2:$C$30,MATCH($H820,Product_Master!$A$2:$A$30,0)),0)</f>
        <v>825.33</v>
      </c>
      <c r="K820" s="5">
        <f>Sales_Data!E817</f>
        <v>9</v>
      </c>
      <c r="L820" s="5">
        <f>Sales_Data!F817</f>
        <v>9734.23</v>
      </c>
      <c r="M820" s="5">
        <f>Sales_Data!G817</f>
        <v>7578.84</v>
      </c>
      <c r="N820" s="5" t="str">
        <f>IFERROR(INDEX(Branch_Master!$B$2:$B$9,MATCH($B820,Branch_Master!$A$2:$A$9,0)),"Not Found")</f>
        <v>Pune</v>
      </c>
      <c r="O820" s="5" t="str">
        <f>IFERROR(INDEX(Branch_Master!$C$2:$C$9,MATCH($B820,Branch_Master!$A$2:$A$9,0)),"Not Found")</f>
        <v>Maharashtra</v>
      </c>
      <c r="P820" s="5">
        <f>IFERROR(INDEX(Targets!$B$2:$B$9,MATCH($B820,Targets!$A$2:$A$9,0)),0)</f>
        <v>1250000</v>
      </c>
      <c r="Q820" s="5" t="str">
        <f t="shared" si="24"/>
        <v>Yes</v>
      </c>
      <c r="R820" s="5" t="str">
        <f t="shared" si="25"/>
        <v>Oct</v>
      </c>
    </row>
    <row r="821" spans="1:18" ht="15" customHeight="1" x14ac:dyDescent="0.3">
      <c r="A821" s="5" t="str">
        <f>Sales_Data!A818</f>
        <v>2025-10-26</v>
      </c>
      <c r="B821" s="5" t="str">
        <f>Sales_Data!B818</f>
        <v>Bangalore North</v>
      </c>
      <c r="C821" s="5" t="str">
        <f>Sales_Data!C818</f>
        <v>E038</v>
      </c>
      <c r="D821" s="5" t="str">
        <f>IFERROR(INDEX(Employee_Master!$B$2:$B$44,MATCH($C821,Employee_Master!$A$2:$A$44,0)),"Not Found")</f>
        <v>Derrick Griffin</v>
      </c>
      <c r="E821" s="5" t="str">
        <f>IFERROR(INDEX(Employee_Master!$C$2:$C$44,MATCH($C821,Employee_Master!$A$2:$A$44,0)),"Not Found")</f>
        <v>Marketing</v>
      </c>
      <c r="F821" s="5" t="str">
        <f>IFERROR(INDEX(Employee_Master!$D$2:$D$44,MATCH($C821,Employee_Master!$A$2:$A$44,0)),"Not Found")</f>
        <v>Jose Soto</v>
      </c>
      <c r="G821" s="5" t="str">
        <f>IFERROR(INDEX(Employee_Master!$E$2:$E$44,MATCH($C821,Employee_Master!$A$2:$A$44,0)),"Not Found")</f>
        <v>South</v>
      </c>
      <c r="H821" s="5" t="str">
        <f>Sales_Data!D818</f>
        <v>P023 - Sunscreen SPF50</v>
      </c>
      <c r="I821" s="5" t="str">
        <f>IFERROR(INDEX(Product_Master!$B$2:$B$30,MATCH($H821,Product_Master!$A$2:$A$30,0)),"Invalid Product Code")</f>
        <v>Beauty</v>
      </c>
      <c r="J821" s="5">
        <f>IFERROR(INDEX(Product_Master!$C$2:$C$30,MATCH($H821,Product_Master!$A$2:$A$30,0)),0)</f>
        <v>818.95</v>
      </c>
      <c r="K821" s="5">
        <f>Sales_Data!E818</f>
        <v>7</v>
      </c>
      <c r="L821" s="5">
        <f>Sales_Data!F818</f>
        <v>7196.11</v>
      </c>
      <c r="M821" s="5">
        <f>Sales_Data!G818</f>
        <v>6072.18</v>
      </c>
      <c r="N821" s="5" t="str">
        <f>IFERROR(INDEX(Branch_Master!$B$2:$B$9,MATCH($B821,Branch_Master!$A$2:$A$9,0)),"Not Found")</f>
        <v>Bangalore</v>
      </c>
      <c r="O821" s="5" t="str">
        <f>IFERROR(INDEX(Branch_Master!$C$2:$C$9,MATCH($B821,Branch_Master!$A$2:$A$9,0)),"Not Found")</f>
        <v>Karnataka</v>
      </c>
      <c r="P821" s="5">
        <f>IFERROR(INDEX(Targets!$B$2:$B$9,MATCH($B821,Targets!$A$2:$A$9,0)),0)</f>
        <v>900000</v>
      </c>
      <c r="Q821" s="5" t="str">
        <f t="shared" si="24"/>
        <v>Yes</v>
      </c>
      <c r="R821" s="5" t="str">
        <f t="shared" si="25"/>
        <v>Oct</v>
      </c>
    </row>
    <row r="822" spans="1:18" ht="15" customHeight="1" x14ac:dyDescent="0.3">
      <c r="A822" s="5" t="str">
        <f>Sales_Data!A819</f>
        <v>2025-10-26</v>
      </c>
      <c r="B822" s="5" t="str">
        <f>Sales_Data!B819</f>
        <v>Mumbai Central</v>
      </c>
      <c r="C822" s="5" t="str">
        <f>Sales_Data!C819</f>
        <v>E036</v>
      </c>
      <c r="D822" s="5" t="str">
        <f>IFERROR(INDEX(Employee_Master!$B$2:$B$44,MATCH($C822,Employee_Master!$A$2:$A$44,0)),"Not Found")</f>
        <v>Sarah Mendez</v>
      </c>
      <c r="E822" s="5" t="str">
        <f>IFERROR(INDEX(Employee_Master!$C$2:$C$44,MATCH($C822,Employee_Master!$A$2:$A$44,0)),"Not Found")</f>
        <v>Sales</v>
      </c>
      <c r="F822" s="5" t="str">
        <f>IFERROR(INDEX(Employee_Master!$D$2:$D$44,MATCH($C822,Employee_Master!$A$2:$A$44,0)),"Not Found")</f>
        <v>Justin Glass</v>
      </c>
      <c r="G822" s="5" t="str">
        <f>IFERROR(INDEX(Employee_Master!$E$2:$E$44,MATCH($C822,Employee_Master!$A$2:$A$44,0)),"Not Found")</f>
        <v>West</v>
      </c>
      <c r="H822" s="5" t="str">
        <f>Sales_Data!D819</f>
        <v>P003 - Bluetooth Speaker</v>
      </c>
      <c r="I822" s="5" t="str">
        <f>IFERROR(INDEX(Product_Master!$B$2:$B$30,MATCH($H822,Product_Master!$A$2:$A$30,0)),"Invalid Product Code")</f>
        <v>Electronics</v>
      </c>
      <c r="J822" s="5">
        <f>IFERROR(INDEX(Product_Master!$C$2:$C$30,MATCH($H822,Product_Master!$A$2:$A$30,0)),0)</f>
        <v>351.01</v>
      </c>
      <c r="K822" s="5">
        <f>Sales_Data!E819</f>
        <v>2</v>
      </c>
      <c r="L822" s="5">
        <f>Sales_Data!F819</f>
        <v>837.91</v>
      </c>
      <c r="M822" s="5">
        <f>Sales_Data!G819</f>
        <v>621.05999999999995</v>
      </c>
      <c r="N822" s="5" t="str">
        <f>IFERROR(INDEX(Branch_Master!$B$2:$B$9,MATCH($B822,Branch_Master!$A$2:$A$9,0)),"Not Found")</f>
        <v>Mumbai</v>
      </c>
      <c r="O822" s="5" t="str">
        <f>IFERROR(INDEX(Branch_Master!$C$2:$C$9,MATCH($B822,Branch_Master!$A$2:$A$9,0)),"Not Found")</f>
        <v>Maharashtra</v>
      </c>
      <c r="P822" s="5">
        <f>IFERROR(INDEX(Targets!$B$2:$B$9,MATCH($B822,Targets!$A$2:$A$9,0)),0)</f>
        <v>900000</v>
      </c>
      <c r="Q822" s="5" t="str">
        <f t="shared" si="24"/>
        <v>Yes</v>
      </c>
      <c r="R822" s="5" t="str">
        <f t="shared" si="25"/>
        <v>Oct</v>
      </c>
    </row>
    <row r="823" spans="1:18" ht="15" customHeight="1" x14ac:dyDescent="0.3">
      <c r="A823" s="5" t="str">
        <f>Sales_Data!A820</f>
        <v>2025-10-26</v>
      </c>
      <c r="B823" s="5" t="str">
        <f>Sales_Data!B820</f>
        <v>Pune East</v>
      </c>
      <c r="C823" s="5" t="str">
        <f>Sales_Data!C820</f>
        <v>E034</v>
      </c>
      <c r="D823" s="5" t="str">
        <f>IFERROR(INDEX(Employee_Master!$B$2:$B$44,MATCH($C823,Employee_Master!$A$2:$A$44,0)),"Not Found")</f>
        <v>Elaine Thompson</v>
      </c>
      <c r="E823" s="5" t="str">
        <f>IFERROR(INDEX(Employee_Master!$C$2:$C$44,MATCH($C823,Employee_Master!$A$2:$A$44,0)),"Not Found")</f>
        <v>Marketing</v>
      </c>
      <c r="F823" s="5" t="str">
        <f>IFERROR(INDEX(Employee_Master!$D$2:$D$44,MATCH($C823,Employee_Master!$A$2:$A$44,0)),"Not Found")</f>
        <v>Jordan Matthews</v>
      </c>
      <c r="G823" s="5" t="str">
        <f>IFERROR(INDEX(Employee_Master!$E$2:$E$44,MATCH($C823,Employee_Master!$A$2:$A$44,0)),"Not Found")</f>
        <v>West</v>
      </c>
      <c r="H823" s="5" t="str">
        <f>Sales_Data!D820</f>
        <v>P020 - Green Tea Pack</v>
      </c>
      <c r="I823" s="5" t="str">
        <f>IFERROR(INDEX(Product_Master!$B$2:$B$30,MATCH($H823,Product_Master!$A$2:$A$30,0)),"Invalid Product Code")</f>
        <v>Grocery</v>
      </c>
      <c r="J823" s="5">
        <f>IFERROR(INDEX(Product_Master!$C$2:$C$30,MATCH($H823,Product_Master!$A$2:$A$30,0)),0)</f>
        <v>305.39</v>
      </c>
      <c r="K823" s="5">
        <f>Sales_Data!E820</f>
        <v>5</v>
      </c>
      <c r="L823" s="5">
        <f>Sales_Data!F820</f>
        <v>2071.46</v>
      </c>
      <c r="M823" s="5">
        <f>Sales_Data!G820</f>
        <v>1619.19</v>
      </c>
      <c r="N823" s="5" t="str">
        <f>IFERROR(INDEX(Branch_Master!$B$2:$B$9,MATCH($B823,Branch_Master!$A$2:$A$9,0)),"Not Found")</f>
        <v>Pune</v>
      </c>
      <c r="O823" s="5" t="str">
        <f>IFERROR(INDEX(Branch_Master!$C$2:$C$9,MATCH($B823,Branch_Master!$A$2:$A$9,0)),"Not Found")</f>
        <v>Maharashtra</v>
      </c>
      <c r="P823" s="5">
        <f>IFERROR(INDEX(Targets!$B$2:$B$9,MATCH($B823,Targets!$A$2:$A$9,0)),0)</f>
        <v>1250000</v>
      </c>
      <c r="Q823" s="5" t="str">
        <f t="shared" si="24"/>
        <v>Yes</v>
      </c>
      <c r="R823" s="5" t="str">
        <f t="shared" si="25"/>
        <v>Oct</v>
      </c>
    </row>
    <row r="824" spans="1:18" ht="15" customHeight="1" x14ac:dyDescent="0.3">
      <c r="A824" s="5" t="str">
        <f>Sales_Data!A821</f>
        <v>2025-10-27</v>
      </c>
      <c r="B824" s="5" t="str">
        <f>Sales_Data!B821</f>
        <v>Kolkata Central</v>
      </c>
      <c r="C824" s="5" t="str">
        <f>Sales_Data!C821</f>
        <v>E024</v>
      </c>
      <c r="D824" s="5" t="str">
        <f>IFERROR(INDEX(Employee_Master!$B$2:$B$44,MATCH($C824,Employee_Master!$A$2:$A$44,0)),"Not Found")</f>
        <v>Kevin Sanchez</v>
      </c>
      <c r="E824" s="5" t="str">
        <f>IFERROR(INDEX(Employee_Master!$C$2:$C$44,MATCH($C824,Employee_Master!$A$2:$A$44,0)),"Not Found")</f>
        <v>Sales</v>
      </c>
      <c r="F824" s="5" t="str">
        <f>IFERROR(INDEX(Employee_Master!$D$2:$D$44,MATCH($C824,Employee_Master!$A$2:$A$44,0)),"Not Found")</f>
        <v>Lisa Moore</v>
      </c>
      <c r="G824" s="5" t="str">
        <f>IFERROR(INDEX(Employee_Master!$E$2:$E$44,MATCH($C824,Employee_Master!$A$2:$A$44,0)),"Not Found")</f>
        <v>East</v>
      </c>
      <c r="H824" s="5" t="str">
        <f>Sales_Data!D821</f>
        <v>P024 - Hair Serum</v>
      </c>
      <c r="I824" s="5" t="str">
        <f>IFERROR(INDEX(Product_Master!$B$2:$B$30,MATCH($H824,Product_Master!$A$2:$A$30,0)),"Invalid Product Code")</f>
        <v>Beauty</v>
      </c>
      <c r="J824" s="5">
        <f>IFERROR(INDEX(Product_Master!$C$2:$C$30,MATCH($H824,Product_Master!$A$2:$A$30,0)),0)</f>
        <v>1457.31</v>
      </c>
      <c r="K824" s="5">
        <f>Sales_Data!E821</f>
        <v>10</v>
      </c>
      <c r="L824" s="5">
        <f>Sales_Data!F821</f>
        <v>18445.82</v>
      </c>
      <c r="M824" s="5">
        <f>Sales_Data!G821</f>
        <v>14093.26</v>
      </c>
      <c r="N824" s="5" t="str">
        <f>IFERROR(INDEX(Branch_Master!$B$2:$B$9,MATCH($B824,Branch_Master!$A$2:$A$9,0)),"Not Found")</f>
        <v>Kolkata</v>
      </c>
      <c r="O824" s="5" t="str">
        <f>IFERROR(INDEX(Branch_Master!$C$2:$C$9,MATCH($B824,Branch_Master!$A$2:$A$9,0)),"Not Found")</f>
        <v>West Bengal</v>
      </c>
      <c r="P824" s="5">
        <f>IFERROR(INDEX(Targets!$B$2:$B$9,MATCH($B824,Targets!$A$2:$A$9,0)),0)</f>
        <v>1910000</v>
      </c>
      <c r="Q824" s="5" t="str">
        <f t="shared" si="24"/>
        <v>Yes</v>
      </c>
      <c r="R824" s="5" t="str">
        <f t="shared" si="25"/>
        <v>Oct</v>
      </c>
    </row>
    <row r="825" spans="1:18" ht="15" customHeight="1" x14ac:dyDescent="0.3">
      <c r="A825" s="5" t="str">
        <f>Sales_Data!A822</f>
        <v>2025-10-27</v>
      </c>
      <c r="B825" s="5" t="str">
        <f>Sales_Data!B822</f>
        <v>Pune East</v>
      </c>
      <c r="C825" s="5" t="str">
        <f>Sales_Data!C822</f>
        <v>E022</v>
      </c>
      <c r="D825" s="5" t="str">
        <f>IFERROR(INDEX(Employee_Master!$B$2:$B$44,MATCH($C825,Employee_Master!$A$2:$A$44,0)),"Not Found")</f>
        <v>Cindy Green PhD</v>
      </c>
      <c r="E825" s="5" t="str">
        <f>IFERROR(INDEX(Employee_Master!$C$2:$C$44,MATCH($C825,Employee_Master!$A$2:$A$44,0)),"Not Found")</f>
        <v>Customer Support</v>
      </c>
      <c r="F825" s="5" t="str">
        <f>IFERROR(INDEX(Employee_Master!$D$2:$D$44,MATCH($C825,Employee_Master!$A$2:$A$44,0)),"Not Found")</f>
        <v>Jordan Matthews</v>
      </c>
      <c r="G825" s="5" t="str">
        <f>IFERROR(INDEX(Employee_Master!$E$2:$E$44,MATCH($C825,Employee_Master!$A$2:$A$44,0)),"Not Found")</f>
        <v>West</v>
      </c>
      <c r="H825" s="5" t="str">
        <f>Sales_Data!D822</f>
        <v>P021 - Assorted Spices Kit</v>
      </c>
      <c r="I825" s="5" t="str">
        <f>IFERROR(INDEX(Product_Master!$B$2:$B$30,MATCH($H825,Product_Master!$A$2:$A$30,0)),"Invalid Product Code")</f>
        <v>Grocery</v>
      </c>
      <c r="J825" s="5">
        <f>IFERROR(INDEX(Product_Master!$C$2:$C$30,MATCH($H825,Product_Master!$A$2:$A$30,0)),0)</f>
        <v>1060.97</v>
      </c>
      <c r="K825" s="5">
        <f>Sales_Data!E822</f>
        <v>2</v>
      </c>
      <c r="L825" s="5">
        <f>Sales_Data!F822</f>
        <v>3008.78</v>
      </c>
      <c r="M825" s="5">
        <f>Sales_Data!G822</f>
        <v>2207.3000000000002</v>
      </c>
      <c r="N825" s="5" t="str">
        <f>IFERROR(INDEX(Branch_Master!$B$2:$B$9,MATCH($B825,Branch_Master!$A$2:$A$9,0)),"Not Found")</f>
        <v>Pune</v>
      </c>
      <c r="O825" s="5" t="str">
        <f>IFERROR(INDEX(Branch_Master!$C$2:$C$9,MATCH($B825,Branch_Master!$A$2:$A$9,0)),"Not Found")</f>
        <v>Maharashtra</v>
      </c>
      <c r="P825" s="5">
        <f>IFERROR(INDEX(Targets!$B$2:$B$9,MATCH($B825,Targets!$A$2:$A$9,0)),0)</f>
        <v>1250000</v>
      </c>
      <c r="Q825" s="5" t="str">
        <f t="shared" si="24"/>
        <v>Yes</v>
      </c>
      <c r="R825" s="5" t="str">
        <f t="shared" si="25"/>
        <v>Oct</v>
      </c>
    </row>
    <row r="826" spans="1:18" ht="15" customHeight="1" x14ac:dyDescent="0.3">
      <c r="A826" s="5" t="str">
        <f>Sales_Data!A823</f>
        <v>2025-10-27</v>
      </c>
      <c r="B826" s="5" t="str">
        <f>Sales_Data!B823</f>
        <v>Delhi NCR</v>
      </c>
      <c r="C826" s="5" t="str">
        <f>Sales_Data!C823</f>
        <v>E031</v>
      </c>
      <c r="D826" s="5" t="str">
        <f>IFERROR(INDEX(Employee_Master!$B$2:$B$44,MATCH($C826,Employee_Master!$A$2:$A$44,0)),"Not Found")</f>
        <v>Jennifer Garcia</v>
      </c>
      <c r="E826" s="5" t="str">
        <f>IFERROR(INDEX(Employee_Master!$C$2:$C$44,MATCH($C826,Employee_Master!$A$2:$A$44,0)),"Not Found")</f>
        <v>Sales</v>
      </c>
      <c r="F826" s="5" t="str">
        <f>IFERROR(INDEX(Employee_Master!$D$2:$D$44,MATCH($C826,Employee_Master!$A$2:$A$44,0)),"Not Found")</f>
        <v>William Oconnell</v>
      </c>
      <c r="G826" s="5" t="str">
        <f>IFERROR(INDEX(Employee_Master!$E$2:$E$44,MATCH($C826,Employee_Master!$A$2:$A$44,0)),"Not Found")</f>
        <v>North</v>
      </c>
      <c r="H826" s="5" t="str">
        <f>Sales_Data!D823</f>
        <v>P025 - Lipstick Set</v>
      </c>
      <c r="I826" s="5" t="str">
        <f>IFERROR(INDEX(Product_Master!$B$2:$B$30,MATCH($H826,Product_Master!$A$2:$A$30,0)),"Invalid Product Code")</f>
        <v>Beauty</v>
      </c>
      <c r="J826" s="5">
        <f>IFERROR(INDEX(Product_Master!$C$2:$C$30,MATCH($H826,Product_Master!$A$2:$A$30,0)),0)</f>
        <v>765.9</v>
      </c>
      <c r="K826" s="5">
        <f>Sales_Data!E823</f>
        <v>11</v>
      </c>
      <c r="L826" s="5">
        <f>Sales_Data!F823</f>
        <v>9948.02</v>
      </c>
      <c r="M826" s="5">
        <f>Sales_Data!G823</f>
        <v>7307.69</v>
      </c>
      <c r="N826" s="5" t="str">
        <f>IFERROR(INDEX(Branch_Master!$B$2:$B$9,MATCH($B826,Branch_Master!$A$2:$A$9,0)),"Not Found")</f>
        <v>New Delhi</v>
      </c>
      <c r="O826" s="5" t="str">
        <f>IFERROR(INDEX(Branch_Master!$C$2:$C$9,MATCH($B826,Branch_Master!$A$2:$A$9,0)),"Not Found")</f>
        <v>Delhi</v>
      </c>
      <c r="P826" s="5">
        <f>IFERROR(INDEX(Targets!$B$2:$B$9,MATCH($B826,Targets!$A$2:$A$9,0)),0)</f>
        <v>2070000</v>
      </c>
      <c r="Q826" s="5" t="str">
        <f t="shared" si="24"/>
        <v>Yes</v>
      </c>
      <c r="R826" s="5" t="str">
        <f t="shared" si="25"/>
        <v>Oct</v>
      </c>
    </row>
    <row r="827" spans="1:18" ht="15" customHeight="1" x14ac:dyDescent="0.3">
      <c r="A827" s="5" t="str">
        <f>Sales_Data!A824</f>
        <v>2025-10-27</v>
      </c>
      <c r="B827" s="5" t="str">
        <f>Sales_Data!B824</f>
        <v>Ahmedabad West</v>
      </c>
      <c r="C827" s="5" t="str">
        <f>Sales_Data!C824</f>
        <v>E039</v>
      </c>
      <c r="D827" s="5" t="str">
        <f>IFERROR(INDEX(Employee_Master!$B$2:$B$44,MATCH($C827,Employee_Master!$A$2:$A$44,0)),"Not Found")</f>
        <v>Christopher Wood</v>
      </c>
      <c r="E827" s="5" t="str">
        <f>IFERROR(INDEX(Employee_Master!$C$2:$C$44,MATCH($C827,Employee_Master!$A$2:$A$44,0)),"Not Found")</f>
        <v>Marketing</v>
      </c>
      <c r="F827" s="5" t="str">
        <f>IFERROR(INDEX(Employee_Master!$D$2:$D$44,MATCH($C827,Employee_Master!$A$2:$A$44,0)),"Not Found")</f>
        <v>Joseph Brown</v>
      </c>
      <c r="G827" s="5" t="str">
        <f>IFERROR(INDEX(Employee_Master!$E$2:$E$44,MATCH($C827,Employee_Master!$A$2:$A$44,0)),"Not Found")</f>
        <v>West</v>
      </c>
      <c r="H827" s="5" t="str">
        <f>Sales_Data!D824</f>
        <v>P022 - Face Wash</v>
      </c>
      <c r="I827" s="5" t="str">
        <f>IFERROR(INDEX(Product_Master!$B$2:$B$30,MATCH($H827,Product_Master!$A$2:$A$30,0)),"Invalid Product Code")</f>
        <v>Beauty</v>
      </c>
      <c r="J827" s="5">
        <f>IFERROR(INDEX(Product_Master!$C$2:$C$30,MATCH($H827,Product_Master!$A$2:$A$30,0)),0)</f>
        <v>396.75</v>
      </c>
      <c r="K827" s="5">
        <f>Sales_Data!E824</f>
        <v>4</v>
      </c>
      <c r="L827" s="5">
        <f>Sales_Data!F824</f>
        <v>2131.2199999999998</v>
      </c>
      <c r="M827" s="5">
        <f>Sales_Data!G824</f>
        <v>1679.21</v>
      </c>
      <c r="N827" s="5" t="str">
        <f>IFERROR(INDEX(Branch_Master!$B$2:$B$9,MATCH($B827,Branch_Master!$A$2:$A$9,0)),"Not Found")</f>
        <v>Ahmedabad</v>
      </c>
      <c r="O827" s="5" t="str">
        <f>IFERROR(INDEX(Branch_Master!$C$2:$C$9,MATCH($B827,Branch_Master!$A$2:$A$9,0)),"Not Found")</f>
        <v>Gujarat</v>
      </c>
      <c r="P827" s="5">
        <f>IFERROR(INDEX(Targets!$B$2:$B$9,MATCH($B827,Targets!$A$2:$A$9,0)),0)</f>
        <v>1590000</v>
      </c>
      <c r="Q827" s="5" t="str">
        <f t="shared" si="24"/>
        <v>Yes</v>
      </c>
      <c r="R827" s="5" t="str">
        <f t="shared" si="25"/>
        <v>Oct</v>
      </c>
    </row>
    <row r="828" spans="1:18" ht="15" customHeight="1" x14ac:dyDescent="0.3">
      <c r="A828" s="5" t="str">
        <f>Sales_Data!A825</f>
        <v>2025-10-28</v>
      </c>
      <c r="B828" s="5" t="str">
        <f>Sales_Data!B825</f>
        <v>Chennai South</v>
      </c>
      <c r="C828" s="5" t="str">
        <f>Sales_Data!C825</f>
        <v>E015</v>
      </c>
      <c r="D828" s="5" t="str">
        <f>IFERROR(INDEX(Employee_Master!$B$2:$B$44,MATCH($C828,Employee_Master!$A$2:$A$44,0)),"Not Found")</f>
        <v>Cassandra Hansen</v>
      </c>
      <c r="E828" s="5" t="str">
        <f>IFERROR(INDEX(Employee_Master!$C$2:$C$44,MATCH($C828,Employee_Master!$A$2:$A$44,0)),"Not Found")</f>
        <v>Customer Support</v>
      </c>
      <c r="F828" s="5" t="str">
        <f>IFERROR(INDEX(Employee_Master!$D$2:$D$44,MATCH($C828,Employee_Master!$A$2:$A$44,0)),"Not Found")</f>
        <v>Robert Steele</v>
      </c>
      <c r="G828" s="5" t="str">
        <f>IFERROR(INDEX(Employee_Master!$E$2:$E$44,MATCH($C828,Employee_Master!$A$2:$A$44,0)),"Not Found")</f>
        <v>South</v>
      </c>
      <c r="H828" s="5" t="str">
        <f>Sales_Data!D825</f>
        <v>P011 - Winter Jacket</v>
      </c>
      <c r="I828" s="5" t="str">
        <f>IFERROR(INDEX(Product_Master!$B$2:$B$30,MATCH($H828,Product_Master!$A$2:$A$30,0)),"Invalid Product Code")</f>
        <v>Apparel</v>
      </c>
      <c r="J828" s="5">
        <f>IFERROR(INDEX(Product_Master!$C$2:$C$30,MATCH($H828,Product_Master!$A$2:$A$30,0)),0)</f>
        <v>264.97000000000003</v>
      </c>
      <c r="K828" s="5">
        <f>Sales_Data!E825</f>
        <v>4</v>
      </c>
      <c r="L828" s="5">
        <f>Sales_Data!F825</f>
        <v>1514.63</v>
      </c>
      <c r="M828" s="5">
        <f>Sales_Data!G825</f>
        <v>1045.6400000000001</v>
      </c>
      <c r="N828" s="5" t="str">
        <f>IFERROR(INDEX(Branch_Master!$B$2:$B$9,MATCH($B828,Branch_Master!$A$2:$A$9,0)),"Not Found")</f>
        <v>Chennai</v>
      </c>
      <c r="O828" s="5" t="str">
        <f>IFERROR(INDEX(Branch_Master!$C$2:$C$9,MATCH($B828,Branch_Master!$A$2:$A$9,0)),"Not Found")</f>
        <v>Tamil Nadu</v>
      </c>
      <c r="P828" s="5">
        <f>IFERROR(INDEX(Targets!$B$2:$B$9,MATCH($B828,Targets!$A$2:$A$9,0)),0)</f>
        <v>1910000</v>
      </c>
      <c r="Q828" s="5" t="str">
        <f t="shared" si="24"/>
        <v>Yes</v>
      </c>
      <c r="R828" s="5" t="str">
        <f t="shared" si="25"/>
        <v>Oct</v>
      </c>
    </row>
    <row r="829" spans="1:18" ht="15" customHeight="1" x14ac:dyDescent="0.3">
      <c r="A829" s="5" t="str">
        <f>Sales_Data!A826</f>
        <v>2025-10-28</v>
      </c>
      <c r="B829" s="5" t="str">
        <f>Sales_Data!B826</f>
        <v>Bangalore North</v>
      </c>
      <c r="C829" s="5" t="str">
        <f>Sales_Data!C826</f>
        <v>E038</v>
      </c>
      <c r="D829" s="5" t="str">
        <f>IFERROR(INDEX(Employee_Master!$B$2:$B$44,MATCH($C829,Employee_Master!$A$2:$A$44,0)),"Not Found")</f>
        <v>Derrick Griffin</v>
      </c>
      <c r="E829" s="5" t="str">
        <f>IFERROR(INDEX(Employee_Master!$C$2:$C$44,MATCH($C829,Employee_Master!$A$2:$A$44,0)),"Not Found")</f>
        <v>Marketing</v>
      </c>
      <c r="F829" s="5" t="str">
        <f>IFERROR(INDEX(Employee_Master!$D$2:$D$44,MATCH($C829,Employee_Master!$A$2:$A$44,0)),"Not Found")</f>
        <v>Jose Soto</v>
      </c>
      <c r="G829" s="5" t="str">
        <f>IFERROR(INDEX(Employee_Master!$E$2:$E$44,MATCH($C829,Employee_Master!$A$2:$A$44,0)),"Not Found")</f>
        <v>South</v>
      </c>
      <c r="H829" s="5" t="str">
        <f>Sales_Data!D826</f>
        <v>P016 - Dinner Set</v>
      </c>
      <c r="I829" s="5" t="str">
        <f>IFERROR(INDEX(Product_Master!$B$2:$B$30,MATCH($H829,Product_Master!$A$2:$A$30,0)),"Invalid Product Code")</f>
        <v>Home &amp; Kitchen</v>
      </c>
      <c r="J829" s="5">
        <f>IFERROR(INDEX(Product_Master!$C$2:$C$30,MATCH($H829,Product_Master!$A$2:$A$30,0)),0)</f>
        <v>225.06</v>
      </c>
      <c r="K829" s="5">
        <f>Sales_Data!E826</f>
        <v>3</v>
      </c>
      <c r="L829" s="5">
        <f>Sales_Data!F826</f>
        <v>844.76</v>
      </c>
      <c r="M829" s="5">
        <f>Sales_Data!G826</f>
        <v>577.4</v>
      </c>
      <c r="N829" s="5" t="str">
        <f>IFERROR(INDEX(Branch_Master!$B$2:$B$9,MATCH($B829,Branch_Master!$A$2:$A$9,0)),"Not Found")</f>
        <v>Bangalore</v>
      </c>
      <c r="O829" s="5" t="str">
        <f>IFERROR(INDEX(Branch_Master!$C$2:$C$9,MATCH($B829,Branch_Master!$A$2:$A$9,0)),"Not Found")</f>
        <v>Karnataka</v>
      </c>
      <c r="P829" s="5">
        <f>IFERROR(INDEX(Targets!$B$2:$B$9,MATCH($B829,Targets!$A$2:$A$9,0)),0)</f>
        <v>900000</v>
      </c>
      <c r="Q829" s="5" t="str">
        <f t="shared" si="24"/>
        <v>Yes</v>
      </c>
      <c r="R829" s="5" t="str">
        <f t="shared" si="25"/>
        <v>Oct</v>
      </c>
    </row>
    <row r="830" spans="1:18" ht="15" customHeight="1" x14ac:dyDescent="0.3">
      <c r="A830" s="5" t="str">
        <f>Sales_Data!A827</f>
        <v>2025-10-28</v>
      </c>
      <c r="B830" s="5" t="str">
        <f>Sales_Data!B827</f>
        <v>Ahmedabad West</v>
      </c>
      <c r="C830" s="5" t="str">
        <f>Sales_Data!C827</f>
        <v>E039</v>
      </c>
      <c r="D830" s="5" t="str">
        <f>IFERROR(INDEX(Employee_Master!$B$2:$B$44,MATCH($C830,Employee_Master!$A$2:$A$44,0)),"Not Found")</f>
        <v>Christopher Wood</v>
      </c>
      <c r="E830" s="5" t="str">
        <f>IFERROR(INDEX(Employee_Master!$C$2:$C$44,MATCH($C830,Employee_Master!$A$2:$A$44,0)),"Not Found")</f>
        <v>Marketing</v>
      </c>
      <c r="F830" s="5" t="str">
        <f>IFERROR(INDEX(Employee_Master!$D$2:$D$44,MATCH($C830,Employee_Master!$A$2:$A$44,0)),"Not Found")</f>
        <v>Joseph Brown</v>
      </c>
      <c r="G830" s="5" t="str">
        <f>IFERROR(INDEX(Employee_Master!$E$2:$E$44,MATCH($C830,Employee_Master!$A$2:$A$44,0)),"Not Found")</f>
        <v>West</v>
      </c>
      <c r="H830" s="5" t="str">
        <f>Sales_Data!D827</f>
        <v>P019 - Organic Honey</v>
      </c>
      <c r="I830" s="5" t="str">
        <f>IFERROR(INDEX(Product_Master!$B$2:$B$30,MATCH($H830,Product_Master!$A$2:$A$30,0)),"Invalid Product Code")</f>
        <v>Grocery</v>
      </c>
      <c r="J830" s="5">
        <f>IFERROR(INDEX(Product_Master!$C$2:$C$30,MATCH($H830,Product_Master!$A$2:$A$30,0)),0)</f>
        <v>482.15</v>
      </c>
      <c r="K830" s="5">
        <f>Sales_Data!E827</f>
        <v>3</v>
      </c>
      <c r="L830" s="5">
        <f>Sales_Data!F827</f>
        <v>2018.23</v>
      </c>
      <c r="M830" s="5">
        <f>Sales_Data!G827</f>
        <v>1308.82</v>
      </c>
      <c r="N830" s="5" t="str">
        <f>IFERROR(INDEX(Branch_Master!$B$2:$B$9,MATCH($B830,Branch_Master!$A$2:$A$9,0)),"Not Found")</f>
        <v>Ahmedabad</v>
      </c>
      <c r="O830" s="5" t="str">
        <f>IFERROR(INDEX(Branch_Master!$C$2:$C$9,MATCH($B830,Branch_Master!$A$2:$A$9,0)),"Not Found")</f>
        <v>Gujarat</v>
      </c>
      <c r="P830" s="5">
        <f>IFERROR(INDEX(Targets!$B$2:$B$9,MATCH($B830,Targets!$A$2:$A$9,0)),0)</f>
        <v>1590000</v>
      </c>
      <c r="Q830" s="5" t="str">
        <f t="shared" si="24"/>
        <v>Yes</v>
      </c>
      <c r="R830" s="5" t="str">
        <f t="shared" si="25"/>
        <v>Oct</v>
      </c>
    </row>
    <row r="831" spans="1:18" ht="15" customHeight="1" x14ac:dyDescent="0.3">
      <c r="A831" s="5" t="str">
        <f>Sales_Data!A828</f>
        <v>2025-10-29</v>
      </c>
      <c r="B831" s="5" t="str">
        <f>Sales_Data!B828</f>
        <v>Ahmedabad West</v>
      </c>
      <c r="C831" s="5" t="str">
        <f>Sales_Data!C828</f>
        <v>E005</v>
      </c>
      <c r="D831" s="5" t="str">
        <f>IFERROR(INDEX(Employee_Master!$B$2:$B$44,MATCH($C831,Employee_Master!$A$2:$A$44,0)),"Not Found")</f>
        <v>Dr. Sara Zimmerman MD</v>
      </c>
      <c r="E831" s="5" t="str">
        <f>IFERROR(INDEX(Employee_Master!$C$2:$C$44,MATCH($C831,Employee_Master!$A$2:$A$44,0)),"Not Found")</f>
        <v>Operations</v>
      </c>
      <c r="F831" s="5" t="str">
        <f>IFERROR(INDEX(Employee_Master!$D$2:$D$44,MATCH($C831,Employee_Master!$A$2:$A$44,0)),"Not Found")</f>
        <v>Joseph Brown</v>
      </c>
      <c r="G831" s="5" t="str">
        <f>IFERROR(INDEX(Employee_Master!$E$2:$E$44,MATCH($C831,Employee_Master!$A$2:$A$44,0)),"Not Found")</f>
        <v>West</v>
      </c>
      <c r="H831" s="5" t="str">
        <f>Sales_Data!D828</f>
        <v>P005 - LED Monitor</v>
      </c>
      <c r="I831" s="5" t="str">
        <f>IFERROR(INDEX(Product_Master!$B$2:$B$30,MATCH($H831,Product_Master!$A$2:$A$30,0)),"Invalid Product Code")</f>
        <v>Electronics</v>
      </c>
      <c r="J831" s="5">
        <f>IFERROR(INDEX(Product_Master!$C$2:$C$30,MATCH($H831,Product_Master!$A$2:$A$30,0)),0)</f>
        <v>489.9</v>
      </c>
      <c r="K831" s="5">
        <f>Sales_Data!E828</f>
        <v>8</v>
      </c>
      <c r="L831" s="5">
        <f>Sales_Data!F828</f>
        <v>5277.78</v>
      </c>
      <c r="M831" s="5">
        <f>Sales_Data!G828</f>
        <v>4500.93</v>
      </c>
      <c r="N831" s="5" t="str">
        <f>IFERROR(INDEX(Branch_Master!$B$2:$B$9,MATCH($B831,Branch_Master!$A$2:$A$9,0)),"Not Found")</f>
        <v>Ahmedabad</v>
      </c>
      <c r="O831" s="5" t="str">
        <f>IFERROR(INDEX(Branch_Master!$C$2:$C$9,MATCH($B831,Branch_Master!$A$2:$A$9,0)),"Not Found")</f>
        <v>Gujarat</v>
      </c>
      <c r="P831" s="5">
        <f>IFERROR(INDEX(Targets!$B$2:$B$9,MATCH($B831,Targets!$A$2:$A$9,0)),0)</f>
        <v>1590000</v>
      </c>
      <c r="Q831" s="5" t="str">
        <f t="shared" si="24"/>
        <v>Yes</v>
      </c>
      <c r="R831" s="5" t="str">
        <f t="shared" si="25"/>
        <v>Oct</v>
      </c>
    </row>
    <row r="832" spans="1:18" ht="15" customHeight="1" x14ac:dyDescent="0.3">
      <c r="A832" s="5" t="str">
        <f>Sales_Data!A829</f>
        <v>2025-10-29</v>
      </c>
      <c r="B832" s="5" t="str">
        <f>Sales_Data!B829</f>
        <v>Ahmedabad West</v>
      </c>
      <c r="C832" s="5" t="str">
        <f>Sales_Data!C829</f>
        <v>E001</v>
      </c>
      <c r="D832" s="5" t="str">
        <f>IFERROR(INDEX(Employee_Master!$B$2:$B$44,MATCH($C832,Employee_Master!$A$2:$A$44,0)),"Not Found")</f>
        <v>David Johnson</v>
      </c>
      <c r="E832" s="5" t="str">
        <f>IFERROR(INDEX(Employee_Master!$C$2:$C$44,MATCH($C832,Employee_Master!$A$2:$A$44,0)),"Not Found")</f>
        <v>Customer Support</v>
      </c>
      <c r="F832" s="5" t="str">
        <f>IFERROR(INDEX(Employee_Master!$D$2:$D$44,MATCH($C832,Employee_Master!$A$2:$A$44,0)),"Not Found")</f>
        <v>Joseph Brown</v>
      </c>
      <c r="G832" s="5" t="str">
        <f>IFERROR(INDEX(Employee_Master!$E$2:$E$44,MATCH($C832,Employee_Master!$A$2:$A$44,0)),"Not Found")</f>
        <v>West</v>
      </c>
      <c r="H832" s="5" t="str">
        <f>Sales_Data!D829</f>
        <v>P016 - Dinner Set</v>
      </c>
      <c r="I832" s="5" t="str">
        <f>IFERROR(INDEX(Product_Master!$B$2:$B$30,MATCH($H832,Product_Master!$A$2:$A$30,0)),"Invalid Product Code")</f>
        <v>Home &amp; Kitchen</v>
      </c>
      <c r="J832" s="5">
        <f>IFERROR(INDEX(Product_Master!$C$2:$C$30,MATCH($H832,Product_Master!$A$2:$A$30,0)),0)</f>
        <v>225.06</v>
      </c>
      <c r="K832" s="5">
        <f>Sales_Data!E829</f>
        <v>3</v>
      </c>
      <c r="L832" s="5">
        <f>Sales_Data!F829</f>
        <v>949.06</v>
      </c>
      <c r="M832" s="5">
        <f>Sales_Data!G829</f>
        <v>716.88</v>
      </c>
      <c r="N832" s="5" t="str">
        <f>IFERROR(INDEX(Branch_Master!$B$2:$B$9,MATCH($B832,Branch_Master!$A$2:$A$9,0)),"Not Found")</f>
        <v>Ahmedabad</v>
      </c>
      <c r="O832" s="5" t="str">
        <f>IFERROR(INDEX(Branch_Master!$C$2:$C$9,MATCH($B832,Branch_Master!$A$2:$A$9,0)),"Not Found")</f>
        <v>Gujarat</v>
      </c>
      <c r="P832" s="5">
        <f>IFERROR(INDEX(Targets!$B$2:$B$9,MATCH($B832,Targets!$A$2:$A$9,0)),0)</f>
        <v>1590000</v>
      </c>
      <c r="Q832" s="5" t="str">
        <f t="shared" si="24"/>
        <v>Yes</v>
      </c>
      <c r="R832" s="5" t="str">
        <f t="shared" si="25"/>
        <v>Oct</v>
      </c>
    </row>
    <row r="833" spans="1:18" ht="15" customHeight="1" x14ac:dyDescent="0.3">
      <c r="A833" s="5" t="str">
        <f>Sales_Data!A830</f>
        <v>2025-10-30</v>
      </c>
      <c r="B833" s="5" t="str">
        <f>Sales_Data!B830</f>
        <v>Hyderabad Hitech</v>
      </c>
      <c r="C833" s="5" t="str">
        <f>Sales_Data!C830</f>
        <v>E035</v>
      </c>
      <c r="D833" s="5" t="str">
        <f>IFERROR(INDEX(Employee_Master!$B$2:$B$44,MATCH($C833,Employee_Master!$A$2:$A$44,0)),"Not Found")</f>
        <v>Andrea Perez</v>
      </c>
      <c r="E833" s="5" t="str">
        <f>IFERROR(INDEX(Employee_Master!$C$2:$C$44,MATCH($C833,Employee_Master!$A$2:$A$44,0)),"Not Found")</f>
        <v>Sales</v>
      </c>
      <c r="F833" s="5" t="str">
        <f>IFERROR(INDEX(Employee_Master!$D$2:$D$44,MATCH($C833,Employee_Master!$A$2:$A$44,0)),"Not Found")</f>
        <v>Anna Turner</v>
      </c>
      <c r="G833" s="5" t="str">
        <f>IFERROR(INDEX(Employee_Master!$E$2:$E$44,MATCH($C833,Employee_Master!$A$2:$A$44,0)),"Not Found")</f>
        <v>South</v>
      </c>
      <c r="H833" s="5" t="str">
        <f>Sales_Data!D830</f>
        <v>P009 - Formal Shirt</v>
      </c>
      <c r="I833" s="5" t="str">
        <f>IFERROR(INDEX(Product_Master!$B$2:$B$30,MATCH($H833,Product_Master!$A$2:$A$30,0)),"Invalid Product Code")</f>
        <v>Apparel</v>
      </c>
      <c r="J833" s="5">
        <f>IFERROR(INDEX(Product_Master!$C$2:$C$30,MATCH($H833,Product_Master!$A$2:$A$30,0)),0)</f>
        <v>661.65</v>
      </c>
      <c r="K833" s="5">
        <f>Sales_Data!E830</f>
        <v>4</v>
      </c>
      <c r="L833" s="5">
        <f>Sales_Data!F830</f>
        <v>3227.14</v>
      </c>
      <c r="M833" s="5">
        <f>Sales_Data!G830</f>
        <v>2447.2800000000002</v>
      </c>
      <c r="N833" s="5" t="str">
        <f>IFERROR(INDEX(Branch_Master!$B$2:$B$9,MATCH($B833,Branch_Master!$A$2:$A$9,0)),"Not Found")</f>
        <v>Hyderabad</v>
      </c>
      <c r="O833" s="5" t="str">
        <f>IFERROR(INDEX(Branch_Master!$C$2:$C$9,MATCH($B833,Branch_Master!$A$2:$A$9,0)),"Not Found")</f>
        <v>Telangana</v>
      </c>
      <c r="P833" s="5">
        <f>IFERROR(INDEX(Targets!$B$2:$B$9,MATCH($B833,Targets!$A$2:$A$9,0)),0)</f>
        <v>1210000</v>
      </c>
      <c r="Q833" s="5" t="str">
        <f t="shared" si="24"/>
        <v>Yes</v>
      </c>
      <c r="R833" s="5" t="str">
        <f t="shared" si="25"/>
        <v>Oct</v>
      </c>
    </row>
    <row r="834" spans="1:18" ht="15" customHeight="1" x14ac:dyDescent="0.3">
      <c r="A834" s="5" t="str">
        <f>Sales_Data!A831</f>
        <v>2025-10-30</v>
      </c>
      <c r="B834" s="5" t="str">
        <f>Sales_Data!B831</f>
        <v>Pune East</v>
      </c>
      <c r="C834" s="5" t="str">
        <f>Sales_Data!C831</f>
        <v>E023</v>
      </c>
      <c r="D834" s="5" t="str">
        <f>IFERROR(INDEX(Employee_Master!$B$2:$B$44,MATCH($C834,Employee_Master!$A$2:$A$44,0)),"Not Found")</f>
        <v>Edward Jones</v>
      </c>
      <c r="E834" s="5" t="str">
        <f>IFERROR(INDEX(Employee_Master!$C$2:$C$44,MATCH($C834,Employee_Master!$A$2:$A$44,0)),"Not Found")</f>
        <v>Operations</v>
      </c>
      <c r="F834" s="5" t="str">
        <f>IFERROR(INDEX(Employee_Master!$D$2:$D$44,MATCH($C834,Employee_Master!$A$2:$A$44,0)),"Not Found")</f>
        <v>Jordan Matthews</v>
      </c>
      <c r="G834" s="5" t="str">
        <f>IFERROR(INDEX(Employee_Master!$E$2:$E$44,MATCH($C834,Employee_Master!$A$2:$A$44,0)),"Not Found")</f>
        <v>West</v>
      </c>
      <c r="H834" s="5" t="str">
        <f>Sales_Data!D831</f>
        <v>P018 - Cooking Oil 1L</v>
      </c>
      <c r="I834" s="5" t="str">
        <f>IFERROR(INDEX(Product_Master!$B$2:$B$30,MATCH($H834,Product_Master!$A$2:$A$30,0)),"Invalid Product Code")</f>
        <v>Grocery</v>
      </c>
      <c r="J834" s="5">
        <f>IFERROR(INDEX(Product_Master!$C$2:$C$30,MATCH($H834,Product_Master!$A$2:$A$30,0)),0)</f>
        <v>1483.63</v>
      </c>
      <c r="K834" s="5">
        <f>Sales_Data!E831</f>
        <v>10</v>
      </c>
      <c r="L834" s="5">
        <f>Sales_Data!F831</f>
        <v>18799.23</v>
      </c>
      <c r="M834" s="5">
        <f>Sales_Data!G831</f>
        <v>13732.7</v>
      </c>
      <c r="N834" s="5" t="str">
        <f>IFERROR(INDEX(Branch_Master!$B$2:$B$9,MATCH($B834,Branch_Master!$A$2:$A$9,0)),"Not Found")</f>
        <v>Pune</v>
      </c>
      <c r="O834" s="5" t="str">
        <f>IFERROR(INDEX(Branch_Master!$C$2:$C$9,MATCH($B834,Branch_Master!$A$2:$A$9,0)),"Not Found")</f>
        <v>Maharashtra</v>
      </c>
      <c r="P834" s="5">
        <f>IFERROR(INDEX(Targets!$B$2:$B$9,MATCH($B834,Targets!$A$2:$A$9,0)),0)</f>
        <v>1250000</v>
      </c>
      <c r="Q834" s="5" t="str">
        <f t="shared" si="24"/>
        <v>Yes</v>
      </c>
      <c r="R834" s="5" t="str">
        <f t="shared" si="25"/>
        <v>Oct</v>
      </c>
    </row>
    <row r="835" spans="1:18" ht="15" customHeight="1" x14ac:dyDescent="0.3">
      <c r="A835" s="5" t="str">
        <f>Sales_Data!A832</f>
        <v>2025-10-30</v>
      </c>
      <c r="B835" s="5" t="str">
        <f>Sales_Data!B832</f>
        <v>Pune East</v>
      </c>
      <c r="C835" s="5" t="str">
        <f>Sales_Data!C832</f>
        <v>E034</v>
      </c>
      <c r="D835" s="5" t="str">
        <f>IFERROR(INDEX(Employee_Master!$B$2:$B$44,MATCH($C835,Employee_Master!$A$2:$A$44,0)),"Not Found")</f>
        <v>Elaine Thompson</v>
      </c>
      <c r="E835" s="5" t="str">
        <f>IFERROR(INDEX(Employee_Master!$C$2:$C$44,MATCH($C835,Employee_Master!$A$2:$A$44,0)),"Not Found")</f>
        <v>Marketing</v>
      </c>
      <c r="F835" s="5" t="str">
        <f>IFERROR(INDEX(Employee_Master!$D$2:$D$44,MATCH($C835,Employee_Master!$A$2:$A$44,0)),"Not Found")</f>
        <v>Jordan Matthews</v>
      </c>
      <c r="G835" s="5" t="str">
        <f>IFERROR(INDEX(Employee_Master!$E$2:$E$44,MATCH($C835,Employee_Master!$A$2:$A$44,0)),"Not Found")</f>
        <v>West</v>
      </c>
      <c r="H835" s="5" t="str">
        <f>Sales_Data!D832</f>
        <v>P022 - Face Wash</v>
      </c>
      <c r="I835" s="5" t="str">
        <f>IFERROR(INDEX(Product_Master!$B$2:$B$30,MATCH($H835,Product_Master!$A$2:$A$30,0)),"Invalid Product Code")</f>
        <v>Beauty</v>
      </c>
      <c r="J835" s="5">
        <f>IFERROR(INDEX(Product_Master!$C$2:$C$30,MATCH($H835,Product_Master!$A$2:$A$30,0)),0)</f>
        <v>396.75</v>
      </c>
      <c r="K835" s="5">
        <f>Sales_Data!E832</f>
        <v>2</v>
      </c>
      <c r="L835" s="5">
        <f>Sales_Data!F832</f>
        <v>1021.88</v>
      </c>
      <c r="M835" s="5">
        <f>Sales_Data!G832</f>
        <v>724.28</v>
      </c>
      <c r="N835" s="5" t="str">
        <f>IFERROR(INDEX(Branch_Master!$B$2:$B$9,MATCH($B835,Branch_Master!$A$2:$A$9,0)),"Not Found")</f>
        <v>Pune</v>
      </c>
      <c r="O835" s="5" t="str">
        <f>IFERROR(INDEX(Branch_Master!$C$2:$C$9,MATCH($B835,Branch_Master!$A$2:$A$9,0)),"Not Found")</f>
        <v>Maharashtra</v>
      </c>
      <c r="P835" s="5">
        <f>IFERROR(INDEX(Targets!$B$2:$B$9,MATCH($B835,Targets!$A$2:$A$9,0)),0)</f>
        <v>1250000</v>
      </c>
      <c r="Q835" s="5" t="str">
        <f t="shared" si="24"/>
        <v>Yes</v>
      </c>
      <c r="R835" s="5" t="str">
        <f t="shared" si="25"/>
        <v>Oct</v>
      </c>
    </row>
    <row r="836" spans="1:18" ht="15" customHeight="1" x14ac:dyDescent="0.3">
      <c r="A836" s="5" t="str">
        <f>Sales_Data!A833</f>
        <v>2025-10-31</v>
      </c>
      <c r="B836" s="5" t="str">
        <f>Sales_Data!B833</f>
        <v>Mumbai Central</v>
      </c>
      <c r="C836" s="5" t="str">
        <f>Sales_Data!C833</f>
        <v>E036</v>
      </c>
      <c r="D836" s="5" t="str">
        <f>IFERROR(INDEX(Employee_Master!$B$2:$B$44,MATCH($C836,Employee_Master!$A$2:$A$44,0)),"Not Found")</f>
        <v>Sarah Mendez</v>
      </c>
      <c r="E836" s="5" t="str">
        <f>IFERROR(INDEX(Employee_Master!$C$2:$C$44,MATCH($C836,Employee_Master!$A$2:$A$44,0)),"Not Found")</f>
        <v>Sales</v>
      </c>
      <c r="F836" s="5" t="str">
        <f>IFERROR(INDEX(Employee_Master!$D$2:$D$44,MATCH($C836,Employee_Master!$A$2:$A$44,0)),"Not Found")</f>
        <v>Justin Glass</v>
      </c>
      <c r="G836" s="5" t="str">
        <f>IFERROR(INDEX(Employee_Master!$E$2:$E$44,MATCH($C836,Employee_Master!$A$2:$A$44,0)),"Not Found")</f>
        <v>West</v>
      </c>
      <c r="H836" s="5" t="str">
        <f>Sales_Data!D833</f>
        <v>P002 - Smart Watch</v>
      </c>
      <c r="I836" s="5" t="str">
        <f>IFERROR(INDEX(Product_Master!$B$2:$B$30,MATCH($H836,Product_Master!$A$2:$A$30,0)),"Invalid Product Code")</f>
        <v>Electronics</v>
      </c>
      <c r="J836" s="5">
        <f>IFERROR(INDEX(Product_Master!$C$2:$C$30,MATCH($H836,Product_Master!$A$2:$A$30,0)),0)</f>
        <v>403.33</v>
      </c>
      <c r="K836" s="5">
        <f>Sales_Data!E833</f>
        <v>6</v>
      </c>
      <c r="L836" s="5">
        <f>Sales_Data!F833</f>
        <v>2926.97</v>
      </c>
      <c r="M836" s="5">
        <f>Sales_Data!G833</f>
        <v>2397.2399999999998</v>
      </c>
      <c r="N836" s="5" t="str">
        <f>IFERROR(INDEX(Branch_Master!$B$2:$B$9,MATCH($B836,Branch_Master!$A$2:$A$9,0)),"Not Found")</f>
        <v>Mumbai</v>
      </c>
      <c r="O836" s="5" t="str">
        <f>IFERROR(INDEX(Branch_Master!$C$2:$C$9,MATCH($B836,Branch_Master!$A$2:$A$9,0)),"Not Found")</f>
        <v>Maharashtra</v>
      </c>
      <c r="P836" s="5">
        <f>IFERROR(INDEX(Targets!$B$2:$B$9,MATCH($B836,Targets!$A$2:$A$9,0)),0)</f>
        <v>900000</v>
      </c>
      <c r="Q836" s="5" t="str">
        <f t="shared" si="24"/>
        <v>Yes</v>
      </c>
      <c r="R836" s="5" t="str">
        <f t="shared" si="25"/>
        <v>Oct</v>
      </c>
    </row>
    <row r="837" spans="1:18" ht="15" customHeight="1" x14ac:dyDescent="0.3">
      <c r="A837" s="5" t="str">
        <f>Sales_Data!A834</f>
        <v>2025-10-31</v>
      </c>
      <c r="B837" s="5" t="str">
        <f>Sales_Data!B834</f>
        <v>Pune East</v>
      </c>
      <c r="C837" s="5" t="str">
        <f>Sales_Data!C834</f>
        <v>E022</v>
      </c>
      <c r="D837" s="5" t="str">
        <f>IFERROR(INDEX(Employee_Master!$B$2:$B$44,MATCH($C837,Employee_Master!$A$2:$A$44,0)),"Not Found")</f>
        <v>Cindy Green PhD</v>
      </c>
      <c r="E837" s="5" t="str">
        <f>IFERROR(INDEX(Employee_Master!$C$2:$C$44,MATCH($C837,Employee_Master!$A$2:$A$44,0)),"Not Found")</f>
        <v>Customer Support</v>
      </c>
      <c r="F837" s="5" t="str">
        <f>IFERROR(INDEX(Employee_Master!$D$2:$D$44,MATCH($C837,Employee_Master!$A$2:$A$44,0)),"Not Found")</f>
        <v>Jordan Matthews</v>
      </c>
      <c r="G837" s="5" t="str">
        <f>IFERROR(INDEX(Employee_Master!$E$2:$E$44,MATCH($C837,Employee_Master!$A$2:$A$44,0)),"Not Found")</f>
        <v>West</v>
      </c>
      <c r="H837" s="5" t="str">
        <f>Sales_Data!D834</f>
        <v>P004 - Power Bank</v>
      </c>
      <c r="I837" s="5" t="str">
        <f>IFERROR(INDEX(Product_Master!$B$2:$B$30,MATCH($H837,Product_Master!$A$2:$A$30,0)),"Invalid Product Code")</f>
        <v>Electronics</v>
      </c>
      <c r="J837" s="5">
        <f>IFERROR(INDEX(Product_Master!$C$2:$C$30,MATCH($H837,Product_Master!$A$2:$A$30,0)),0)</f>
        <v>76.91</v>
      </c>
      <c r="K837" s="5">
        <f>Sales_Data!E834</f>
        <v>8</v>
      </c>
      <c r="L837" s="5">
        <f>Sales_Data!F834</f>
        <v>758.65</v>
      </c>
      <c r="M837" s="5">
        <f>Sales_Data!G834</f>
        <v>684.14</v>
      </c>
      <c r="N837" s="5" t="str">
        <f>IFERROR(INDEX(Branch_Master!$B$2:$B$9,MATCH($B837,Branch_Master!$A$2:$A$9,0)),"Not Found")</f>
        <v>Pune</v>
      </c>
      <c r="O837" s="5" t="str">
        <f>IFERROR(INDEX(Branch_Master!$C$2:$C$9,MATCH($B837,Branch_Master!$A$2:$A$9,0)),"Not Found")</f>
        <v>Maharashtra</v>
      </c>
      <c r="P837" s="5">
        <f>IFERROR(INDEX(Targets!$B$2:$B$9,MATCH($B837,Targets!$A$2:$A$9,0)),0)</f>
        <v>1250000</v>
      </c>
      <c r="Q837" s="5" t="str">
        <f t="shared" ref="Q837:Q900" si="26">IF(L837&gt;=M837,"Yes","No")</f>
        <v>Yes</v>
      </c>
      <c r="R837" s="5" t="str">
        <f t="shared" ref="R837:R900" si="27">TEXT(A837,"MMM")</f>
        <v>Oct</v>
      </c>
    </row>
    <row r="838" spans="1:18" ht="15" customHeight="1" x14ac:dyDescent="0.3">
      <c r="A838" s="5" t="str">
        <f>Sales_Data!A835</f>
        <v>2025-10-31</v>
      </c>
      <c r="B838" s="5" t="str">
        <f>Sales_Data!B835</f>
        <v>Ahmedabad West</v>
      </c>
      <c r="C838" s="5" t="str">
        <f>Sales_Data!C835</f>
        <v>E001</v>
      </c>
      <c r="D838" s="5" t="str">
        <f>IFERROR(INDEX(Employee_Master!$B$2:$B$44,MATCH($C838,Employee_Master!$A$2:$A$44,0)),"Not Found")</f>
        <v>David Johnson</v>
      </c>
      <c r="E838" s="5" t="str">
        <f>IFERROR(INDEX(Employee_Master!$C$2:$C$44,MATCH($C838,Employee_Master!$A$2:$A$44,0)),"Not Found")</f>
        <v>Customer Support</v>
      </c>
      <c r="F838" s="5" t="str">
        <f>IFERROR(INDEX(Employee_Master!$D$2:$D$44,MATCH($C838,Employee_Master!$A$2:$A$44,0)),"Not Found")</f>
        <v>Joseph Brown</v>
      </c>
      <c r="G838" s="5" t="str">
        <f>IFERROR(INDEX(Employee_Master!$E$2:$E$44,MATCH($C838,Employee_Master!$A$2:$A$44,0)),"Not Found")</f>
        <v>West</v>
      </c>
      <c r="H838" s="5" t="str">
        <f>Sales_Data!D835</f>
        <v>P001 - Wireless Earbuds</v>
      </c>
      <c r="I838" s="5" t="str">
        <f>IFERROR(INDEX(Product_Master!$B$2:$B$30,MATCH($H838,Product_Master!$A$2:$A$30,0)),"Invalid Product Code")</f>
        <v>Electronics</v>
      </c>
      <c r="J838" s="5">
        <f>IFERROR(INDEX(Product_Master!$C$2:$C$30,MATCH($H838,Product_Master!$A$2:$A$30,0)),0)</f>
        <v>1676.76</v>
      </c>
      <c r="K838" s="5">
        <f>Sales_Data!E835</f>
        <v>6</v>
      </c>
      <c r="L838" s="5">
        <f>Sales_Data!F835</f>
        <v>13252.98</v>
      </c>
      <c r="M838" s="5">
        <f>Sales_Data!G835</f>
        <v>9758.66</v>
      </c>
      <c r="N838" s="5" t="str">
        <f>IFERROR(INDEX(Branch_Master!$B$2:$B$9,MATCH($B838,Branch_Master!$A$2:$A$9,0)),"Not Found")</f>
        <v>Ahmedabad</v>
      </c>
      <c r="O838" s="5" t="str">
        <f>IFERROR(INDEX(Branch_Master!$C$2:$C$9,MATCH($B838,Branch_Master!$A$2:$A$9,0)),"Not Found")</f>
        <v>Gujarat</v>
      </c>
      <c r="P838" s="5">
        <f>IFERROR(INDEX(Targets!$B$2:$B$9,MATCH($B838,Targets!$A$2:$A$9,0)),0)</f>
        <v>1590000</v>
      </c>
      <c r="Q838" s="5" t="str">
        <f t="shared" si="26"/>
        <v>Yes</v>
      </c>
      <c r="R838" s="5" t="str">
        <f t="shared" si="27"/>
        <v>Oct</v>
      </c>
    </row>
    <row r="839" spans="1:18" ht="15" customHeight="1" x14ac:dyDescent="0.3">
      <c r="A839" s="5" t="str">
        <f>Sales_Data!A836</f>
        <v>2025-10-31</v>
      </c>
      <c r="B839" s="5" t="str">
        <f>Sales_Data!B836</f>
        <v>Chennai South</v>
      </c>
      <c r="C839" s="5" t="str">
        <f>Sales_Data!C836</f>
        <v>E015</v>
      </c>
      <c r="D839" s="5" t="str">
        <f>IFERROR(INDEX(Employee_Master!$B$2:$B$44,MATCH($C839,Employee_Master!$A$2:$A$44,0)),"Not Found")</f>
        <v>Cassandra Hansen</v>
      </c>
      <c r="E839" s="5" t="str">
        <f>IFERROR(INDEX(Employee_Master!$C$2:$C$44,MATCH($C839,Employee_Master!$A$2:$A$44,0)),"Not Found")</f>
        <v>Customer Support</v>
      </c>
      <c r="F839" s="5" t="str">
        <f>IFERROR(INDEX(Employee_Master!$D$2:$D$44,MATCH($C839,Employee_Master!$A$2:$A$44,0)),"Not Found")</f>
        <v>Robert Steele</v>
      </c>
      <c r="G839" s="5" t="str">
        <f>IFERROR(INDEX(Employee_Master!$E$2:$E$44,MATCH($C839,Employee_Master!$A$2:$A$44,0)),"Not Found")</f>
        <v>South</v>
      </c>
      <c r="H839" s="5" t="str">
        <f>Sales_Data!D836</f>
        <v>P007 - Cotton T-Shirt</v>
      </c>
      <c r="I839" s="5" t="str">
        <f>IFERROR(INDEX(Product_Master!$B$2:$B$30,MATCH($H839,Product_Master!$A$2:$A$30,0)),"Invalid Product Code")</f>
        <v>Apparel</v>
      </c>
      <c r="J839" s="5">
        <f>IFERROR(INDEX(Product_Master!$C$2:$C$30,MATCH($H839,Product_Master!$A$2:$A$30,0)),0)</f>
        <v>338.44</v>
      </c>
      <c r="K839" s="5">
        <f>Sales_Data!E836</f>
        <v>3</v>
      </c>
      <c r="L839" s="5">
        <f>Sales_Data!F836</f>
        <v>1292.01</v>
      </c>
      <c r="M839" s="5">
        <f>Sales_Data!G836</f>
        <v>1123.26</v>
      </c>
      <c r="N839" s="5" t="str">
        <f>IFERROR(INDEX(Branch_Master!$B$2:$B$9,MATCH($B839,Branch_Master!$A$2:$A$9,0)),"Not Found")</f>
        <v>Chennai</v>
      </c>
      <c r="O839" s="5" t="str">
        <f>IFERROR(INDEX(Branch_Master!$C$2:$C$9,MATCH($B839,Branch_Master!$A$2:$A$9,0)),"Not Found")</f>
        <v>Tamil Nadu</v>
      </c>
      <c r="P839" s="5">
        <f>IFERROR(INDEX(Targets!$B$2:$B$9,MATCH($B839,Targets!$A$2:$A$9,0)),0)</f>
        <v>1910000</v>
      </c>
      <c r="Q839" s="5" t="str">
        <f t="shared" si="26"/>
        <v>Yes</v>
      </c>
      <c r="R839" s="5" t="str">
        <f t="shared" si="27"/>
        <v>Oct</v>
      </c>
    </row>
    <row r="840" spans="1:18" ht="15" customHeight="1" x14ac:dyDescent="0.3">
      <c r="A840" s="5" t="str">
        <f>Sales_Data!A837</f>
        <v>2025-10-31</v>
      </c>
      <c r="B840" s="5" t="str">
        <f>Sales_Data!B837</f>
        <v>Pune East</v>
      </c>
      <c r="C840" s="5" t="str">
        <f>Sales_Data!C837</f>
        <v>E023</v>
      </c>
      <c r="D840" s="5" t="str">
        <f>IFERROR(INDEX(Employee_Master!$B$2:$B$44,MATCH($C840,Employee_Master!$A$2:$A$44,0)),"Not Found")</f>
        <v>Edward Jones</v>
      </c>
      <c r="E840" s="5" t="str">
        <f>IFERROR(INDEX(Employee_Master!$C$2:$C$44,MATCH($C840,Employee_Master!$A$2:$A$44,0)),"Not Found")</f>
        <v>Operations</v>
      </c>
      <c r="F840" s="5" t="str">
        <f>IFERROR(INDEX(Employee_Master!$D$2:$D$44,MATCH($C840,Employee_Master!$A$2:$A$44,0)),"Not Found")</f>
        <v>Jordan Matthews</v>
      </c>
      <c r="G840" s="5" t="str">
        <f>IFERROR(INDEX(Employee_Master!$E$2:$E$44,MATCH($C840,Employee_Master!$A$2:$A$44,0)),"Not Found")</f>
        <v>West</v>
      </c>
      <c r="H840" s="5" t="str">
        <f>Sales_Data!D837</f>
        <v>P027 - Cricket Bat</v>
      </c>
      <c r="I840" s="5" t="str">
        <f>IFERROR(INDEX(Product_Master!$B$2:$B$30,MATCH($H840,Product_Master!$A$2:$A$30,0)),"Invalid Product Code")</f>
        <v>Sports</v>
      </c>
      <c r="J840" s="5">
        <f>IFERROR(INDEX(Product_Master!$C$2:$C$30,MATCH($H840,Product_Master!$A$2:$A$30,0)),0)</f>
        <v>822.7</v>
      </c>
      <c r="K840" s="5">
        <f>Sales_Data!E837</f>
        <v>1</v>
      </c>
      <c r="L840" s="5">
        <f>Sales_Data!F837</f>
        <v>973.69</v>
      </c>
      <c r="M840" s="5">
        <f>Sales_Data!G837</f>
        <v>707.42</v>
      </c>
      <c r="N840" s="5" t="str">
        <f>IFERROR(INDEX(Branch_Master!$B$2:$B$9,MATCH($B840,Branch_Master!$A$2:$A$9,0)),"Not Found")</f>
        <v>Pune</v>
      </c>
      <c r="O840" s="5" t="str">
        <f>IFERROR(INDEX(Branch_Master!$C$2:$C$9,MATCH($B840,Branch_Master!$A$2:$A$9,0)),"Not Found")</f>
        <v>Maharashtra</v>
      </c>
      <c r="P840" s="5">
        <f>IFERROR(INDEX(Targets!$B$2:$B$9,MATCH($B840,Targets!$A$2:$A$9,0)),0)</f>
        <v>1250000</v>
      </c>
      <c r="Q840" s="5" t="str">
        <f t="shared" si="26"/>
        <v>Yes</v>
      </c>
      <c r="R840" s="5" t="str">
        <f t="shared" si="27"/>
        <v>Oct</v>
      </c>
    </row>
    <row r="841" spans="1:18" ht="15" customHeight="1" x14ac:dyDescent="0.3">
      <c r="A841" s="5" t="str">
        <f>Sales_Data!A838</f>
        <v>2025-11-01</v>
      </c>
      <c r="B841" s="5" t="str">
        <f>Sales_Data!B838</f>
        <v>Ahmedabad West</v>
      </c>
      <c r="C841" s="5" t="str">
        <f>Sales_Data!C838</f>
        <v>E001</v>
      </c>
      <c r="D841" s="5" t="str">
        <f>IFERROR(INDEX(Employee_Master!$B$2:$B$44,MATCH($C841,Employee_Master!$A$2:$A$44,0)),"Not Found")</f>
        <v>David Johnson</v>
      </c>
      <c r="E841" s="5" t="str">
        <f>IFERROR(INDEX(Employee_Master!$C$2:$C$44,MATCH($C841,Employee_Master!$A$2:$A$44,0)),"Not Found")</f>
        <v>Customer Support</v>
      </c>
      <c r="F841" s="5" t="str">
        <f>IFERROR(INDEX(Employee_Master!$D$2:$D$44,MATCH($C841,Employee_Master!$A$2:$A$44,0)),"Not Found")</f>
        <v>Joseph Brown</v>
      </c>
      <c r="G841" s="5" t="str">
        <f>IFERROR(INDEX(Employee_Master!$E$2:$E$44,MATCH($C841,Employee_Master!$A$2:$A$44,0)),"Not Found")</f>
        <v>West</v>
      </c>
      <c r="H841" s="5" t="str">
        <f>Sales_Data!D838</f>
        <v>P024 - Hair Serum</v>
      </c>
      <c r="I841" s="5" t="str">
        <f>IFERROR(INDEX(Product_Master!$B$2:$B$30,MATCH($H841,Product_Master!$A$2:$A$30,0)),"Invalid Product Code")</f>
        <v>Beauty</v>
      </c>
      <c r="J841" s="5">
        <f>IFERROR(INDEX(Product_Master!$C$2:$C$30,MATCH($H841,Product_Master!$A$2:$A$30,0)),0)</f>
        <v>1457.31</v>
      </c>
      <c r="K841" s="5">
        <f>Sales_Data!E838</f>
        <v>6</v>
      </c>
      <c r="L841" s="5">
        <f>Sales_Data!F838</f>
        <v>10584.94</v>
      </c>
      <c r="M841" s="5">
        <f>Sales_Data!G838</f>
        <v>9083.77</v>
      </c>
      <c r="N841" s="5" t="str">
        <f>IFERROR(INDEX(Branch_Master!$B$2:$B$9,MATCH($B841,Branch_Master!$A$2:$A$9,0)),"Not Found")</f>
        <v>Ahmedabad</v>
      </c>
      <c r="O841" s="5" t="str">
        <f>IFERROR(INDEX(Branch_Master!$C$2:$C$9,MATCH($B841,Branch_Master!$A$2:$A$9,0)),"Not Found")</f>
        <v>Gujarat</v>
      </c>
      <c r="P841" s="5">
        <f>IFERROR(INDEX(Targets!$B$2:$B$9,MATCH($B841,Targets!$A$2:$A$9,0)),0)</f>
        <v>1590000</v>
      </c>
      <c r="Q841" s="5" t="str">
        <f t="shared" si="26"/>
        <v>Yes</v>
      </c>
      <c r="R841" s="5" t="str">
        <f t="shared" si="27"/>
        <v>Nov</v>
      </c>
    </row>
    <row r="842" spans="1:18" ht="15" customHeight="1" x14ac:dyDescent="0.3">
      <c r="A842" s="5" t="str">
        <f>Sales_Data!A839</f>
        <v>2025-11-02</v>
      </c>
      <c r="B842" s="5" t="str">
        <f>Sales_Data!B839</f>
        <v>Delhi NCR</v>
      </c>
      <c r="C842" s="5" t="str">
        <f>Sales_Data!C839</f>
        <v>E031</v>
      </c>
      <c r="D842" s="5" t="str">
        <f>IFERROR(INDEX(Employee_Master!$B$2:$B$44,MATCH($C842,Employee_Master!$A$2:$A$44,0)),"Not Found")</f>
        <v>Jennifer Garcia</v>
      </c>
      <c r="E842" s="5" t="str">
        <f>IFERROR(INDEX(Employee_Master!$C$2:$C$44,MATCH($C842,Employee_Master!$A$2:$A$44,0)),"Not Found")</f>
        <v>Sales</v>
      </c>
      <c r="F842" s="5" t="str">
        <f>IFERROR(INDEX(Employee_Master!$D$2:$D$44,MATCH($C842,Employee_Master!$A$2:$A$44,0)),"Not Found")</f>
        <v>William Oconnell</v>
      </c>
      <c r="G842" s="5" t="str">
        <f>IFERROR(INDEX(Employee_Master!$E$2:$E$44,MATCH($C842,Employee_Master!$A$2:$A$44,0)),"Not Found")</f>
        <v>North</v>
      </c>
      <c r="H842" s="5" t="str">
        <f>Sales_Data!D839</f>
        <v>P018 - Cooking Oil 1L</v>
      </c>
      <c r="I842" s="5" t="str">
        <f>IFERROR(INDEX(Product_Master!$B$2:$B$30,MATCH($H842,Product_Master!$A$2:$A$30,0)),"Invalid Product Code")</f>
        <v>Grocery</v>
      </c>
      <c r="J842" s="5">
        <f>IFERROR(INDEX(Product_Master!$C$2:$C$30,MATCH($H842,Product_Master!$A$2:$A$30,0)),0)</f>
        <v>1483.63</v>
      </c>
      <c r="K842" s="5">
        <f>Sales_Data!E839</f>
        <v>12</v>
      </c>
      <c r="L842" s="5">
        <f>Sales_Data!F839</f>
        <v>24654.38</v>
      </c>
      <c r="M842" s="5">
        <f>Sales_Data!G839</f>
        <v>16115.07</v>
      </c>
      <c r="N842" s="5" t="str">
        <f>IFERROR(INDEX(Branch_Master!$B$2:$B$9,MATCH($B842,Branch_Master!$A$2:$A$9,0)),"Not Found")</f>
        <v>New Delhi</v>
      </c>
      <c r="O842" s="5" t="str">
        <f>IFERROR(INDEX(Branch_Master!$C$2:$C$9,MATCH($B842,Branch_Master!$A$2:$A$9,0)),"Not Found")</f>
        <v>Delhi</v>
      </c>
      <c r="P842" s="5">
        <f>IFERROR(INDEX(Targets!$B$2:$B$9,MATCH($B842,Targets!$A$2:$A$9,0)),0)</f>
        <v>2070000</v>
      </c>
      <c r="Q842" s="5" t="str">
        <f t="shared" si="26"/>
        <v>Yes</v>
      </c>
      <c r="R842" s="5" t="str">
        <f t="shared" si="27"/>
        <v>Nov</v>
      </c>
    </row>
    <row r="843" spans="1:18" ht="15" customHeight="1" x14ac:dyDescent="0.3">
      <c r="A843" s="5" t="str">
        <f>Sales_Data!A840</f>
        <v>2025-11-02</v>
      </c>
      <c r="B843" s="5" t="str">
        <f>Sales_Data!B840</f>
        <v>Bangalore North</v>
      </c>
      <c r="C843" s="5" t="str">
        <f>Sales_Data!C840</f>
        <v>E040</v>
      </c>
      <c r="D843" s="5" t="str">
        <f>IFERROR(INDEX(Employee_Master!$B$2:$B$44,MATCH($C843,Employee_Master!$A$2:$A$44,0)),"Not Found")</f>
        <v>Bonnie Cox</v>
      </c>
      <c r="E843" s="5" t="str">
        <f>IFERROR(INDEX(Employee_Master!$C$2:$C$44,MATCH($C843,Employee_Master!$A$2:$A$44,0)),"Not Found")</f>
        <v>Customer Support</v>
      </c>
      <c r="F843" s="5" t="str">
        <f>IFERROR(INDEX(Employee_Master!$D$2:$D$44,MATCH($C843,Employee_Master!$A$2:$A$44,0)),"Not Found")</f>
        <v>Jose Soto</v>
      </c>
      <c r="G843" s="5" t="str">
        <f>IFERROR(INDEX(Employee_Master!$E$2:$E$44,MATCH($C843,Employee_Master!$A$2:$A$44,0)),"Not Found")</f>
        <v>South</v>
      </c>
      <c r="H843" s="5" t="str">
        <f>Sales_Data!D840</f>
        <v>P010 - Running Shoes</v>
      </c>
      <c r="I843" s="5" t="str">
        <f>IFERROR(INDEX(Product_Master!$B$2:$B$30,MATCH($H843,Product_Master!$A$2:$A$30,0)),"Invalid Product Code")</f>
        <v>Apparel</v>
      </c>
      <c r="J843" s="5">
        <f>IFERROR(INDEX(Product_Master!$C$2:$C$30,MATCH($H843,Product_Master!$A$2:$A$30,0)),0)</f>
        <v>233.71</v>
      </c>
      <c r="K843" s="5">
        <f>Sales_Data!E840</f>
        <v>8</v>
      </c>
      <c r="L843" s="5">
        <f>Sales_Data!F840</f>
        <v>2257.48</v>
      </c>
      <c r="M843" s="5">
        <f>Sales_Data!G840</f>
        <v>1864.74</v>
      </c>
      <c r="N843" s="5" t="str">
        <f>IFERROR(INDEX(Branch_Master!$B$2:$B$9,MATCH($B843,Branch_Master!$A$2:$A$9,0)),"Not Found")</f>
        <v>Bangalore</v>
      </c>
      <c r="O843" s="5" t="str">
        <f>IFERROR(INDEX(Branch_Master!$C$2:$C$9,MATCH($B843,Branch_Master!$A$2:$A$9,0)),"Not Found")</f>
        <v>Karnataka</v>
      </c>
      <c r="P843" s="5">
        <f>IFERROR(INDEX(Targets!$B$2:$B$9,MATCH($B843,Targets!$A$2:$A$9,0)),0)</f>
        <v>900000</v>
      </c>
      <c r="Q843" s="5" t="str">
        <f t="shared" si="26"/>
        <v>Yes</v>
      </c>
      <c r="R843" s="5" t="str">
        <f t="shared" si="27"/>
        <v>Nov</v>
      </c>
    </row>
    <row r="844" spans="1:18" ht="15" customHeight="1" x14ac:dyDescent="0.3">
      <c r="A844" s="5" t="str">
        <f>Sales_Data!A841</f>
        <v>2025-11-02</v>
      </c>
      <c r="B844" s="5" t="str">
        <f>Sales_Data!B841</f>
        <v>Mumbai Central</v>
      </c>
      <c r="C844" s="5" t="str">
        <f>Sales_Data!C841</f>
        <v>E025</v>
      </c>
      <c r="D844" s="5" t="str">
        <f>IFERROR(INDEX(Employee_Master!$B$2:$B$44,MATCH($C844,Employee_Master!$A$2:$A$44,0)),"Not Found")</f>
        <v>Jacqueline Chavez</v>
      </c>
      <c r="E844" s="5" t="str">
        <f>IFERROR(INDEX(Employee_Master!$C$2:$C$44,MATCH($C844,Employee_Master!$A$2:$A$44,0)),"Not Found")</f>
        <v>Sales</v>
      </c>
      <c r="F844" s="5" t="str">
        <f>IFERROR(INDEX(Employee_Master!$D$2:$D$44,MATCH($C844,Employee_Master!$A$2:$A$44,0)),"Not Found")</f>
        <v>Justin Glass</v>
      </c>
      <c r="G844" s="5" t="str">
        <f>IFERROR(INDEX(Employee_Master!$E$2:$E$44,MATCH($C844,Employee_Master!$A$2:$A$44,0)),"Not Found")</f>
        <v>West</v>
      </c>
      <c r="H844" s="5" t="str">
        <f>Sales_Data!D841</f>
        <v>P006 - Laptop Stand</v>
      </c>
      <c r="I844" s="5" t="str">
        <f>IFERROR(INDEX(Product_Master!$B$2:$B$30,MATCH($H844,Product_Master!$A$2:$A$30,0)),"Invalid Product Code")</f>
        <v>Electronics</v>
      </c>
      <c r="J844" s="5">
        <f>IFERROR(INDEX(Product_Master!$C$2:$C$30,MATCH($H844,Product_Master!$A$2:$A$30,0)),0)</f>
        <v>393.96</v>
      </c>
      <c r="K844" s="5">
        <f>Sales_Data!E841</f>
        <v>7</v>
      </c>
      <c r="L844" s="5">
        <f>Sales_Data!F841</f>
        <v>3564.79</v>
      </c>
      <c r="M844" s="5">
        <f>Sales_Data!G841</f>
        <v>2483.98</v>
      </c>
      <c r="N844" s="5" t="str">
        <f>IFERROR(INDEX(Branch_Master!$B$2:$B$9,MATCH($B844,Branch_Master!$A$2:$A$9,0)),"Not Found")</f>
        <v>Mumbai</v>
      </c>
      <c r="O844" s="5" t="str">
        <f>IFERROR(INDEX(Branch_Master!$C$2:$C$9,MATCH($B844,Branch_Master!$A$2:$A$9,0)),"Not Found")</f>
        <v>Maharashtra</v>
      </c>
      <c r="P844" s="5">
        <f>IFERROR(INDEX(Targets!$B$2:$B$9,MATCH($B844,Targets!$A$2:$A$9,0)),0)</f>
        <v>900000</v>
      </c>
      <c r="Q844" s="5" t="str">
        <f t="shared" si="26"/>
        <v>Yes</v>
      </c>
      <c r="R844" s="5" t="str">
        <f t="shared" si="27"/>
        <v>Nov</v>
      </c>
    </row>
    <row r="845" spans="1:18" ht="15" customHeight="1" x14ac:dyDescent="0.3">
      <c r="A845" s="5" t="str">
        <f>Sales_Data!A842</f>
        <v>2025-11-03</v>
      </c>
      <c r="B845" s="5" t="str">
        <f>Sales_Data!B842</f>
        <v>Delhi NCR</v>
      </c>
      <c r="C845" s="5" t="str">
        <f>Sales_Data!C842</f>
        <v>E031</v>
      </c>
      <c r="D845" s="5" t="str">
        <f>IFERROR(INDEX(Employee_Master!$B$2:$B$44,MATCH($C845,Employee_Master!$A$2:$A$44,0)),"Not Found")</f>
        <v>Jennifer Garcia</v>
      </c>
      <c r="E845" s="5" t="str">
        <f>IFERROR(INDEX(Employee_Master!$C$2:$C$44,MATCH($C845,Employee_Master!$A$2:$A$44,0)),"Not Found")</f>
        <v>Sales</v>
      </c>
      <c r="F845" s="5" t="str">
        <f>IFERROR(INDEX(Employee_Master!$D$2:$D$44,MATCH($C845,Employee_Master!$A$2:$A$44,0)),"Not Found")</f>
        <v>William Oconnell</v>
      </c>
      <c r="G845" s="5" t="str">
        <f>IFERROR(INDEX(Employee_Master!$E$2:$E$44,MATCH($C845,Employee_Master!$A$2:$A$44,0)),"Not Found")</f>
        <v>North</v>
      </c>
      <c r="H845" s="5" t="str">
        <f>Sales_Data!D842</f>
        <v>P008 - Denim Jeans</v>
      </c>
      <c r="I845" s="5" t="str">
        <f>IFERROR(INDEX(Product_Master!$B$2:$B$30,MATCH($H845,Product_Master!$A$2:$A$30,0)),"Invalid Product Code")</f>
        <v>Apparel</v>
      </c>
      <c r="J845" s="5">
        <f>IFERROR(INDEX(Product_Master!$C$2:$C$30,MATCH($H845,Product_Master!$A$2:$A$30,0)),0)</f>
        <v>614.48</v>
      </c>
      <c r="K845" s="5">
        <f>Sales_Data!E842</f>
        <v>8</v>
      </c>
      <c r="L845" s="5">
        <f>Sales_Data!F842</f>
        <v>5832.1</v>
      </c>
      <c r="M845" s="5">
        <f>Sales_Data!G842</f>
        <v>4253.47</v>
      </c>
      <c r="N845" s="5" t="str">
        <f>IFERROR(INDEX(Branch_Master!$B$2:$B$9,MATCH($B845,Branch_Master!$A$2:$A$9,0)),"Not Found")</f>
        <v>New Delhi</v>
      </c>
      <c r="O845" s="5" t="str">
        <f>IFERROR(INDEX(Branch_Master!$C$2:$C$9,MATCH($B845,Branch_Master!$A$2:$A$9,0)),"Not Found")</f>
        <v>Delhi</v>
      </c>
      <c r="P845" s="5">
        <f>IFERROR(INDEX(Targets!$B$2:$B$9,MATCH($B845,Targets!$A$2:$A$9,0)),0)</f>
        <v>2070000</v>
      </c>
      <c r="Q845" s="5" t="str">
        <f t="shared" si="26"/>
        <v>Yes</v>
      </c>
      <c r="R845" s="5" t="str">
        <f t="shared" si="27"/>
        <v>Nov</v>
      </c>
    </row>
    <row r="846" spans="1:18" ht="15" customHeight="1" x14ac:dyDescent="0.3">
      <c r="A846" s="5" t="str">
        <f>Sales_Data!A843</f>
        <v>2025-11-03</v>
      </c>
      <c r="B846" s="5" t="str">
        <f>Sales_Data!B843</f>
        <v>Ahmedabad West</v>
      </c>
      <c r="C846" s="5" t="str">
        <f>Sales_Data!C843</f>
        <v>E008</v>
      </c>
      <c r="D846" s="5" t="str">
        <f>IFERROR(INDEX(Employee_Master!$B$2:$B$44,MATCH($C846,Employee_Master!$A$2:$A$44,0)),"Not Found")</f>
        <v>Tyler Boone</v>
      </c>
      <c r="E846" s="5" t="str">
        <f>IFERROR(INDEX(Employee_Master!$C$2:$C$44,MATCH($C846,Employee_Master!$A$2:$A$44,0)),"Not Found")</f>
        <v>Marketing</v>
      </c>
      <c r="F846" s="5" t="str">
        <f>IFERROR(INDEX(Employee_Master!$D$2:$D$44,MATCH($C846,Employee_Master!$A$2:$A$44,0)),"Not Found")</f>
        <v>Joseph Brown</v>
      </c>
      <c r="G846" s="5" t="str">
        <f>IFERROR(INDEX(Employee_Master!$E$2:$E$44,MATCH($C846,Employee_Master!$A$2:$A$44,0)),"Not Found")</f>
        <v>West</v>
      </c>
      <c r="H846" s="5" t="str">
        <f>Sales_Data!D843</f>
        <v>P007 - Cotton T-Shirt</v>
      </c>
      <c r="I846" s="5" t="str">
        <f>IFERROR(INDEX(Product_Master!$B$2:$B$30,MATCH($H846,Product_Master!$A$2:$A$30,0)),"Invalid Product Code")</f>
        <v>Apparel</v>
      </c>
      <c r="J846" s="5">
        <f>IFERROR(INDEX(Product_Master!$C$2:$C$30,MATCH($H846,Product_Master!$A$2:$A$30,0)),0)</f>
        <v>338.44</v>
      </c>
      <c r="K846" s="5">
        <f>Sales_Data!E843</f>
        <v>11</v>
      </c>
      <c r="L846" s="5">
        <f>Sales_Data!F843</f>
        <v>4644.57</v>
      </c>
      <c r="M846" s="5">
        <f>Sales_Data!G843</f>
        <v>3835.33</v>
      </c>
      <c r="N846" s="5" t="str">
        <f>IFERROR(INDEX(Branch_Master!$B$2:$B$9,MATCH($B846,Branch_Master!$A$2:$A$9,0)),"Not Found")</f>
        <v>Ahmedabad</v>
      </c>
      <c r="O846" s="5" t="str">
        <f>IFERROR(INDEX(Branch_Master!$C$2:$C$9,MATCH($B846,Branch_Master!$A$2:$A$9,0)),"Not Found")</f>
        <v>Gujarat</v>
      </c>
      <c r="P846" s="5">
        <f>IFERROR(INDEX(Targets!$B$2:$B$9,MATCH($B846,Targets!$A$2:$A$9,0)),0)</f>
        <v>1590000</v>
      </c>
      <c r="Q846" s="5" t="str">
        <f t="shared" si="26"/>
        <v>Yes</v>
      </c>
      <c r="R846" s="5" t="str">
        <f t="shared" si="27"/>
        <v>Nov</v>
      </c>
    </row>
    <row r="847" spans="1:18" ht="15" customHeight="1" x14ac:dyDescent="0.3">
      <c r="A847" s="5" t="str">
        <f>Sales_Data!A844</f>
        <v>2025-11-03</v>
      </c>
      <c r="B847" s="5" t="str">
        <f>Sales_Data!B844</f>
        <v>Ahmedabad West</v>
      </c>
      <c r="C847" s="5" t="str">
        <f>Sales_Data!C844</f>
        <v>E002</v>
      </c>
      <c r="D847" s="5" t="str">
        <f>IFERROR(INDEX(Employee_Master!$B$2:$B$44,MATCH($C847,Employee_Master!$A$2:$A$44,0)),"Not Found")</f>
        <v>Jeremiah Kirby</v>
      </c>
      <c r="E847" s="5" t="str">
        <f>IFERROR(INDEX(Employee_Master!$C$2:$C$44,MATCH($C847,Employee_Master!$A$2:$A$44,0)),"Not Found")</f>
        <v>Marketing</v>
      </c>
      <c r="F847" s="5" t="str">
        <f>IFERROR(INDEX(Employee_Master!$D$2:$D$44,MATCH($C847,Employee_Master!$A$2:$A$44,0)),"Not Found")</f>
        <v>Joseph Brown</v>
      </c>
      <c r="G847" s="5" t="str">
        <f>IFERROR(INDEX(Employee_Master!$E$2:$E$44,MATCH($C847,Employee_Master!$A$2:$A$44,0)),"Not Found")</f>
        <v>West</v>
      </c>
      <c r="H847" s="5" t="str">
        <f>Sales_Data!D844</f>
        <v>P013 - Mixer Grinder</v>
      </c>
      <c r="I847" s="5" t="str">
        <f>IFERROR(INDEX(Product_Master!$B$2:$B$30,MATCH($H847,Product_Master!$A$2:$A$30,0)),"Invalid Product Code")</f>
        <v>Home &amp; Kitchen</v>
      </c>
      <c r="J847" s="5">
        <f>IFERROR(INDEX(Product_Master!$C$2:$C$30,MATCH($H847,Product_Master!$A$2:$A$30,0)),0)</f>
        <v>798.53</v>
      </c>
      <c r="K847" s="5">
        <f>Sales_Data!E844</f>
        <v>1</v>
      </c>
      <c r="L847" s="5">
        <f>Sales_Data!F844</f>
        <v>1131.18</v>
      </c>
      <c r="M847" s="5">
        <f>Sales_Data!G844</f>
        <v>718.19</v>
      </c>
      <c r="N847" s="5" t="str">
        <f>IFERROR(INDEX(Branch_Master!$B$2:$B$9,MATCH($B847,Branch_Master!$A$2:$A$9,0)),"Not Found")</f>
        <v>Ahmedabad</v>
      </c>
      <c r="O847" s="5" t="str">
        <f>IFERROR(INDEX(Branch_Master!$C$2:$C$9,MATCH($B847,Branch_Master!$A$2:$A$9,0)),"Not Found")</f>
        <v>Gujarat</v>
      </c>
      <c r="P847" s="5">
        <f>IFERROR(INDEX(Targets!$B$2:$B$9,MATCH($B847,Targets!$A$2:$A$9,0)),0)</f>
        <v>1590000</v>
      </c>
      <c r="Q847" s="5" t="str">
        <f t="shared" si="26"/>
        <v>Yes</v>
      </c>
      <c r="R847" s="5" t="str">
        <f t="shared" si="27"/>
        <v>Nov</v>
      </c>
    </row>
    <row r="848" spans="1:18" ht="15" customHeight="1" x14ac:dyDescent="0.3">
      <c r="A848" s="5" t="str">
        <f>Sales_Data!A845</f>
        <v>2025-11-03</v>
      </c>
      <c r="B848" s="5" t="str">
        <f>Sales_Data!B845</f>
        <v>Ahmedabad West</v>
      </c>
      <c r="C848" s="5" t="str">
        <f>Sales_Data!C845</f>
        <v>E005</v>
      </c>
      <c r="D848" s="5" t="str">
        <f>IFERROR(INDEX(Employee_Master!$B$2:$B$44,MATCH($C848,Employee_Master!$A$2:$A$44,0)),"Not Found")</f>
        <v>Dr. Sara Zimmerman MD</v>
      </c>
      <c r="E848" s="5" t="str">
        <f>IFERROR(INDEX(Employee_Master!$C$2:$C$44,MATCH($C848,Employee_Master!$A$2:$A$44,0)),"Not Found")</f>
        <v>Operations</v>
      </c>
      <c r="F848" s="5" t="str">
        <f>IFERROR(INDEX(Employee_Master!$D$2:$D$44,MATCH($C848,Employee_Master!$A$2:$A$44,0)),"Not Found")</f>
        <v>Joseph Brown</v>
      </c>
      <c r="G848" s="5" t="str">
        <f>IFERROR(INDEX(Employee_Master!$E$2:$E$44,MATCH($C848,Employee_Master!$A$2:$A$44,0)),"Not Found")</f>
        <v>West</v>
      </c>
      <c r="H848" s="5" t="str">
        <f>Sales_Data!D845</f>
        <v>P020 - Green Tea Pack</v>
      </c>
      <c r="I848" s="5" t="str">
        <f>IFERROR(INDEX(Product_Master!$B$2:$B$30,MATCH($H848,Product_Master!$A$2:$A$30,0)),"Invalid Product Code")</f>
        <v>Grocery</v>
      </c>
      <c r="J848" s="5">
        <f>IFERROR(INDEX(Product_Master!$C$2:$C$30,MATCH($H848,Product_Master!$A$2:$A$30,0)),0)</f>
        <v>305.39</v>
      </c>
      <c r="K848" s="5">
        <f>Sales_Data!E845</f>
        <v>8</v>
      </c>
      <c r="L848" s="5">
        <f>Sales_Data!F845</f>
        <v>3153.85</v>
      </c>
      <c r="M848" s="5">
        <f>Sales_Data!G845</f>
        <v>2216.4899999999998</v>
      </c>
      <c r="N848" s="5" t="str">
        <f>IFERROR(INDEX(Branch_Master!$B$2:$B$9,MATCH($B848,Branch_Master!$A$2:$A$9,0)),"Not Found")</f>
        <v>Ahmedabad</v>
      </c>
      <c r="O848" s="5" t="str">
        <f>IFERROR(INDEX(Branch_Master!$C$2:$C$9,MATCH($B848,Branch_Master!$A$2:$A$9,0)),"Not Found")</f>
        <v>Gujarat</v>
      </c>
      <c r="P848" s="5">
        <f>IFERROR(INDEX(Targets!$B$2:$B$9,MATCH($B848,Targets!$A$2:$A$9,0)),0)</f>
        <v>1590000</v>
      </c>
      <c r="Q848" s="5" t="str">
        <f t="shared" si="26"/>
        <v>Yes</v>
      </c>
      <c r="R848" s="5" t="str">
        <f t="shared" si="27"/>
        <v>Nov</v>
      </c>
    </row>
    <row r="849" spans="1:18" ht="15" customHeight="1" x14ac:dyDescent="0.3">
      <c r="A849" s="5" t="str">
        <f>Sales_Data!A846</f>
        <v>2025-11-03</v>
      </c>
      <c r="B849" s="5" t="str">
        <f>Sales_Data!B846</f>
        <v>Chennai South</v>
      </c>
      <c r="C849" s="5" t="str">
        <f>Sales_Data!C846</f>
        <v>E019</v>
      </c>
      <c r="D849" s="5" t="str">
        <f>IFERROR(INDEX(Employee_Master!$B$2:$B$44,MATCH($C849,Employee_Master!$A$2:$A$44,0)),"Not Found")</f>
        <v>Regina Torres</v>
      </c>
      <c r="E849" s="5" t="str">
        <f>IFERROR(INDEX(Employee_Master!$C$2:$C$44,MATCH($C849,Employee_Master!$A$2:$A$44,0)),"Not Found")</f>
        <v>Operations</v>
      </c>
      <c r="F849" s="5" t="str">
        <f>IFERROR(INDEX(Employee_Master!$D$2:$D$44,MATCH($C849,Employee_Master!$A$2:$A$44,0)),"Not Found")</f>
        <v>Robert Steele</v>
      </c>
      <c r="G849" s="5" t="str">
        <f>IFERROR(INDEX(Employee_Master!$E$2:$E$44,MATCH($C849,Employee_Master!$A$2:$A$44,0)),"Not Found")</f>
        <v>South</v>
      </c>
      <c r="H849" s="5" t="str">
        <f>Sales_Data!D846</f>
        <v>P018 - Cooking Oil 1L</v>
      </c>
      <c r="I849" s="5" t="str">
        <f>IFERROR(INDEX(Product_Master!$B$2:$B$30,MATCH($H849,Product_Master!$A$2:$A$30,0)),"Invalid Product Code")</f>
        <v>Grocery</v>
      </c>
      <c r="J849" s="5">
        <f>IFERROR(INDEX(Product_Master!$C$2:$C$30,MATCH($H849,Product_Master!$A$2:$A$30,0)),0)</f>
        <v>1483.63</v>
      </c>
      <c r="K849" s="5">
        <f>Sales_Data!E846</f>
        <v>9</v>
      </c>
      <c r="L849" s="5">
        <f>Sales_Data!F846</f>
        <v>18633.82</v>
      </c>
      <c r="M849" s="5">
        <f>Sales_Data!G846</f>
        <v>11535.73</v>
      </c>
      <c r="N849" s="5" t="str">
        <f>IFERROR(INDEX(Branch_Master!$B$2:$B$9,MATCH($B849,Branch_Master!$A$2:$A$9,0)),"Not Found")</f>
        <v>Chennai</v>
      </c>
      <c r="O849" s="5" t="str">
        <f>IFERROR(INDEX(Branch_Master!$C$2:$C$9,MATCH($B849,Branch_Master!$A$2:$A$9,0)),"Not Found")</f>
        <v>Tamil Nadu</v>
      </c>
      <c r="P849" s="5">
        <f>IFERROR(INDEX(Targets!$B$2:$B$9,MATCH($B849,Targets!$A$2:$A$9,0)),0)</f>
        <v>1910000</v>
      </c>
      <c r="Q849" s="5" t="str">
        <f t="shared" si="26"/>
        <v>Yes</v>
      </c>
      <c r="R849" s="5" t="str">
        <f t="shared" si="27"/>
        <v>Nov</v>
      </c>
    </row>
    <row r="850" spans="1:18" ht="15" customHeight="1" x14ac:dyDescent="0.3">
      <c r="A850" s="5" t="str">
        <f>Sales_Data!A847</f>
        <v>2025-11-03</v>
      </c>
      <c r="B850" s="5" t="str">
        <f>Sales_Data!B847</f>
        <v>Kolkata Central</v>
      </c>
      <c r="C850" s="5" t="str">
        <f>Sales_Data!C847</f>
        <v>E029</v>
      </c>
      <c r="D850" s="5" t="str">
        <f>IFERROR(INDEX(Employee_Master!$B$2:$B$44,MATCH($C850,Employee_Master!$A$2:$A$44,0)),"Not Found")</f>
        <v>Patrick Shepard</v>
      </c>
      <c r="E850" s="5" t="str">
        <f>IFERROR(INDEX(Employee_Master!$C$2:$C$44,MATCH($C850,Employee_Master!$A$2:$A$44,0)),"Not Found")</f>
        <v>Sales</v>
      </c>
      <c r="F850" s="5" t="str">
        <f>IFERROR(INDEX(Employee_Master!$D$2:$D$44,MATCH($C850,Employee_Master!$A$2:$A$44,0)),"Not Found")</f>
        <v>Lisa Moore</v>
      </c>
      <c r="G850" s="5" t="str">
        <f>IFERROR(INDEX(Employee_Master!$E$2:$E$44,MATCH($C850,Employee_Master!$A$2:$A$44,0)),"Not Found")</f>
        <v>East</v>
      </c>
      <c r="H850" s="5" t="str">
        <f>Sales_Data!D847</f>
        <v>P008 - Denim Jeans</v>
      </c>
      <c r="I850" s="5" t="str">
        <f>IFERROR(INDEX(Product_Master!$B$2:$B$30,MATCH($H850,Product_Master!$A$2:$A$30,0)),"Invalid Product Code")</f>
        <v>Apparel</v>
      </c>
      <c r="J850" s="5">
        <f>IFERROR(INDEX(Product_Master!$C$2:$C$30,MATCH($H850,Product_Master!$A$2:$A$30,0)),0)</f>
        <v>614.48</v>
      </c>
      <c r="K850" s="5">
        <f>Sales_Data!E847</f>
        <v>11</v>
      </c>
      <c r="L850" s="5">
        <f>Sales_Data!F847</f>
        <v>9629.6299999999992</v>
      </c>
      <c r="M850" s="5">
        <f>Sales_Data!G847</f>
        <v>7592.97</v>
      </c>
      <c r="N850" s="5" t="str">
        <f>IFERROR(INDEX(Branch_Master!$B$2:$B$9,MATCH($B850,Branch_Master!$A$2:$A$9,0)),"Not Found")</f>
        <v>Kolkata</v>
      </c>
      <c r="O850" s="5" t="str">
        <f>IFERROR(INDEX(Branch_Master!$C$2:$C$9,MATCH($B850,Branch_Master!$A$2:$A$9,0)),"Not Found")</f>
        <v>West Bengal</v>
      </c>
      <c r="P850" s="5">
        <f>IFERROR(INDEX(Targets!$B$2:$B$9,MATCH($B850,Targets!$A$2:$A$9,0)),0)</f>
        <v>1910000</v>
      </c>
      <c r="Q850" s="5" t="str">
        <f t="shared" si="26"/>
        <v>Yes</v>
      </c>
      <c r="R850" s="5" t="str">
        <f t="shared" si="27"/>
        <v>Nov</v>
      </c>
    </row>
    <row r="851" spans="1:18" ht="15" customHeight="1" x14ac:dyDescent="0.3">
      <c r="A851" s="5" t="str">
        <f>Sales_Data!A848</f>
        <v>2025-11-04</v>
      </c>
      <c r="B851" s="5" t="str">
        <f>Sales_Data!B848</f>
        <v>Delhi NCR</v>
      </c>
      <c r="C851" s="5" t="str">
        <f>Sales_Data!C848</f>
        <v>E031</v>
      </c>
      <c r="D851" s="5" t="str">
        <f>IFERROR(INDEX(Employee_Master!$B$2:$B$44,MATCH($C851,Employee_Master!$A$2:$A$44,0)),"Not Found")</f>
        <v>Jennifer Garcia</v>
      </c>
      <c r="E851" s="5" t="str">
        <f>IFERROR(INDEX(Employee_Master!$C$2:$C$44,MATCH($C851,Employee_Master!$A$2:$A$44,0)),"Not Found")</f>
        <v>Sales</v>
      </c>
      <c r="F851" s="5" t="str">
        <f>IFERROR(INDEX(Employee_Master!$D$2:$D$44,MATCH($C851,Employee_Master!$A$2:$A$44,0)),"Not Found")</f>
        <v>William Oconnell</v>
      </c>
      <c r="G851" s="5" t="str">
        <f>IFERROR(INDEX(Employee_Master!$E$2:$E$44,MATCH($C851,Employee_Master!$A$2:$A$44,0)),"Not Found")</f>
        <v>North</v>
      </c>
      <c r="H851" s="5" t="str">
        <f>Sales_Data!D848</f>
        <v>P021 - Assorted Spices Kit</v>
      </c>
      <c r="I851" s="5" t="str">
        <f>IFERROR(INDEX(Product_Master!$B$2:$B$30,MATCH($H851,Product_Master!$A$2:$A$30,0)),"Invalid Product Code")</f>
        <v>Grocery</v>
      </c>
      <c r="J851" s="5">
        <f>IFERROR(INDEX(Product_Master!$C$2:$C$30,MATCH($H851,Product_Master!$A$2:$A$30,0)),0)</f>
        <v>1060.97</v>
      </c>
      <c r="K851" s="5">
        <f>Sales_Data!E848</f>
        <v>1</v>
      </c>
      <c r="L851" s="5">
        <f>Sales_Data!F848</f>
        <v>1263.02</v>
      </c>
      <c r="M851" s="5">
        <f>Sales_Data!G848</f>
        <v>1069.96</v>
      </c>
      <c r="N851" s="5" t="str">
        <f>IFERROR(INDEX(Branch_Master!$B$2:$B$9,MATCH($B851,Branch_Master!$A$2:$A$9,0)),"Not Found")</f>
        <v>New Delhi</v>
      </c>
      <c r="O851" s="5" t="str">
        <f>IFERROR(INDEX(Branch_Master!$C$2:$C$9,MATCH($B851,Branch_Master!$A$2:$A$9,0)),"Not Found")</f>
        <v>Delhi</v>
      </c>
      <c r="P851" s="5">
        <f>IFERROR(INDEX(Targets!$B$2:$B$9,MATCH($B851,Targets!$A$2:$A$9,0)),0)</f>
        <v>2070000</v>
      </c>
      <c r="Q851" s="5" t="str">
        <f t="shared" si="26"/>
        <v>Yes</v>
      </c>
      <c r="R851" s="5" t="str">
        <f t="shared" si="27"/>
        <v>Nov</v>
      </c>
    </row>
    <row r="852" spans="1:18" ht="15" customHeight="1" x14ac:dyDescent="0.3">
      <c r="A852" s="5" t="str">
        <f>Sales_Data!A849</f>
        <v>2025-11-04</v>
      </c>
      <c r="B852" s="5" t="str">
        <f>Sales_Data!B849</f>
        <v>Ahmedabad West</v>
      </c>
      <c r="C852" s="5" t="str">
        <f>Sales_Data!C849</f>
        <v>E008</v>
      </c>
      <c r="D852" s="5" t="str">
        <f>IFERROR(INDEX(Employee_Master!$B$2:$B$44,MATCH($C852,Employee_Master!$A$2:$A$44,0)),"Not Found")</f>
        <v>Tyler Boone</v>
      </c>
      <c r="E852" s="5" t="str">
        <f>IFERROR(INDEX(Employee_Master!$C$2:$C$44,MATCH($C852,Employee_Master!$A$2:$A$44,0)),"Not Found")</f>
        <v>Marketing</v>
      </c>
      <c r="F852" s="5" t="str">
        <f>IFERROR(INDEX(Employee_Master!$D$2:$D$44,MATCH($C852,Employee_Master!$A$2:$A$44,0)),"Not Found")</f>
        <v>Joseph Brown</v>
      </c>
      <c r="G852" s="5" t="str">
        <f>IFERROR(INDEX(Employee_Master!$E$2:$E$44,MATCH($C852,Employee_Master!$A$2:$A$44,0)),"Not Found")</f>
        <v>West</v>
      </c>
      <c r="H852" s="5" t="str">
        <f>Sales_Data!D849</f>
        <v>P020 - Green Tea Pack</v>
      </c>
      <c r="I852" s="5" t="str">
        <f>IFERROR(INDEX(Product_Master!$B$2:$B$30,MATCH($H852,Product_Master!$A$2:$A$30,0)),"Invalid Product Code")</f>
        <v>Grocery</v>
      </c>
      <c r="J852" s="5">
        <f>IFERROR(INDEX(Product_Master!$C$2:$C$30,MATCH($H852,Product_Master!$A$2:$A$30,0)),0)</f>
        <v>305.39</v>
      </c>
      <c r="K852" s="5">
        <f>Sales_Data!E849</f>
        <v>3</v>
      </c>
      <c r="L852" s="5">
        <f>Sales_Data!F849</f>
        <v>1142.3399999999999</v>
      </c>
      <c r="M852" s="5">
        <f>Sales_Data!G849</f>
        <v>906.27</v>
      </c>
      <c r="N852" s="5" t="str">
        <f>IFERROR(INDEX(Branch_Master!$B$2:$B$9,MATCH($B852,Branch_Master!$A$2:$A$9,0)),"Not Found")</f>
        <v>Ahmedabad</v>
      </c>
      <c r="O852" s="5" t="str">
        <f>IFERROR(INDEX(Branch_Master!$C$2:$C$9,MATCH($B852,Branch_Master!$A$2:$A$9,0)),"Not Found")</f>
        <v>Gujarat</v>
      </c>
      <c r="P852" s="5">
        <f>IFERROR(INDEX(Targets!$B$2:$B$9,MATCH($B852,Targets!$A$2:$A$9,0)),0)</f>
        <v>1590000</v>
      </c>
      <c r="Q852" s="5" t="str">
        <f t="shared" si="26"/>
        <v>Yes</v>
      </c>
      <c r="R852" s="5" t="str">
        <f t="shared" si="27"/>
        <v>Nov</v>
      </c>
    </row>
    <row r="853" spans="1:18" ht="15" customHeight="1" x14ac:dyDescent="0.3">
      <c r="A853" s="5" t="str">
        <f>Sales_Data!A850</f>
        <v>2025-11-05</v>
      </c>
      <c r="B853" s="5" t="str">
        <f>Sales_Data!B850</f>
        <v>Mumbai Central</v>
      </c>
      <c r="C853" s="5" t="str">
        <f>Sales_Data!C850</f>
        <v>E012</v>
      </c>
      <c r="D853" s="5" t="str">
        <f>IFERROR(INDEX(Employee_Master!$B$2:$B$44,MATCH($C853,Employee_Master!$A$2:$A$44,0)),"Not Found")</f>
        <v>Brandon Cook</v>
      </c>
      <c r="E853" s="5" t="str">
        <f>IFERROR(INDEX(Employee_Master!$C$2:$C$44,MATCH($C853,Employee_Master!$A$2:$A$44,0)),"Not Found")</f>
        <v>Customer Support</v>
      </c>
      <c r="F853" s="5" t="str">
        <f>IFERROR(INDEX(Employee_Master!$D$2:$D$44,MATCH($C853,Employee_Master!$A$2:$A$44,0)),"Not Found")</f>
        <v>Justin Glass</v>
      </c>
      <c r="G853" s="5" t="str">
        <f>IFERROR(INDEX(Employee_Master!$E$2:$E$44,MATCH($C853,Employee_Master!$A$2:$A$44,0)),"Not Found")</f>
        <v>West</v>
      </c>
      <c r="H853" s="5" t="str">
        <f>Sales_Data!D850</f>
        <v>P015 - Water Bottle</v>
      </c>
      <c r="I853" s="5" t="str">
        <f>IFERROR(INDEX(Product_Master!$B$2:$B$30,MATCH($H853,Product_Master!$A$2:$A$30,0)),"Invalid Product Code")</f>
        <v>Home &amp; Kitchen</v>
      </c>
      <c r="J853" s="5">
        <f>IFERROR(INDEX(Product_Master!$C$2:$C$30,MATCH($H853,Product_Master!$A$2:$A$30,0)),0)</f>
        <v>197.57</v>
      </c>
      <c r="K853" s="5">
        <f>Sales_Data!E850</f>
        <v>8</v>
      </c>
      <c r="L853" s="5">
        <f>Sales_Data!F850</f>
        <v>2095.2800000000002</v>
      </c>
      <c r="M853" s="5">
        <f>Sales_Data!G850</f>
        <v>1494.91</v>
      </c>
      <c r="N853" s="5" t="str">
        <f>IFERROR(INDEX(Branch_Master!$B$2:$B$9,MATCH($B853,Branch_Master!$A$2:$A$9,0)),"Not Found")</f>
        <v>Mumbai</v>
      </c>
      <c r="O853" s="5" t="str">
        <f>IFERROR(INDEX(Branch_Master!$C$2:$C$9,MATCH($B853,Branch_Master!$A$2:$A$9,0)),"Not Found")</f>
        <v>Maharashtra</v>
      </c>
      <c r="P853" s="5">
        <f>IFERROR(INDEX(Targets!$B$2:$B$9,MATCH($B853,Targets!$A$2:$A$9,0)),0)</f>
        <v>900000</v>
      </c>
      <c r="Q853" s="5" t="str">
        <f t="shared" si="26"/>
        <v>Yes</v>
      </c>
      <c r="R853" s="5" t="str">
        <f t="shared" si="27"/>
        <v>Nov</v>
      </c>
    </row>
    <row r="854" spans="1:18" ht="15" customHeight="1" x14ac:dyDescent="0.3">
      <c r="A854" s="5" t="str">
        <f>Sales_Data!A851</f>
        <v>2025-11-06</v>
      </c>
      <c r="B854" s="5" t="str">
        <f>Sales_Data!B851</f>
        <v>Hyderabad Hitech</v>
      </c>
      <c r="C854" s="5" t="str">
        <f>Sales_Data!C851</f>
        <v>E020</v>
      </c>
      <c r="D854" s="5" t="str">
        <f>IFERROR(INDEX(Employee_Master!$B$2:$B$44,MATCH($C854,Employee_Master!$A$2:$A$44,0)),"Not Found")</f>
        <v>Christine Long</v>
      </c>
      <c r="E854" s="5" t="str">
        <f>IFERROR(INDEX(Employee_Master!$C$2:$C$44,MATCH($C854,Employee_Master!$A$2:$A$44,0)),"Not Found")</f>
        <v>Operations</v>
      </c>
      <c r="F854" s="5" t="str">
        <f>IFERROR(INDEX(Employee_Master!$D$2:$D$44,MATCH($C854,Employee_Master!$A$2:$A$44,0)),"Not Found")</f>
        <v>Anna Turner</v>
      </c>
      <c r="G854" s="5" t="str">
        <f>IFERROR(INDEX(Employee_Master!$E$2:$E$44,MATCH($C854,Employee_Master!$A$2:$A$44,0)),"Not Found")</f>
        <v>South</v>
      </c>
      <c r="H854" s="5" t="str">
        <f>Sales_Data!D851</f>
        <v>P008 - Denim Jeans</v>
      </c>
      <c r="I854" s="5" t="str">
        <f>IFERROR(INDEX(Product_Master!$B$2:$B$30,MATCH($H854,Product_Master!$A$2:$A$30,0)),"Invalid Product Code")</f>
        <v>Apparel</v>
      </c>
      <c r="J854" s="5">
        <f>IFERROR(INDEX(Product_Master!$C$2:$C$30,MATCH($H854,Product_Master!$A$2:$A$30,0)),0)</f>
        <v>614.48</v>
      </c>
      <c r="K854" s="5">
        <f>Sales_Data!E851</f>
        <v>5</v>
      </c>
      <c r="L854" s="5">
        <f>Sales_Data!F851</f>
        <v>4138.05</v>
      </c>
      <c r="M854" s="5">
        <f>Sales_Data!G851</f>
        <v>2827.73</v>
      </c>
      <c r="N854" s="5" t="str">
        <f>IFERROR(INDEX(Branch_Master!$B$2:$B$9,MATCH($B854,Branch_Master!$A$2:$A$9,0)),"Not Found")</f>
        <v>Hyderabad</v>
      </c>
      <c r="O854" s="5" t="str">
        <f>IFERROR(INDEX(Branch_Master!$C$2:$C$9,MATCH($B854,Branch_Master!$A$2:$A$9,0)),"Not Found")</f>
        <v>Telangana</v>
      </c>
      <c r="P854" s="5">
        <f>IFERROR(INDEX(Targets!$B$2:$B$9,MATCH($B854,Targets!$A$2:$A$9,0)),0)</f>
        <v>1210000</v>
      </c>
      <c r="Q854" s="5" t="str">
        <f t="shared" si="26"/>
        <v>Yes</v>
      </c>
      <c r="R854" s="5" t="str">
        <f t="shared" si="27"/>
        <v>Nov</v>
      </c>
    </row>
    <row r="855" spans="1:18" ht="15" customHeight="1" x14ac:dyDescent="0.3">
      <c r="A855" s="5" t="str">
        <f>Sales_Data!A852</f>
        <v>2025-11-06</v>
      </c>
      <c r="B855" s="5" t="str">
        <f>Sales_Data!B852</f>
        <v>Chennai South</v>
      </c>
      <c r="C855" s="5" t="str">
        <f>Sales_Data!C852</f>
        <v>E015</v>
      </c>
      <c r="D855" s="5" t="str">
        <f>IFERROR(INDEX(Employee_Master!$B$2:$B$44,MATCH($C855,Employee_Master!$A$2:$A$44,0)),"Not Found")</f>
        <v>Cassandra Hansen</v>
      </c>
      <c r="E855" s="5" t="str">
        <f>IFERROR(INDEX(Employee_Master!$C$2:$C$44,MATCH($C855,Employee_Master!$A$2:$A$44,0)),"Not Found")</f>
        <v>Customer Support</v>
      </c>
      <c r="F855" s="5" t="str">
        <f>IFERROR(INDEX(Employee_Master!$D$2:$D$44,MATCH($C855,Employee_Master!$A$2:$A$44,0)),"Not Found")</f>
        <v>Robert Steele</v>
      </c>
      <c r="G855" s="5" t="str">
        <f>IFERROR(INDEX(Employee_Master!$E$2:$E$44,MATCH($C855,Employee_Master!$A$2:$A$44,0)),"Not Found")</f>
        <v>South</v>
      </c>
      <c r="H855" s="5" t="str">
        <f>Sales_Data!D852</f>
        <v>P021 - Assorted Spices Kit</v>
      </c>
      <c r="I855" s="5" t="str">
        <f>IFERROR(INDEX(Product_Master!$B$2:$B$30,MATCH($H855,Product_Master!$A$2:$A$30,0)),"Invalid Product Code")</f>
        <v>Grocery</v>
      </c>
      <c r="J855" s="5">
        <f>IFERROR(INDEX(Product_Master!$C$2:$C$30,MATCH($H855,Product_Master!$A$2:$A$30,0)),0)</f>
        <v>1060.97</v>
      </c>
      <c r="K855" s="5">
        <f>Sales_Data!E852</f>
        <v>7</v>
      </c>
      <c r="L855" s="5">
        <f>Sales_Data!F852</f>
        <v>10357.74</v>
      </c>
      <c r="M855" s="5">
        <f>Sales_Data!G852</f>
        <v>7917.77</v>
      </c>
      <c r="N855" s="5" t="str">
        <f>IFERROR(INDEX(Branch_Master!$B$2:$B$9,MATCH($B855,Branch_Master!$A$2:$A$9,0)),"Not Found")</f>
        <v>Chennai</v>
      </c>
      <c r="O855" s="5" t="str">
        <f>IFERROR(INDEX(Branch_Master!$C$2:$C$9,MATCH($B855,Branch_Master!$A$2:$A$9,0)),"Not Found")</f>
        <v>Tamil Nadu</v>
      </c>
      <c r="P855" s="5">
        <f>IFERROR(INDEX(Targets!$B$2:$B$9,MATCH($B855,Targets!$A$2:$A$9,0)),0)</f>
        <v>1910000</v>
      </c>
      <c r="Q855" s="5" t="str">
        <f t="shared" si="26"/>
        <v>Yes</v>
      </c>
      <c r="R855" s="5" t="str">
        <f t="shared" si="27"/>
        <v>Nov</v>
      </c>
    </row>
    <row r="856" spans="1:18" ht="15" customHeight="1" x14ac:dyDescent="0.3">
      <c r="A856" s="5" t="str">
        <f>Sales_Data!A853</f>
        <v>2025-11-07</v>
      </c>
      <c r="B856" s="5" t="str">
        <f>Sales_Data!B853</f>
        <v>Kolkata Central</v>
      </c>
      <c r="C856" s="5" t="str">
        <f>Sales_Data!C853</f>
        <v>E024</v>
      </c>
      <c r="D856" s="5" t="str">
        <f>IFERROR(INDEX(Employee_Master!$B$2:$B$44,MATCH($C856,Employee_Master!$A$2:$A$44,0)),"Not Found")</f>
        <v>Kevin Sanchez</v>
      </c>
      <c r="E856" s="5" t="str">
        <f>IFERROR(INDEX(Employee_Master!$C$2:$C$44,MATCH($C856,Employee_Master!$A$2:$A$44,0)),"Not Found")</f>
        <v>Sales</v>
      </c>
      <c r="F856" s="5" t="str">
        <f>IFERROR(INDEX(Employee_Master!$D$2:$D$44,MATCH($C856,Employee_Master!$A$2:$A$44,0)),"Not Found")</f>
        <v>Lisa Moore</v>
      </c>
      <c r="G856" s="5" t="str">
        <f>IFERROR(INDEX(Employee_Master!$E$2:$E$44,MATCH($C856,Employee_Master!$A$2:$A$44,0)),"Not Found")</f>
        <v>East</v>
      </c>
      <c r="H856" s="5" t="str">
        <f>Sales_Data!D853</f>
        <v>P009 - Formal Shirt</v>
      </c>
      <c r="I856" s="5" t="str">
        <f>IFERROR(INDEX(Product_Master!$B$2:$B$30,MATCH($H856,Product_Master!$A$2:$A$30,0)),"Invalid Product Code")</f>
        <v>Apparel</v>
      </c>
      <c r="J856" s="5">
        <f>IFERROR(INDEX(Product_Master!$C$2:$C$30,MATCH($H856,Product_Master!$A$2:$A$30,0)),0)</f>
        <v>661.65</v>
      </c>
      <c r="K856" s="5">
        <f>Sales_Data!E853</f>
        <v>8</v>
      </c>
      <c r="L856" s="5">
        <f>Sales_Data!F853</f>
        <v>7112.22</v>
      </c>
      <c r="M856" s="5">
        <f>Sales_Data!G853</f>
        <v>5868.78</v>
      </c>
      <c r="N856" s="5" t="str">
        <f>IFERROR(INDEX(Branch_Master!$B$2:$B$9,MATCH($B856,Branch_Master!$A$2:$A$9,0)),"Not Found")</f>
        <v>Kolkata</v>
      </c>
      <c r="O856" s="5" t="str">
        <f>IFERROR(INDEX(Branch_Master!$C$2:$C$9,MATCH($B856,Branch_Master!$A$2:$A$9,0)),"Not Found")</f>
        <v>West Bengal</v>
      </c>
      <c r="P856" s="5">
        <f>IFERROR(INDEX(Targets!$B$2:$B$9,MATCH($B856,Targets!$A$2:$A$9,0)),0)</f>
        <v>1910000</v>
      </c>
      <c r="Q856" s="5" t="str">
        <f t="shared" si="26"/>
        <v>Yes</v>
      </c>
      <c r="R856" s="5" t="str">
        <f t="shared" si="27"/>
        <v>Nov</v>
      </c>
    </row>
    <row r="857" spans="1:18" ht="15" customHeight="1" x14ac:dyDescent="0.3">
      <c r="A857" s="5" t="str">
        <f>Sales_Data!A854</f>
        <v>2025-11-07</v>
      </c>
      <c r="B857" s="5" t="str">
        <f>Sales_Data!B854</f>
        <v>Delhi NCR</v>
      </c>
      <c r="C857" s="5" t="str">
        <f>Sales_Data!C854</f>
        <v>E031</v>
      </c>
      <c r="D857" s="5" t="str">
        <f>IFERROR(INDEX(Employee_Master!$B$2:$B$44,MATCH($C857,Employee_Master!$A$2:$A$44,0)),"Not Found")</f>
        <v>Jennifer Garcia</v>
      </c>
      <c r="E857" s="5" t="str">
        <f>IFERROR(INDEX(Employee_Master!$C$2:$C$44,MATCH($C857,Employee_Master!$A$2:$A$44,0)),"Not Found")</f>
        <v>Sales</v>
      </c>
      <c r="F857" s="5" t="str">
        <f>IFERROR(INDEX(Employee_Master!$D$2:$D$44,MATCH($C857,Employee_Master!$A$2:$A$44,0)),"Not Found")</f>
        <v>William Oconnell</v>
      </c>
      <c r="G857" s="5" t="str">
        <f>IFERROR(INDEX(Employee_Master!$E$2:$E$44,MATCH($C857,Employee_Master!$A$2:$A$44,0)),"Not Found")</f>
        <v>North</v>
      </c>
      <c r="H857" s="5" t="str">
        <f>Sales_Data!D854</f>
        <v>P010 - Running Shoes</v>
      </c>
      <c r="I857" s="5" t="str">
        <f>IFERROR(INDEX(Product_Master!$B$2:$B$30,MATCH($H857,Product_Master!$A$2:$A$30,0)),"Invalid Product Code")</f>
        <v>Apparel</v>
      </c>
      <c r="J857" s="5">
        <f>IFERROR(INDEX(Product_Master!$C$2:$C$30,MATCH($H857,Product_Master!$A$2:$A$30,0)),0)</f>
        <v>233.71</v>
      </c>
      <c r="K857" s="5">
        <f>Sales_Data!E854</f>
        <v>11</v>
      </c>
      <c r="L857" s="5">
        <f>Sales_Data!F854</f>
        <v>3020.81</v>
      </c>
      <c r="M857" s="5">
        <f>Sales_Data!G854</f>
        <v>2255.21</v>
      </c>
      <c r="N857" s="5" t="str">
        <f>IFERROR(INDEX(Branch_Master!$B$2:$B$9,MATCH($B857,Branch_Master!$A$2:$A$9,0)),"Not Found")</f>
        <v>New Delhi</v>
      </c>
      <c r="O857" s="5" t="str">
        <f>IFERROR(INDEX(Branch_Master!$C$2:$C$9,MATCH($B857,Branch_Master!$A$2:$A$9,0)),"Not Found")</f>
        <v>Delhi</v>
      </c>
      <c r="P857" s="5">
        <f>IFERROR(INDEX(Targets!$B$2:$B$9,MATCH($B857,Targets!$A$2:$A$9,0)),0)</f>
        <v>2070000</v>
      </c>
      <c r="Q857" s="5" t="str">
        <f t="shared" si="26"/>
        <v>Yes</v>
      </c>
      <c r="R857" s="5" t="str">
        <f t="shared" si="27"/>
        <v>Nov</v>
      </c>
    </row>
    <row r="858" spans="1:18" ht="15" customHeight="1" x14ac:dyDescent="0.3">
      <c r="A858" s="5" t="str">
        <f>Sales_Data!A855</f>
        <v>2025-11-08</v>
      </c>
      <c r="B858" s="5" t="str">
        <f>Sales_Data!B855</f>
        <v>Bangalore North</v>
      </c>
      <c r="C858" s="5" t="str">
        <f>Sales_Data!C855</f>
        <v>E003</v>
      </c>
      <c r="D858" s="5" t="str">
        <f>IFERROR(INDEX(Employee_Master!$B$2:$B$44,MATCH($C858,Employee_Master!$A$2:$A$44,0)),"Not Found")</f>
        <v>Margaret Porter</v>
      </c>
      <c r="E858" s="5" t="str">
        <f>IFERROR(INDEX(Employee_Master!$C$2:$C$44,MATCH($C858,Employee_Master!$A$2:$A$44,0)),"Not Found")</f>
        <v>Customer Support</v>
      </c>
      <c r="F858" s="5" t="str">
        <f>IFERROR(INDEX(Employee_Master!$D$2:$D$44,MATCH($C858,Employee_Master!$A$2:$A$44,0)),"Not Found")</f>
        <v>Jose Soto</v>
      </c>
      <c r="G858" s="5" t="str">
        <f>IFERROR(INDEX(Employee_Master!$E$2:$E$44,MATCH($C858,Employee_Master!$A$2:$A$44,0)),"Not Found")</f>
        <v>South</v>
      </c>
      <c r="H858" s="5" t="str">
        <f>Sales_Data!D855</f>
        <v>P014 - Air Fryer</v>
      </c>
      <c r="I858" s="5" t="str">
        <f>IFERROR(INDEX(Product_Master!$B$2:$B$30,MATCH($H858,Product_Master!$A$2:$A$30,0)),"Invalid Product Code")</f>
        <v>Home &amp; Kitchen</v>
      </c>
      <c r="J858" s="5">
        <f>IFERROR(INDEX(Product_Master!$C$2:$C$30,MATCH($H858,Product_Master!$A$2:$A$30,0)),0)</f>
        <v>729.85</v>
      </c>
      <c r="K858" s="5">
        <f>Sales_Data!E855</f>
        <v>4</v>
      </c>
      <c r="L858" s="5">
        <f>Sales_Data!F855</f>
        <v>3516.44</v>
      </c>
      <c r="M858" s="5">
        <f>Sales_Data!G855</f>
        <v>2956.49</v>
      </c>
      <c r="N858" s="5" t="str">
        <f>IFERROR(INDEX(Branch_Master!$B$2:$B$9,MATCH($B858,Branch_Master!$A$2:$A$9,0)),"Not Found")</f>
        <v>Bangalore</v>
      </c>
      <c r="O858" s="5" t="str">
        <f>IFERROR(INDEX(Branch_Master!$C$2:$C$9,MATCH($B858,Branch_Master!$A$2:$A$9,0)),"Not Found")</f>
        <v>Karnataka</v>
      </c>
      <c r="P858" s="5">
        <f>IFERROR(INDEX(Targets!$B$2:$B$9,MATCH($B858,Targets!$A$2:$A$9,0)),0)</f>
        <v>900000</v>
      </c>
      <c r="Q858" s="5" t="str">
        <f t="shared" si="26"/>
        <v>Yes</v>
      </c>
      <c r="R858" s="5" t="str">
        <f t="shared" si="27"/>
        <v>Nov</v>
      </c>
    </row>
    <row r="859" spans="1:18" ht="15" customHeight="1" x14ac:dyDescent="0.3">
      <c r="A859" s="5" t="str">
        <f>Sales_Data!A856</f>
        <v>2025-11-08</v>
      </c>
      <c r="B859" s="5" t="str">
        <f>Sales_Data!B856</f>
        <v>Mumbai Central</v>
      </c>
      <c r="C859" s="5" t="str">
        <f>Sales_Data!C856</f>
        <v>E012</v>
      </c>
      <c r="D859" s="5" t="str">
        <f>IFERROR(INDEX(Employee_Master!$B$2:$B$44,MATCH($C859,Employee_Master!$A$2:$A$44,0)),"Not Found")</f>
        <v>Brandon Cook</v>
      </c>
      <c r="E859" s="5" t="str">
        <f>IFERROR(INDEX(Employee_Master!$C$2:$C$44,MATCH($C859,Employee_Master!$A$2:$A$44,0)),"Not Found")</f>
        <v>Customer Support</v>
      </c>
      <c r="F859" s="5" t="str">
        <f>IFERROR(INDEX(Employee_Master!$D$2:$D$44,MATCH($C859,Employee_Master!$A$2:$A$44,0)),"Not Found")</f>
        <v>Justin Glass</v>
      </c>
      <c r="G859" s="5" t="str">
        <f>IFERROR(INDEX(Employee_Master!$E$2:$E$44,MATCH($C859,Employee_Master!$A$2:$A$44,0)),"Not Found")</f>
        <v>West</v>
      </c>
      <c r="H859" s="5" t="str">
        <f>Sales_Data!D856</f>
        <v>P023 - Sunscreen SPF50</v>
      </c>
      <c r="I859" s="5" t="str">
        <f>IFERROR(INDEX(Product_Master!$B$2:$B$30,MATCH($H859,Product_Master!$A$2:$A$30,0)),"Invalid Product Code")</f>
        <v>Beauty</v>
      </c>
      <c r="J859" s="5">
        <f>IFERROR(INDEX(Product_Master!$C$2:$C$30,MATCH($H859,Product_Master!$A$2:$A$30,0)),0)</f>
        <v>818.95</v>
      </c>
      <c r="K859" s="5">
        <f>Sales_Data!E856</f>
        <v>3</v>
      </c>
      <c r="L859" s="5">
        <f>Sales_Data!F856</f>
        <v>3023.02</v>
      </c>
      <c r="M859" s="5">
        <f>Sales_Data!G856</f>
        <v>2594.7800000000002</v>
      </c>
      <c r="N859" s="5" t="str">
        <f>IFERROR(INDEX(Branch_Master!$B$2:$B$9,MATCH($B859,Branch_Master!$A$2:$A$9,0)),"Not Found")</f>
        <v>Mumbai</v>
      </c>
      <c r="O859" s="5" t="str">
        <f>IFERROR(INDEX(Branch_Master!$C$2:$C$9,MATCH($B859,Branch_Master!$A$2:$A$9,0)),"Not Found")</f>
        <v>Maharashtra</v>
      </c>
      <c r="P859" s="5">
        <f>IFERROR(INDEX(Targets!$B$2:$B$9,MATCH($B859,Targets!$A$2:$A$9,0)),0)</f>
        <v>900000</v>
      </c>
      <c r="Q859" s="5" t="str">
        <f t="shared" si="26"/>
        <v>Yes</v>
      </c>
      <c r="R859" s="5" t="str">
        <f t="shared" si="27"/>
        <v>Nov</v>
      </c>
    </row>
    <row r="860" spans="1:18" ht="15" customHeight="1" x14ac:dyDescent="0.3">
      <c r="A860" s="5" t="str">
        <f>Sales_Data!A857</f>
        <v>2025-11-09</v>
      </c>
      <c r="B860" s="5" t="str">
        <f>Sales_Data!B857</f>
        <v>Delhi NCR</v>
      </c>
      <c r="C860" s="5" t="str">
        <f>Sales_Data!C857</f>
        <v>E031</v>
      </c>
      <c r="D860" s="5" t="str">
        <f>IFERROR(INDEX(Employee_Master!$B$2:$B$44,MATCH($C860,Employee_Master!$A$2:$A$44,0)),"Not Found")</f>
        <v>Jennifer Garcia</v>
      </c>
      <c r="E860" s="5" t="str">
        <f>IFERROR(INDEX(Employee_Master!$C$2:$C$44,MATCH($C860,Employee_Master!$A$2:$A$44,0)),"Not Found")</f>
        <v>Sales</v>
      </c>
      <c r="F860" s="5" t="str">
        <f>IFERROR(INDEX(Employee_Master!$D$2:$D$44,MATCH($C860,Employee_Master!$A$2:$A$44,0)),"Not Found")</f>
        <v>William Oconnell</v>
      </c>
      <c r="G860" s="5" t="str">
        <f>IFERROR(INDEX(Employee_Master!$E$2:$E$44,MATCH($C860,Employee_Master!$A$2:$A$44,0)),"Not Found")</f>
        <v>North</v>
      </c>
      <c r="H860" s="5" t="str">
        <f>Sales_Data!D857</f>
        <v>P013 - Mixer Grinder</v>
      </c>
      <c r="I860" s="5" t="str">
        <f>IFERROR(INDEX(Product_Master!$B$2:$B$30,MATCH($H860,Product_Master!$A$2:$A$30,0)),"Invalid Product Code")</f>
        <v>Home &amp; Kitchen</v>
      </c>
      <c r="J860" s="5">
        <f>IFERROR(INDEX(Product_Master!$C$2:$C$30,MATCH($H860,Product_Master!$A$2:$A$30,0)),0)</f>
        <v>798.53</v>
      </c>
      <c r="K860" s="5">
        <f>Sales_Data!E857</f>
        <v>2</v>
      </c>
      <c r="L860" s="5">
        <f>Sales_Data!F857</f>
        <v>1899.4</v>
      </c>
      <c r="M860" s="5">
        <f>Sales_Data!G857</f>
        <v>1457.51</v>
      </c>
      <c r="N860" s="5" t="str">
        <f>IFERROR(INDEX(Branch_Master!$B$2:$B$9,MATCH($B860,Branch_Master!$A$2:$A$9,0)),"Not Found")</f>
        <v>New Delhi</v>
      </c>
      <c r="O860" s="5" t="str">
        <f>IFERROR(INDEX(Branch_Master!$C$2:$C$9,MATCH($B860,Branch_Master!$A$2:$A$9,0)),"Not Found")</f>
        <v>Delhi</v>
      </c>
      <c r="P860" s="5">
        <f>IFERROR(INDEX(Targets!$B$2:$B$9,MATCH($B860,Targets!$A$2:$A$9,0)),0)</f>
        <v>2070000</v>
      </c>
      <c r="Q860" s="5" t="str">
        <f t="shared" si="26"/>
        <v>Yes</v>
      </c>
      <c r="R860" s="5" t="str">
        <f t="shared" si="27"/>
        <v>Nov</v>
      </c>
    </row>
    <row r="861" spans="1:18" ht="15" customHeight="1" x14ac:dyDescent="0.3">
      <c r="A861" s="5" t="str">
        <f>Sales_Data!A858</f>
        <v>2025-11-09</v>
      </c>
      <c r="B861" s="5" t="str">
        <f>Sales_Data!B858</f>
        <v>Hyderabad Hitech</v>
      </c>
      <c r="C861" s="5" t="str">
        <f>Sales_Data!C858</f>
        <v>E011</v>
      </c>
      <c r="D861" s="5" t="str">
        <f>IFERROR(INDEX(Employee_Master!$B$2:$B$44,MATCH($C861,Employee_Master!$A$2:$A$44,0)),"Not Found")</f>
        <v>Mark Osborne</v>
      </c>
      <c r="E861" s="5" t="str">
        <f>IFERROR(INDEX(Employee_Master!$C$2:$C$44,MATCH($C861,Employee_Master!$A$2:$A$44,0)),"Not Found")</f>
        <v>Marketing</v>
      </c>
      <c r="F861" s="5" t="str">
        <f>IFERROR(INDEX(Employee_Master!$D$2:$D$44,MATCH($C861,Employee_Master!$A$2:$A$44,0)),"Not Found")</f>
        <v>Anna Turner</v>
      </c>
      <c r="G861" s="5" t="str">
        <f>IFERROR(INDEX(Employee_Master!$E$2:$E$44,MATCH($C861,Employee_Master!$A$2:$A$44,0)),"Not Found")</f>
        <v>South</v>
      </c>
      <c r="H861" s="5" t="str">
        <f>Sales_Data!D858</f>
        <v>P006 - Laptop Stand</v>
      </c>
      <c r="I861" s="5" t="str">
        <f>IFERROR(INDEX(Product_Master!$B$2:$B$30,MATCH($H861,Product_Master!$A$2:$A$30,0)),"Invalid Product Code")</f>
        <v>Electronics</v>
      </c>
      <c r="J861" s="5">
        <f>IFERROR(INDEX(Product_Master!$C$2:$C$30,MATCH($H861,Product_Master!$A$2:$A$30,0)),0)</f>
        <v>393.96</v>
      </c>
      <c r="K861" s="5">
        <f>Sales_Data!E858</f>
        <v>7</v>
      </c>
      <c r="L861" s="5">
        <f>Sales_Data!F858</f>
        <v>3646.15</v>
      </c>
      <c r="M861" s="5">
        <f>Sales_Data!G858</f>
        <v>3167.02</v>
      </c>
      <c r="N861" s="5" t="str">
        <f>IFERROR(INDEX(Branch_Master!$B$2:$B$9,MATCH($B861,Branch_Master!$A$2:$A$9,0)),"Not Found")</f>
        <v>Hyderabad</v>
      </c>
      <c r="O861" s="5" t="str">
        <f>IFERROR(INDEX(Branch_Master!$C$2:$C$9,MATCH($B861,Branch_Master!$A$2:$A$9,0)),"Not Found")</f>
        <v>Telangana</v>
      </c>
      <c r="P861" s="5">
        <f>IFERROR(INDEX(Targets!$B$2:$B$9,MATCH($B861,Targets!$A$2:$A$9,0)),0)</f>
        <v>1210000</v>
      </c>
      <c r="Q861" s="5" t="str">
        <f t="shared" si="26"/>
        <v>Yes</v>
      </c>
      <c r="R861" s="5" t="str">
        <f t="shared" si="27"/>
        <v>Nov</v>
      </c>
    </row>
    <row r="862" spans="1:18" ht="15" customHeight="1" x14ac:dyDescent="0.3">
      <c r="A862" s="5" t="str">
        <f>Sales_Data!A859</f>
        <v>2025-11-09</v>
      </c>
      <c r="B862" s="5" t="str">
        <f>Sales_Data!B859</f>
        <v>Hyderabad Hitech</v>
      </c>
      <c r="C862" s="5" t="str">
        <f>Sales_Data!C859</f>
        <v>E020</v>
      </c>
      <c r="D862" s="5" t="str">
        <f>IFERROR(INDEX(Employee_Master!$B$2:$B$44,MATCH($C862,Employee_Master!$A$2:$A$44,0)),"Not Found")</f>
        <v>Christine Long</v>
      </c>
      <c r="E862" s="5" t="str">
        <f>IFERROR(INDEX(Employee_Master!$C$2:$C$44,MATCH($C862,Employee_Master!$A$2:$A$44,0)),"Not Found")</f>
        <v>Operations</v>
      </c>
      <c r="F862" s="5" t="str">
        <f>IFERROR(INDEX(Employee_Master!$D$2:$D$44,MATCH($C862,Employee_Master!$A$2:$A$44,0)),"Not Found")</f>
        <v>Anna Turner</v>
      </c>
      <c r="G862" s="5" t="str">
        <f>IFERROR(INDEX(Employee_Master!$E$2:$E$44,MATCH($C862,Employee_Master!$A$2:$A$44,0)),"Not Found")</f>
        <v>South</v>
      </c>
      <c r="H862" s="5" t="str">
        <f>Sales_Data!D859</f>
        <v>P028 - Football</v>
      </c>
      <c r="I862" s="5" t="str">
        <f>IFERROR(INDEX(Product_Master!$B$2:$B$30,MATCH($H862,Product_Master!$A$2:$A$30,0)),"Invalid Product Code")</f>
        <v>Sports</v>
      </c>
      <c r="J862" s="5">
        <f>IFERROR(INDEX(Product_Master!$C$2:$C$30,MATCH($H862,Product_Master!$A$2:$A$30,0)),0)</f>
        <v>314.25</v>
      </c>
      <c r="K862" s="5">
        <f>Sales_Data!E859</f>
        <v>3</v>
      </c>
      <c r="L862" s="5">
        <f>Sales_Data!F859</f>
        <v>1340.4</v>
      </c>
      <c r="M862" s="5">
        <f>Sales_Data!G859</f>
        <v>949.6</v>
      </c>
      <c r="N862" s="5" t="str">
        <f>IFERROR(INDEX(Branch_Master!$B$2:$B$9,MATCH($B862,Branch_Master!$A$2:$A$9,0)),"Not Found")</f>
        <v>Hyderabad</v>
      </c>
      <c r="O862" s="5" t="str">
        <f>IFERROR(INDEX(Branch_Master!$C$2:$C$9,MATCH($B862,Branch_Master!$A$2:$A$9,0)),"Not Found")</f>
        <v>Telangana</v>
      </c>
      <c r="P862" s="5">
        <f>IFERROR(INDEX(Targets!$B$2:$B$9,MATCH($B862,Targets!$A$2:$A$9,0)),0)</f>
        <v>1210000</v>
      </c>
      <c r="Q862" s="5" t="str">
        <f t="shared" si="26"/>
        <v>Yes</v>
      </c>
      <c r="R862" s="5" t="str">
        <f t="shared" si="27"/>
        <v>Nov</v>
      </c>
    </row>
    <row r="863" spans="1:18" ht="15" customHeight="1" x14ac:dyDescent="0.3">
      <c r="A863" s="5" t="str">
        <f>Sales_Data!A860</f>
        <v>2025-11-09</v>
      </c>
      <c r="B863" s="5" t="str">
        <f>Sales_Data!B860</f>
        <v>Delhi NCR</v>
      </c>
      <c r="C863" s="5" t="str">
        <f>Sales_Data!C860</f>
        <v>E031</v>
      </c>
      <c r="D863" s="5" t="str">
        <f>IFERROR(INDEX(Employee_Master!$B$2:$B$44,MATCH($C863,Employee_Master!$A$2:$A$44,0)),"Not Found")</f>
        <v>Jennifer Garcia</v>
      </c>
      <c r="E863" s="5" t="str">
        <f>IFERROR(INDEX(Employee_Master!$C$2:$C$44,MATCH($C863,Employee_Master!$A$2:$A$44,0)),"Not Found")</f>
        <v>Sales</v>
      </c>
      <c r="F863" s="5" t="str">
        <f>IFERROR(INDEX(Employee_Master!$D$2:$D$44,MATCH($C863,Employee_Master!$A$2:$A$44,0)),"Not Found")</f>
        <v>William Oconnell</v>
      </c>
      <c r="G863" s="5" t="str">
        <f>IFERROR(INDEX(Employee_Master!$E$2:$E$44,MATCH($C863,Employee_Master!$A$2:$A$44,0)),"Not Found")</f>
        <v>North</v>
      </c>
      <c r="H863" s="5" t="str">
        <f>Sales_Data!D860</f>
        <v>P013 - Mixer Grinder</v>
      </c>
      <c r="I863" s="5" t="str">
        <f>IFERROR(INDEX(Product_Master!$B$2:$B$30,MATCH($H863,Product_Master!$A$2:$A$30,0)),"Invalid Product Code")</f>
        <v>Home &amp; Kitchen</v>
      </c>
      <c r="J863" s="5">
        <f>IFERROR(INDEX(Product_Master!$C$2:$C$30,MATCH($H863,Product_Master!$A$2:$A$30,0)),0)</f>
        <v>798.53</v>
      </c>
      <c r="K863" s="5">
        <f>Sales_Data!E860</f>
        <v>7</v>
      </c>
      <c r="L863" s="5">
        <f>Sales_Data!F860</f>
        <v>7637.18</v>
      </c>
      <c r="M863" s="5">
        <f>Sales_Data!G860</f>
        <v>5506.18</v>
      </c>
      <c r="N863" s="5" t="str">
        <f>IFERROR(INDEX(Branch_Master!$B$2:$B$9,MATCH($B863,Branch_Master!$A$2:$A$9,0)),"Not Found")</f>
        <v>New Delhi</v>
      </c>
      <c r="O863" s="5" t="str">
        <f>IFERROR(INDEX(Branch_Master!$C$2:$C$9,MATCH($B863,Branch_Master!$A$2:$A$9,0)),"Not Found")</f>
        <v>Delhi</v>
      </c>
      <c r="P863" s="5">
        <f>IFERROR(INDEX(Targets!$B$2:$B$9,MATCH($B863,Targets!$A$2:$A$9,0)),0)</f>
        <v>2070000</v>
      </c>
      <c r="Q863" s="5" t="str">
        <f t="shared" si="26"/>
        <v>Yes</v>
      </c>
      <c r="R863" s="5" t="str">
        <f t="shared" si="27"/>
        <v>Nov</v>
      </c>
    </row>
    <row r="864" spans="1:18" ht="15" customHeight="1" x14ac:dyDescent="0.3">
      <c r="A864" s="5" t="str">
        <f>Sales_Data!A861</f>
        <v>2025-11-09</v>
      </c>
      <c r="B864" s="5" t="str">
        <f>Sales_Data!B861</f>
        <v>Hyderabad Hitech</v>
      </c>
      <c r="C864" s="5" t="str">
        <f>Sales_Data!C861</f>
        <v>E011</v>
      </c>
      <c r="D864" s="5" t="str">
        <f>IFERROR(INDEX(Employee_Master!$B$2:$B$44,MATCH($C864,Employee_Master!$A$2:$A$44,0)),"Not Found")</f>
        <v>Mark Osborne</v>
      </c>
      <c r="E864" s="5" t="str">
        <f>IFERROR(INDEX(Employee_Master!$C$2:$C$44,MATCH($C864,Employee_Master!$A$2:$A$44,0)),"Not Found")</f>
        <v>Marketing</v>
      </c>
      <c r="F864" s="5" t="str">
        <f>IFERROR(INDEX(Employee_Master!$D$2:$D$44,MATCH($C864,Employee_Master!$A$2:$A$44,0)),"Not Found")</f>
        <v>Anna Turner</v>
      </c>
      <c r="G864" s="5" t="str">
        <f>IFERROR(INDEX(Employee_Master!$E$2:$E$44,MATCH($C864,Employee_Master!$A$2:$A$44,0)),"Not Found")</f>
        <v>South</v>
      </c>
      <c r="H864" s="5" t="str">
        <f>Sales_Data!D861</f>
        <v>P014 - Air Fryer</v>
      </c>
      <c r="I864" s="5" t="str">
        <f>IFERROR(INDEX(Product_Master!$B$2:$B$30,MATCH($H864,Product_Master!$A$2:$A$30,0)),"Invalid Product Code")</f>
        <v>Home &amp; Kitchen</v>
      </c>
      <c r="J864" s="5">
        <f>IFERROR(INDEX(Product_Master!$C$2:$C$30,MATCH($H864,Product_Master!$A$2:$A$30,0)),0)</f>
        <v>729.85</v>
      </c>
      <c r="K864" s="5">
        <f>Sales_Data!E861</f>
        <v>6</v>
      </c>
      <c r="L864" s="5">
        <f>Sales_Data!F861</f>
        <v>5274.03</v>
      </c>
      <c r="M864" s="5">
        <f>Sales_Data!G861</f>
        <v>4898.51</v>
      </c>
      <c r="N864" s="5" t="str">
        <f>IFERROR(INDEX(Branch_Master!$B$2:$B$9,MATCH($B864,Branch_Master!$A$2:$A$9,0)),"Not Found")</f>
        <v>Hyderabad</v>
      </c>
      <c r="O864" s="5" t="str">
        <f>IFERROR(INDEX(Branch_Master!$C$2:$C$9,MATCH($B864,Branch_Master!$A$2:$A$9,0)),"Not Found")</f>
        <v>Telangana</v>
      </c>
      <c r="P864" s="5">
        <f>IFERROR(INDEX(Targets!$B$2:$B$9,MATCH($B864,Targets!$A$2:$A$9,0)),0)</f>
        <v>1210000</v>
      </c>
      <c r="Q864" s="5" t="str">
        <f t="shared" si="26"/>
        <v>Yes</v>
      </c>
      <c r="R864" s="5" t="str">
        <f t="shared" si="27"/>
        <v>Nov</v>
      </c>
    </row>
    <row r="865" spans="1:18" ht="15" customHeight="1" x14ac:dyDescent="0.3">
      <c r="A865" s="5" t="str">
        <f>Sales_Data!A862</f>
        <v>2025-11-10</v>
      </c>
      <c r="B865" s="5" t="str">
        <f>Sales_Data!B862</f>
        <v>Bangalore North</v>
      </c>
      <c r="C865" s="5" t="str">
        <f>Sales_Data!C862</f>
        <v>E040</v>
      </c>
      <c r="D865" s="5" t="str">
        <f>IFERROR(INDEX(Employee_Master!$B$2:$B$44,MATCH($C865,Employee_Master!$A$2:$A$44,0)),"Not Found")</f>
        <v>Bonnie Cox</v>
      </c>
      <c r="E865" s="5" t="str">
        <f>IFERROR(INDEX(Employee_Master!$C$2:$C$44,MATCH($C865,Employee_Master!$A$2:$A$44,0)),"Not Found")</f>
        <v>Customer Support</v>
      </c>
      <c r="F865" s="5" t="str">
        <f>IFERROR(INDEX(Employee_Master!$D$2:$D$44,MATCH($C865,Employee_Master!$A$2:$A$44,0)),"Not Found")</f>
        <v>Jose Soto</v>
      </c>
      <c r="G865" s="5" t="str">
        <f>IFERROR(INDEX(Employee_Master!$E$2:$E$44,MATCH($C865,Employee_Master!$A$2:$A$44,0)),"Not Found")</f>
        <v>South</v>
      </c>
      <c r="H865" s="5" t="str">
        <f>Sales_Data!D862</f>
        <v>P014 - Air Fryer</v>
      </c>
      <c r="I865" s="5" t="str">
        <f>IFERROR(INDEX(Product_Master!$B$2:$B$30,MATCH($H865,Product_Master!$A$2:$A$30,0)),"Invalid Product Code")</f>
        <v>Home &amp; Kitchen</v>
      </c>
      <c r="J865" s="5">
        <f>IFERROR(INDEX(Product_Master!$C$2:$C$30,MATCH($H865,Product_Master!$A$2:$A$30,0)),0)</f>
        <v>729.85</v>
      </c>
      <c r="K865" s="5">
        <f>Sales_Data!E862</f>
        <v>10</v>
      </c>
      <c r="L865" s="5">
        <f>Sales_Data!F862</f>
        <v>9209.51</v>
      </c>
      <c r="M865" s="5">
        <f>Sales_Data!G862</f>
        <v>8175.62</v>
      </c>
      <c r="N865" s="5" t="str">
        <f>IFERROR(INDEX(Branch_Master!$B$2:$B$9,MATCH($B865,Branch_Master!$A$2:$A$9,0)),"Not Found")</f>
        <v>Bangalore</v>
      </c>
      <c r="O865" s="5" t="str">
        <f>IFERROR(INDEX(Branch_Master!$C$2:$C$9,MATCH($B865,Branch_Master!$A$2:$A$9,0)),"Not Found")</f>
        <v>Karnataka</v>
      </c>
      <c r="P865" s="5">
        <f>IFERROR(INDEX(Targets!$B$2:$B$9,MATCH($B865,Targets!$A$2:$A$9,0)),0)</f>
        <v>900000</v>
      </c>
      <c r="Q865" s="5" t="str">
        <f t="shared" si="26"/>
        <v>Yes</v>
      </c>
      <c r="R865" s="5" t="str">
        <f t="shared" si="27"/>
        <v>Nov</v>
      </c>
    </row>
    <row r="866" spans="1:18" ht="15" customHeight="1" x14ac:dyDescent="0.3">
      <c r="A866" s="5" t="str">
        <f>Sales_Data!A863</f>
        <v>2025-11-10</v>
      </c>
      <c r="B866" s="5" t="str">
        <f>Sales_Data!B863</f>
        <v>Delhi NCR</v>
      </c>
      <c r="C866" s="5" t="str">
        <f>Sales_Data!C863</f>
        <v>E031</v>
      </c>
      <c r="D866" s="5" t="str">
        <f>IFERROR(INDEX(Employee_Master!$B$2:$B$44,MATCH($C866,Employee_Master!$A$2:$A$44,0)),"Not Found")</f>
        <v>Jennifer Garcia</v>
      </c>
      <c r="E866" s="5" t="str">
        <f>IFERROR(INDEX(Employee_Master!$C$2:$C$44,MATCH($C866,Employee_Master!$A$2:$A$44,0)),"Not Found")</f>
        <v>Sales</v>
      </c>
      <c r="F866" s="5" t="str">
        <f>IFERROR(INDEX(Employee_Master!$D$2:$D$44,MATCH($C866,Employee_Master!$A$2:$A$44,0)),"Not Found")</f>
        <v>William Oconnell</v>
      </c>
      <c r="G866" s="5" t="str">
        <f>IFERROR(INDEX(Employee_Master!$E$2:$E$44,MATCH($C866,Employee_Master!$A$2:$A$44,0)),"Not Found")</f>
        <v>North</v>
      </c>
      <c r="H866" s="5" t="str">
        <f>Sales_Data!D863</f>
        <v>P002 - Smart Watch</v>
      </c>
      <c r="I866" s="5" t="str">
        <f>IFERROR(INDEX(Product_Master!$B$2:$B$30,MATCH($H866,Product_Master!$A$2:$A$30,0)),"Invalid Product Code")</f>
        <v>Electronics</v>
      </c>
      <c r="J866" s="5">
        <f>IFERROR(INDEX(Product_Master!$C$2:$C$30,MATCH($H866,Product_Master!$A$2:$A$30,0)),0)</f>
        <v>403.33</v>
      </c>
      <c r="K866" s="5">
        <f>Sales_Data!E863</f>
        <v>1</v>
      </c>
      <c r="L866" s="5">
        <f>Sales_Data!F863</f>
        <v>539.53</v>
      </c>
      <c r="M866" s="5">
        <f>Sales_Data!G863</f>
        <v>382</v>
      </c>
      <c r="N866" s="5" t="str">
        <f>IFERROR(INDEX(Branch_Master!$B$2:$B$9,MATCH($B866,Branch_Master!$A$2:$A$9,0)),"Not Found")</f>
        <v>New Delhi</v>
      </c>
      <c r="O866" s="5" t="str">
        <f>IFERROR(INDEX(Branch_Master!$C$2:$C$9,MATCH($B866,Branch_Master!$A$2:$A$9,0)),"Not Found")</f>
        <v>Delhi</v>
      </c>
      <c r="P866" s="5">
        <f>IFERROR(INDEX(Targets!$B$2:$B$9,MATCH($B866,Targets!$A$2:$A$9,0)),0)</f>
        <v>2070000</v>
      </c>
      <c r="Q866" s="5" t="str">
        <f t="shared" si="26"/>
        <v>Yes</v>
      </c>
      <c r="R866" s="5" t="str">
        <f t="shared" si="27"/>
        <v>Nov</v>
      </c>
    </row>
    <row r="867" spans="1:18" ht="15" customHeight="1" x14ac:dyDescent="0.3">
      <c r="A867" s="5" t="str">
        <f>Sales_Data!A864</f>
        <v>2025-11-10</v>
      </c>
      <c r="B867" s="5" t="str">
        <f>Sales_Data!B864</f>
        <v>Pune East</v>
      </c>
      <c r="C867" s="5" t="str">
        <f>Sales_Data!C864</f>
        <v>E034</v>
      </c>
      <c r="D867" s="5" t="str">
        <f>IFERROR(INDEX(Employee_Master!$B$2:$B$44,MATCH($C867,Employee_Master!$A$2:$A$44,0)),"Not Found")</f>
        <v>Elaine Thompson</v>
      </c>
      <c r="E867" s="5" t="str">
        <f>IFERROR(INDEX(Employee_Master!$C$2:$C$44,MATCH($C867,Employee_Master!$A$2:$A$44,0)),"Not Found")</f>
        <v>Marketing</v>
      </c>
      <c r="F867" s="5" t="str">
        <f>IFERROR(INDEX(Employee_Master!$D$2:$D$44,MATCH($C867,Employee_Master!$A$2:$A$44,0)),"Not Found")</f>
        <v>Jordan Matthews</v>
      </c>
      <c r="G867" s="5" t="str">
        <f>IFERROR(INDEX(Employee_Master!$E$2:$E$44,MATCH($C867,Employee_Master!$A$2:$A$44,0)),"Not Found")</f>
        <v>West</v>
      </c>
      <c r="H867" s="5" t="str">
        <f>Sales_Data!D864</f>
        <v>P008 - Denim Jeans</v>
      </c>
      <c r="I867" s="5" t="str">
        <f>IFERROR(INDEX(Product_Master!$B$2:$B$30,MATCH($H867,Product_Master!$A$2:$A$30,0)),"Invalid Product Code")</f>
        <v>Apparel</v>
      </c>
      <c r="J867" s="5">
        <f>IFERROR(INDEX(Product_Master!$C$2:$C$30,MATCH($H867,Product_Master!$A$2:$A$30,0)),0)</f>
        <v>614.48</v>
      </c>
      <c r="K867" s="5">
        <f>Sales_Data!E864</f>
        <v>11</v>
      </c>
      <c r="L867" s="5">
        <f>Sales_Data!F864</f>
        <v>8398.08</v>
      </c>
      <c r="M867" s="5">
        <f>Sales_Data!G864</f>
        <v>6157.22</v>
      </c>
      <c r="N867" s="5" t="str">
        <f>IFERROR(INDEX(Branch_Master!$B$2:$B$9,MATCH($B867,Branch_Master!$A$2:$A$9,0)),"Not Found")</f>
        <v>Pune</v>
      </c>
      <c r="O867" s="5" t="str">
        <f>IFERROR(INDEX(Branch_Master!$C$2:$C$9,MATCH($B867,Branch_Master!$A$2:$A$9,0)),"Not Found")</f>
        <v>Maharashtra</v>
      </c>
      <c r="P867" s="5">
        <f>IFERROR(INDEX(Targets!$B$2:$B$9,MATCH($B867,Targets!$A$2:$A$9,0)),0)</f>
        <v>1250000</v>
      </c>
      <c r="Q867" s="5" t="str">
        <f t="shared" si="26"/>
        <v>Yes</v>
      </c>
      <c r="R867" s="5" t="str">
        <f t="shared" si="27"/>
        <v>Nov</v>
      </c>
    </row>
    <row r="868" spans="1:18" ht="15" customHeight="1" x14ac:dyDescent="0.3">
      <c r="A868" s="5" t="str">
        <f>Sales_Data!A865</f>
        <v>2025-11-10</v>
      </c>
      <c r="B868" s="5" t="str">
        <f>Sales_Data!B865</f>
        <v>Ahmedabad West</v>
      </c>
      <c r="C868" s="5" t="str">
        <f>Sales_Data!C865</f>
        <v>E002</v>
      </c>
      <c r="D868" s="5" t="str">
        <f>IFERROR(INDEX(Employee_Master!$B$2:$B$44,MATCH($C868,Employee_Master!$A$2:$A$44,0)),"Not Found")</f>
        <v>Jeremiah Kirby</v>
      </c>
      <c r="E868" s="5" t="str">
        <f>IFERROR(INDEX(Employee_Master!$C$2:$C$44,MATCH($C868,Employee_Master!$A$2:$A$44,0)),"Not Found")</f>
        <v>Marketing</v>
      </c>
      <c r="F868" s="5" t="str">
        <f>IFERROR(INDEX(Employee_Master!$D$2:$D$44,MATCH($C868,Employee_Master!$A$2:$A$44,0)),"Not Found")</f>
        <v>Joseph Brown</v>
      </c>
      <c r="G868" s="5" t="str">
        <f>IFERROR(INDEX(Employee_Master!$E$2:$E$44,MATCH($C868,Employee_Master!$A$2:$A$44,0)),"Not Found")</f>
        <v>West</v>
      </c>
      <c r="H868" s="5" t="str">
        <f>Sales_Data!D865</f>
        <v>P017 - Basmati Rice 5kg</v>
      </c>
      <c r="I868" s="5" t="str">
        <f>IFERROR(INDEX(Product_Master!$B$2:$B$30,MATCH($H868,Product_Master!$A$2:$A$30,0)),"Invalid Product Code")</f>
        <v>Grocery</v>
      </c>
      <c r="J868" s="5">
        <f>IFERROR(INDEX(Product_Master!$C$2:$C$30,MATCH($H868,Product_Master!$A$2:$A$30,0)),0)</f>
        <v>825.33</v>
      </c>
      <c r="K868" s="5">
        <f>Sales_Data!E865</f>
        <v>4</v>
      </c>
      <c r="L868" s="5">
        <f>Sales_Data!F865</f>
        <v>4214.96</v>
      </c>
      <c r="M868" s="5">
        <f>Sales_Data!G865</f>
        <v>3703.77</v>
      </c>
      <c r="N868" s="5" t="str">
        <f>IFERROR(INDEX(Branch_Master!$B$2:$B$9,MATCH($B868,Branch_Master!$A$2:$A$9,0)),"Not Found")</f>
        <v>Ahmedabad</v>
      </c>
      <c r="O868" s="5" t="str">
        <f>IFERROR(INDEX(Branch_Master!$C$2:$C$9,MATCH($B868,Branch_Master!$A$2:$A$9,0)),"Not Found")</f>
        <v>Gujarat</v>
      </c>
      <c r="P868" s="5">
        <f>IFERROR(INDEX(Targets!$B$2:$B$9,MATCH($B868,Targets!$A$2:$A$9,0)),0)</f>
        <v>1590000</v>
      </c>
      <c r="Q868" s="5" t="str">
        <f t="shared" si="26"/>
        <v>Yes</v>
      </c>
      <c r="R868" s="5" t="str">
        <f t="shared" si="27"/>
        <v>Nov</v>
      </c>
    </row>
    <row r="869" spans="1:18" ht="15" customHeight="1" x14ac:dyDescent="0.3">
      <c r="A869" s="5" t="str">
        <f>Sales_Data!A866</f>
        <v>2025-11-10</v>
      </c>
      <c r="B869" s="5" t="str">
        <f>Sales_Data!B866</f>
        <v>Bangalore North</v>
      </c>
      <c r="C869" s="5" t="str">
        <f>Sales_Data!C866</f>
        <v>E038</v>
      </c>
      <c r="D869" s="5" t="str">
        <f>IFERROR(INDEX(Employee_Master!$B$2:$B$44,MATCH($C869,Employee_Master!$A$2:$A$44,0)),"Not Found")</f>
        <v>Derrick Griffin</v>
      </c>
      <c r="E869" s="5" t="str">
        <f>IFERROR(INDEX(Employee_Master!$C$2:$C$44,MATCH($C869,Employee_Master!$A$2:$A$44,0)),"Not Found")</f>
        <v>Marketing</v>
      </c>
      <c r="F869" s="5" t="str">
        <f>IFERROR(INDEX(Employee_Master!$D$2:$D$44,MATCH($C869,Employee_Master!$A$2:$A$44,0)),"Not Found")</f>
        <v>Jose Soto</v>
      </c>
      <c r="G869" s="5" t="str">
        <f>IFERROR(INDEX(Employee_Master!$E$2:$E$44,MATCH($C869,Employee_Master!$A$2:$A$44,0)),"Not Found")</f>
        <v>South</v>
      </c>
      <c r="H869" s="5" t="str">
        <f>Sales_Data!D866</f>
        <v>P006 - Laptop Stand</v>
      </c>
      <c r="I869" s="5" t="str">
        <f>IFERROR(INDEX(Product_Master!$B$2:$B$30,MATCH($H869,Product_Master!$A$2:$A$30,0)),"Invalid Product Code")</f>
        <v>Electronics</v>
      </c>
      <c r="J869" s="5">
        <f>IFERROR(INDEX(Product_Master!$C$2:$C$30,MATCH($H869,Product_Master!$A$2:$A$30,0)),0)</f>
        <v>393.96</v>
      </c>
      <c r="K869" s="5">
        <f>Sales_Data!E866</f>
        <v>9</v>
      </c>
      <c r="L869" s="5">
        <f>Sales_Data!F866</f>
        <v>4382.76</v>
      </c>
      <c r="M869" s="5">
        <f>Sales_Data!G866</f>
        <v>3683.91</v>
      </c>
      <c r="N869" s="5" t="str">
        <f>IFERROR(INDEX(Branch_Master!$B$2:$B$9,MATCH($B869,Branch_Master!$A$2:$A$9,0)),"Not Found")</f>
        <v>Bangalore</v>
      </c>
      <c r="O869" s="5" t="str">
        <f>IFERROR(INDEX(Branch_Master!$C$2:$C$9,MATCH($B869,Branch_Master!$A$2:$A$9,0)),"Not Found")</f>
        <v>Karnataka</v>
      </c>
      <c r="P869" s="5">
        <f>IFERROR(INDEX(Targets!$B$2:$B$9,MATCH($B869,Targets!$A$2:$A$9,0)),0)</f>
        <v>900000</v>
      </c>
      <c r="Q869" s="5" t="str">
        <f t="shared" si="26"/>
        <v>Yes</v>
      </c>
      <c r="R869" s="5" t="str">
        <f t="shared" si="27"/>
        <v>Nov</v>
      </c>
    </row>
    <row r="870" spans="1:18" ht="15" customHeight="1" x14ac:dyDescent="0.3">
      <c r="A870" s="5" t="str">
        <f>Sales_Data!A867</f>
        <v>2025-11-10</v>
      </c>
      <c r="B870" s="5" t="str">
        <f>Sales_Data!B867</f>
        <v>Hyderabad Hitech</v>
      </c>
      <c r="C870" s="5" t="str">
        <f>Sales_Data!C867</f>
        <v>E020</v>
      </c>
      <c r="D870" s="5" t="str">
        <f>IFERROR(INDEX(Employee_Master!$B$2:$B$44,MATCH($C870,Employee_Master!$A$2:$A$44,0)),"Not Found")</f>
        <v>Christine Long</v>
      </c>
      <c r="E870" s="5" t="str">
        <f>IFERROR(INDEX(Employee_Master!$C$2:$C$44,MATCH($C870,Employee_Master!$A$2:$A$44,0)),"Not Found")</f>
        <v>Operations</v>
      </c>
      <c r="F870" s="5" t="str">
        <f>IFERROR(INDEX(Employee_Master!$D$2:$D$44,MATCH($C870,Employee_Master!$A$2:$A$44,0)),"Not Found")</f>
        <v>Anna Turner</v>
      </c>
      <c r="G870" s="5" t="str">
        <f>IFERROR(INDEX(Employee_Master!$E$2:$E$44,MATCH($C870,Employee_Master!$A$2:$A$44,0)),"Not Found")</f>
        <v>South</v>
      </c>
      <c r="H870" s="5" t="str">
        <f>Sales_Data!D867</f>
        <v>P009 - Formal Shirt</v>
      </c>
      <c r="I870" s="5" t="str">
        <f>IFERROR(INDEX(Product_Master!$B$2:$B$30,MATCH($H870,Product_Master!$A$2:$A$30,0)),"Invalid Product Code")</f>
        <v>Apparel</v>
      </c>
      <c r="J870" s="5">
        <f>IFERROR(INDEX(Product_Master!$C$2:$C$30,MATCH($H870,Product_Master!$A$2:$A$30,0)),0)</f>
        <v>661.65</v>
      </c>
      <c r="K870" s="5">
        <f>Sales_Data!E867</f>
        <v>2</v>
      </c>
      <c r="L870" s="5">
        <f>Sales_Data!F867</f>
        <v>1738.14</v>
      </c>
      <c r="M870" s="5">
        <f>Sales_Data!G867</f>
        <v>1220.75</v>
      </c>
      <c r="N870" s="5" t="str">
        <f>IFERROR(INDEX(Branch_Master!$B$2:$B$9,MATCH($B870,Branch_Master!$A$2:$A$9,0)),"Not Found")</f>
        <v>Hyderabad</v>
      </c>
      <c r="O870" s="5" t="str">
        <f>IFERROR(INDEX(Branch_Master!$C$2:$C$9,MATCH($B870,Branch_Master!$A$2:$A$9,0)),"Not Found")</f>
        <v>Telangana</v>
      </c>
      <c r="P870" s="5">
        <f>IFERROR(INDEX(Targets!$B$2:$B$9,MATCH($B870,Targets!$A$2:$A$9,0)),0)</f>
        <v>1210000</v>
      </c>
      <c r="Q870" s="5" t="str">
        <f t="shared" si="26"/>
        <v>Yes</v>
      </c>
      <c r="R870" s="5" t="str">
        <f t="shared" si="27"/>
        <v>Nov</v>
      </c>
    </row>
    <row r="871" spans="1:18" ht="15" customHeight="1" x14ac:dyDescent="0.3">
      <c r="A871" s="5" t="str">
        <f>Sales_Data!A868</f>
        <v>2025-11-10</v>
      </c>
      <c r="B871" s="5" t="str">
        <f>Sales_Data!B868</f>
        <v>Delhi NCR</v>
      </c>
      <c r="C871" s="5" t="str">
        <f>Sales_Data!C868</f>
        <v>E013</v>
      </c>
      <c r="D871" s="5" t="str">
        <f>IFERROR(INDEX(Employee_Master!$B$2:$B$44,MATCH($C871,Employee_Master!$A$2:$A$44,0)),"Not Found")</f>
        <v>Norma Wilson</v>
      </c>
      <c r="E871" s="5" t="str">
        <f>IFERROR(INDEX(Employee_Master!$C$2:$C$44,MATCH($C871,Employee_Master!$A$2:$A$44,0)),"Not Found")</f>
        <v>Customer Support</v>
      </c>
      <c r="F871" s="5" t="str">
        <f>IFERROR(INDEX(Employee_Master!$D$2:$D$44,MATCH($C871,Employee_Master!$A$2:$A$44,0)),"Not Found")</f>
        <v>William Oconnell</v>
      </c>
      <c r="G871" s="5" t="str">
        <f>IFERROR(INDEX(Employee_Master!$E$2:$E$44,MATCH($C871,Employee_Master!$A$2:$A$44,0)),"Not Found")</f>
        <v>North</v>
      </c>
      <c r="H871" s="5" t="str">
        <f>Sales_Data!D868</f>
        <v>P003 - Bluetooth Speaker</v>
      </c>
      <c r="I871" s="5" t="str">
        <f>IFERROR(INDEX(Product_Master!$B$2:$B$30,MATCH($H871,Product_Master!$A$2:$A$30,0)),"Invalid Product Code")</f>
        <v>Electronics</v>
      </c>
      <c r="J871" s="5">
        <f>IFERROR(INDEX(Product_Master!$C$2:$C$30,MATCH($H871,Product_Master!$A$2:$A$30,0)),0)</f>
        <v>351.01</v>
      </c>
      <c r="K871" s="5">
        <f>Sales_Data!E868</f>
        <v>4</v>
      </c>
      <c r="L871" s="5">
        <f>Sales_Data!F868</f>
        <v>1957.32</v>
      </c>
      <c r="M871" s="5">
        <f>Sales_Data!G868</f>
        <v>1503.01</v>
      </c>
      <c r="N871" s="5" t="str">
        <f>IFERROR(INDEX(Branch_Master!$B$2:$B$9,MATCH($B871,Branch_Master!$A$2:$A$9,0)),"Not Found")</f>
        <v>New Delhi</v>
      </c>
      <c r="O871" s="5" t="str">
        <f>IFERROR(INDEX(Branch_Master!$C$2:$C$9,MATCH($B871,Branch_Master!$A$2:$A$9,0)),"Not Found")</f>
        <v>Delhi</v>
      </c>
      <c r="P871" s="5">
        <f>IFERROR(INDEX(Targets!$B$2:$B$9,MATCH($B871,Targets!$A$2:$A$9,0)),0)</f>
        <v>2070000</v>
      </c>
      <c r="Q871" s="5" t="str">
        <f t="shared" si="26"/>
        <v>Yes</v>
      </c>
      <c r="R871" s="5" t="str">
        <f t="shared" si="27"/>
        <v>Nov</v>
      </c>
    </row>
    <row r="872" spans="1:18" ht="15" customHeight="1" x14ac:dyDescent="0.3">
      <c r="A872" s="5" t="str">
        <f>Sales_Data!A869</f>
        <v>2025-11-11</v>
      </c>
      <c r="B872" s="5" t="str">
        <f>Sales_Data!B869</f>
        <v>Mumbai Central</v>
      </c>
      <c r="C872" s="5" t="str">
        <f>Sales_Data!C869</f>
        <v>E007</v>
      </c>
      <c r="D872" s="5" t="str">
        <f>IFERROR(INDEX(Employee_Master!$B$2:$B$44,MATCH($C872,Employee_Master!$A$2:$A$44,0)),"Not Found")</f>
        <v>Jennifer Bradford</v>
      </c>
      <c r="E872" s="5" t="str">
        <f>IFERROR(INDEX(Employee_Master!$C$2:$C$44,MATCH($C872,Employee_Master!$A$2:$A$44,0)),"Not Found")</f>
        <v>Customer Support</v>
      </c>
      <c r="F872" s="5" t="str">
        <f>IFERROR(INDEX(Employee_Master!$D$2:$D$44,MATCH($C872,Employee_Master!$A$2:$A$44,0)),"Not Found")</f>
        <v>Justin Glass</v>
      </c>
      <c r="G872" s="5" t="str">
        <f>IFERROR(INDEX(Employee_Master!$E$2:$E$44,MATCH($C872,Employee_Master!$A$2:$A$44,0)),"Not Found")</f>
        <v>West</v>
      </c>
      <c r="H872" s="5" t="str">
        <f>Sales_Data!D869</f>
        <v>P008 - Denim Jeans</v>
      </c>
      <c r="I872" s="5" t="str">
        <f>IFERROR(INDEX(Product_Master!$B$2:$B$30,MATCH($H872,Product_Master!$A$2:$A$30,0)),"Invalid Product Code")</f>
        <v>Apparel</v>
      </c>
      <c r="J872" s="5">
        <f>IFERROR(INDEX(Product_Master!$C$2:$C$30,MATCH($H872,Product_Master!$A$2:$A$30,0)),0)</f>
        <v>614.48</v>
      </c>
      <c r="K872" s="5">
        <f>Sales_Data!E869</f>
        <v>12</v>
      </c>
      <c r="L872" s="5">
        <f>Sales_Data!F869</f>
        <v>9886.2900000000009</v>
      </c>
      <c r="M872" s="5">
        <f>Sales_Data!G869</f>
        <v>6741.84</v>
      </c>
      <c r="N872" s="5" t="str">
        <f>IFERROR(INDEX(Branch_Master!$B$2:$B$9,MATCH($B872,Branch_Master!$A$2:$A$9,0)),"Not Found")</f>
        <v>Mumbai</v>
      </c>
      <c r="O872" s="5" t="str">
        <f>IFERROR(INDEX(Branch_Master!$C$2:$C$9,MATCH($B872,Branch_Master!$A$2:$A$9,0)),"Not Found")</f>
        <v>Maharashtra</v>
      </c>
      <c r="P872" s="5">
        <f>IFERROR(INDEX(Targets!$B$2:$B$9,MATCH($B872,Targets!$A$2:$A$9,0)),0)</f>
        <v>900000</v>
      </c>
      <c r="Q872" s="5" t="str">
        <f t="shared" si="26"/>
        <v>Yes</v>
      </c>
      <c r="R872" s="5" t="str">
        <f t="shared" si="27"/>
        <v>Nov</v>
      </c>
    </row>
    <row r="873" spans="1:18" ht="15" customHeight="1" x14ac:dyDescent="0.3">
      <c r="A873" s="5" t="str">
        <f>Sales_Data!A870</f>
        <v>2025-11-11</v>
      </c>
      <c r="B873" s="5" t="str">
        <f>Sales_Data!B870</f>
        <v>Bangalore North</v>
      </c>
      <c r="C873" s="5" t="str">
        <f>Sales_Data!C870</f>
        <v>E006</v>
      </c>
      <c r="D873" s="5" t="str">
        <f>IFERROR(INDEX(Employee_Master!$B$2:$B$44,MATCH($C873,Employee_Master!$A$2:$A$44,0)),"Not Found")</f>
        <v>Dylan Jones</v>
      </c>
      <c r="E873" s="5" t="str">
        <f>IFERROR(INDEX(Employee_Master!$C$2:$C$44,MATCH($C873,Employee_Master!$A$2:$A$44,0)),"Not Found")</f>
        <v>Sales</v>
      </c>
      <c r="F873" s="5" t="str">
        <f>IFERROR(INDEX(Employee_Master!$D$2:$D$44,MATCH($C873,Employee_Master!$A$2:$A$44,0)),"Not Found")</f>
        <v>Jose Soto</v>
      </c>
      <c r="G873" s="5" t="str">
        <f>IFERROR(INDEX(Employee_Master!$E$2:$E$44,MATCH($C873,Employee_Master!$A$2:$A$44,0)),"Not Found")</f>
        <v>South</v>
      </c>
      <c r="H873" s="5" t="str">
        <f>Sales_Data!D870</f>
        <v>P003 - Bluetooth Speaker</v>
      </c>
      <c r="I873" s="5" t="str">
        <f>IFERROR(INDEX(Product_Master!$B$2:$B$30,MATCH($H873,Product_Master!$A$2:$A$30,0)),"Invalid Product Code")</f>
        <v>Electronics</v>
      </c>
      <c r="J873" s="5">
        <f>IFERROR(INDEX(Product_Master!$C$2:$C$30,MATCH($H873,Product_Master!$A$2:$A$30,0)),0)</f>
        <v>351.01</v>
      </c>
      <c r="K873" s="5">
        <f>Sales_Data!E870</f>
        <v>6</v>
      </c>
      <c r="L873" s="5">
        <f>Sales_Data!F870</f>
        <v>2814.16</v>
      </c>
      <c r="M873" s="5">
        <f>Sales_Data!G870</f>
        <v>2010.55</v>
      </c>
      <c r="N873" s="5" t="str">
        <f>IFERROR(INDEX(Branch_Master!$B$2:$B$9,MATCH($B873,Branch_Master!$A$2:$A$9,0)),"Not Found")</f>
        <v>Bangalore</v>
      </c>
      <c r="O873" s="5" t="str">
        <f>IFERROR(INDEX(Branch_Master!$C$2:$C$9,MATCH($B873,Branch_Master!$A$2:$A$9,0)),"Not Found")</f>
        <v>Karnataka</v>
      </c>
      <c r="P873" s="5">
        <f>IFERROR(INDEX(Targets!$B$2:$B$9,MATCH($B873,Targets!$A$2:$A$9,0)),0)</f>
        <v>900000</v>
      </c>
      <c r="Q873" s="5" t="str">
        <f t="shared" si="26"/>
        <v>Yes</v>
      </c>
      <c r="R873" s="5" t="str">
        <f t="shared" si="27"/>
        <v>Nov</v>
      </c>
    </row>
    <row r="874" spans="1:18" ht="15" customHeight="1" x14ac:dyDescent="0.3">
      <c r="A874" s="5" t="str">
        <f>Sales_Data!A871</f>
        <v>2025-11-11</v>
      </c>
      <c r="B874" s="5" t="str">
        <f>Sales_Data!B871</f>
        <v>Bangalore North</v>
      </c>
      <c r="C874" s="5" t="str">
        <f>Sales_Data!C871</f>
        <v>E040</v>
      </c>
      <c r="D874" s="5" t="str">
        <f>IFERROR(INDEX(Employee_Master!$B$2:$B$44,MATCH($C874,Employee_Master!$A$2:$A$44,0)),"Not Found")</f>
        <v>Bonnie Cox</v>
      </c>
      <c r="E874" s="5" t="str">
        <f>IFERROR(INDEX(Employee_Master!$C$2:$C$44,MATCH($C874,Employee_Master!$A$2:$A$44,0)),"Not Found")</f>
        <v>Customer Support</v>
      </c>
      <c r="F874" s="5" t="str">
        <f>IFERROR(INDEX(Employee_Master!$D$2:$D$44,MATCH($C874,Employee_Master!$A$2:$A$44,0)),"Not Found")</f>
        <v>Jose Soto</v>
      </c>
      <c r="G874" s="5" t="str">
        <f>IFERROR(INDEX(Employee_Master!$E$2:$E$44,MATCH($C874,Employee_Master!$A$2:$A$44,0)),"Not Found")</f>
        <v>South</v>
      </c>
      <c r="H874" s="5" t="str">
        <f>Sales_Data!D871</f>
        <v>P021 - Assorted Spices Kit</v>
      </c>
      <c r="I874" s="5" t="str">
        <f>IFERROR(INDEX(Product_Master!$B$2:$B$30,MATCH($H874,Product_Master!$A$2:$A$30,0)),"Invalid Product Code")</f>
        <v>Grocery</v>
      </c>
      <c r="J874" s="5">
        <f>IFERROR(INDEX(Product_Master!$C$2:$C$30,MATCH($H874,Product_Master!$A$2:$A$30,0)),0)</f>
        <v>1060.97</v>
      </c>
      <c r="K874" s="5">
        <f>Sales_Data!E871</f>
        <v>9</v>
      </c>
      <c r="L874" s="5">
        <f>Sales_Data!F871</f>
        <v>11821.86</v>
      </c>
      <c r="M874" s="5">
        <f>Sales_Data!G871</f>
        <v>10097.68</v>
      </c>
      <c r="N874" s="5" t="str">
        <f>IFERROR(INDEX(Branch_Master!$B$2:$B$9,MATCH($B874,Branch_Master!$A$2:$A$9,0)),"Not Found")</f>
        <v>Bangalore</v>
      </c>
      <c r="O874" s="5" t="str">
        <f>IFERROR(INDEX(Branch_Master!$C$2:$C$9,MATCH($B874,Branch_Master!$A$2:$A$9,0)),"Not Found")</f>
        <v>Karnataka</v>
      </c>
      <c r="P874" s="5">
        <f>IFERROR(INDEX(Targets!$B$2:$B$9,MATCH($B874,Targets!$A$2:$A$9,0)),0)</f>
        <v>900000</v>
      </c>
      <c r="Q874" s="5" t="str">
        <f t="shared" si="26"/>
        <v>Yes</v>
      </c>
      <c r="R874" s="5" t="str">
        <f t="shared" si="27"/>
        <v>Nov</v>
      </c>
    </row>
    <row r="875" spans="1:18" ht="15" customHeight="1" x14ac:dyDescent="0.3">
      <c r="A875" s="5" t="str">
        <f>Sales_Data!A872</f>
        <v>2025-11-11</v>
      </c>
      <c r="B875" s="5" t="str">
        <f>Sales_Data!B872</f>
        <v>Bangalore North</v>
      </c>
      <c r="C875" s="5" t="str">
        <f>Sales_Data!C872</f>
        <v>E040</v>
      </c>
      <c r="D875" s="5" t="str">
        <f>IFERROR(INDEX(Employee_Master!$B$2:$B$44,MATCH($C875,Employee_Master!$A$2:$A$44,0)),"Not Found")</f>
        <v>Bonnie Cox</v>
      </c>
      <c r="E875" s="5" t="str">
        <f>IFERROR(INDEX(Employee_Master!$C$2:$C$44,MATCH($C875,Employee_Master!$A$2:$A$44,0)),"Not Found")</f>
        <v>Customer Support</v>
      </c>
      <c r="F875" s="5" t="str">
        <f>IFERROR(INDEX(Employee_Master!$D$2:$D$44,MATCH($C875,Employee_Master!$A$2:$A$44,0)),"Not Found")</f>
        <v>Jose Soto</v>
      </c>
      <c r="G875" s="5" t="str">
        <f>IFERROR(INDEX(Employee_Master!$E$2:$E$44,MATCH($C875,Employee_Master!$A$2:$A$44,0)),"Not Found")</f>
        <v>South</v>
      </c>
      <c r="H875" s="5" t="str">
        <f>Sales_Data!D872</f>
        <v>P009 - Formal Shirt</v>
      </c>
      <c r="I875" s="5" t="str">
        <f>IFERROR(INDEX(Product_Master!$B$2:$B$30,MATCH($H875,Product_Master!$A$2:$A$30,0)),"Invalid Product Code")</f>
        <v>Apparel</v>
      </c>
      <c r="J875" s="5">
        <f>IFERROR(INDEX(Product_Master!$C$2:$C$30,MATCH($H875,Product_Master!$A$2:$A$30,0)),0)</f>
        <v>661.65</v>
      </c>
      <c r="K875" s="5">
        <f>Sales_Data!E872</f>
        <v>1</v>
      </c>
      <c r="L875" s="5">
        <f>Sales_Data!F872</f>
        <v>888.88</v>
      </c>
      <c r="M875" s="5">
        <f>Sales_Data!G872</f>
        <v>700.46</v>
      </c>
      <c r="N875" s="5" t="str">
        <f>IFERROR(INDEX(Branch_Master!$B$2:$B$9,MATCH($B875,Branch_Master!$A$2:$A$9,0)),"Not Found")</f>
        <v>Bangalore</v>
      </c>
      <c r="O875" s="5" t="str">
        <f>IFERROR(INDEX(Branch_Master!$C$2:$C$9,MATCH($B875,Branch_Master!$A$2:$A$9,0)),"Not Found")</f>
        <v>Karnataka</v>
      </c>
      <c r="P875" s="5">
        <f>IFERROR(INDEX(Targets!$B$2:$B$9,MATCH($B875,Targets!$A$2:$A$9,0)),0)</f>
        <v>900000</v>
      </c>
      <c r="Q875" s="5" t="str">
        <f t="shared" si="26"/>
        <v>Yes</v>
      </c>
      <c r="R875" s="5" t="str">
        <f t="shared" si="27"/>
        <v>Nov</v>
      </c>
    </row>
    <row r="876" spans="1:18" ht="15" customHeight="1" x14ac:dyDescent="0.3">
      <c r="A876" s="5" t="str">
        <f>Sales_Data!A873</f>
        <v>2025-11-11</v>
      </c>
      <c r="B876" s="5" t="str">
        <f>Sales_Data!B873</f>
        <v>Mumbai Central</v>
      </c>
      <c r="C876" s="5" t="str">
        <f>Sales_Data!C873</f>
        <v>E007</v>
      </c>
      <c r="D876" s="5" t="str">
        <f>IFERROR(INDEX(Employee_Master!$B$2:$B$44,MATCH($C876,Employee_Master!$A$2:$A$44,0)),"Not Found")</f>
        <v>Jennifer Bradford</v>
      </c>
      <c r="E876" s="5" t="str">
        <f>IFERROR(INDEX(Employee_Master!$C$2:$C$44,MATCH($C876,Employee_Master!$A$2:$A$44,0)),"Not Found")</f>
        <v>Customer Support</v>
      </c>
      <c r="F876" s="5" t="str">
        <f>IFERROR(INDEX(Employee_Master!$D$2:$D$44,MATCH($C876,Employee_Master!$A$2:$A$44,0)),"Not Found")</f>
        <v>Justin Glass</v>
      </c>
      <c r="G876" s="5" t="str">
        <f>IFERROR(INDEX(Employee_Master!$E$2:$E$44,MATCH($C876,Employee_Master!$A$2:$A$44,0)),"Not Found")</f>
        <v>West</v>
      </c>
      <c r="H876" s="5" t="str">
        <f>Sales_Data!D873</f>
        <v>P028 - Football</v>
      </c>
      <c r="I876" s="5" t="str">
        <f>IFERROR(INDEX(Product_Master!$B$2:$B$30,MATCH($H876,Product_Master!$A$2:$A$30,0)),"Invalid Product Code")</f>
        <v>Sports</v>
      </c>
      <c r="J876" s="5">
        <f>IFERROR(INDEX(Product_Master!$C$2:$C$30,MATCH($H876,Product_Master!$A$2:$A$30,0)),0)</f>
        <v>314.25</v>
      </c>
      <c r="K876" s="5">
        <f>Sales_Data!E873</f>
        <v>10</v>
      </c>
      <c r="L876" s="5">
        <f>Sales_Data!F873</f>
        <v>3925.15</v>
      </c>
      <c r="M876" s="5">
        <f>Sales_Data!G873</f>
        <v>3499.76</v>
      </c>
      <c r="N876" s="5" t="str">
        <f>IFERROR(INDEX(Branch_Master!$B$2:$B$9,MATCH($B876,Branch_Master!$A$2:$A$9,0)),"Not Found")</f>
        <v>Mumbai</v>
      </c>
      <c r="O876" s="5" t="str">
        <f>IFERROR(INDEX(Branch_Master!$C$2:$C$9,MATCH($B876,Branch_Master!$A$2:$A$9,0)),"Not Found")</f>
        <v>Maharashtra</v>
      </c>
      <c r="P876" s="5">
        <f>IFERROR(INDEX(Targets!$B$2:$B$9,MATCH($B876,Targets!$A$2:$A$9,0)),0)</f>
        <v>900000</v>
      </c>
      <c r="Q876" s="5" t="str">
        <f t="shared" si="26"/>
        <v>Yes</v>
      </c>
      <c r="R876" s="5" t="str">
        <f t="shared" si="27"/>
        <v>Nov</v>
      </c>
    </row>
    <row r="877" spans="1:18" ht="15" customHeight="1" x14ac:dyDescent="0.3">
      <c r="A877" s="5" t="str">
        <f>Sales_Data!A874</f>
        <v>2025-11-11</v>
      </c>
      <c r="B877" s="5" t="str">
        <f>Sales_Data!B874</f>
        <v>Mumbai Central</v>
      </c>
      <c r="C877" s="5" t="str">
        <f>Sales_Data!C874</f>
        <v>E010</v>
      </c>
      <c r="D877" s="5" t="str">
        <f>IFERROR(INDEX(Employee_Master!$B$2:$B$44,MATCH($C877,Employee_Master!$A$2:$A$44,0)),"Not Found")</f>
        <v>William Sanders</v>
      </c>
      <c r="E877" s="5" t="str">
        <f>IFERROR(INDEX(Employee_Master!$C$2:$C$44,MATCH($C877,Employee_Master!$A$2:$A$44,0)),"Not Found")</f>
        <v>Sales</v>
      </c>
      <c r="F877" s="5" t="str">
        <f>IFERROR(INDEX(Employee_Master!$D$2:$D$44,MATCH($C877,Employee_Master!$A$2:$A$44,0)),"Not Found")</f>
        <v>Justin Glass</v>
      </c>
      <c r="G877" s="5" t="str">
        <f>IFERROR(INDEX(Employee_Master!$E$2:$E$44,MATCH($C877,Employee_Master!$A$2:$A$44,0)),"Not Found")</f>
        <v>West</v>
      </c>
      <c r="H877" s="5" t="str">
        <f>Sales_Data!D874</f>
        <v>P007 - Cotton T-Shirt</v>
      </c>
      <c r="I877" s="5" t="str">
        <f>IFERROR(INDEX(Product_Master!$B$2:$B$30,MATCH($H877,Product_Master!$A$2:$A$30,0)),"Invalid Product Code")</f>
        <v>Apparel</v>
      </c>
      <c r="J877" s="5">
        <f>IFERROR(INDEX(Product_Master!$C$2:$C$30,MATCH($H877,Product_Master!$A$2:$A$30,0)),0)</f>
        <v>338.44</v>
      </c>
      <c r="K877" s="5">
        <f>Sales_Data!E874</f>
        <v>7</v>
      </c>
      <c r="L877" s="5">
        <f>Sales_Data!F874</f>
        <v>3060.11</v>
      </c>
      <c r="M877" s="5">
        <f>Sales_Data!G874</f>
        <v>2115.34</v>
      </c>
      <c r="N877" s="5" t="str">
        <f>IFERROR(INDEX(Branch_Master!$B$2:$B$9,MATCH($B877,Branch_Master!$A$2:$A$9,0)),"Not Found")</f>
        <v>Mumbai</v>
      </c>
      <c r="O877" s="5" t="str">
        <f>IFERROR(INDEX(Branch_Master!$C$2:$C$9,MATCH($B877,Branch_Master!$A$2:$A$9,0)),"Not Found")</f>
        <v>Maharashtra</v>
      </c>
      <c r="P877" s="5">
        <f>IFERROR(INDEX(Targets!$B$2:$B$9,MATCH($B877,Targets!$A$2:$A$9,0)),0)</f>
        <v>900000</v>
      </c>
      <c r="Q877" s="5" t="str">
        <f t="shared" si="26"/>
        <v>Yes</v>
      </c>
      <c r="R877" s="5" t="str">
        <f t="shared" si="27"/>
        <v>Nov</v>
      </c>
    </row>
    <row r="878" spans="1:18" ht="15" customHeight="1" x14ac:dyDescent="0.3">
      <c r="A878" s="5" t="str">
        <f>Sales_Data!A875</f>
        <v>2025-11-11</v>
      </c>
      <c r="B878" s="5" t="str">
        <f>Sales_Data!B875</f>
        <v>Ahmedabad West</v>
      </c>
      <c r="C878" s="5" t="str">
        <f>Sales_Data!C875</f>
        <v>E002</v>
      </c>
      <c r="D878" s="5" t="str">
        <f>IFERROR(INDEX(Employee_Master!$B$2:$B$44,MATCH($C878,Employee_Master!$A$2:$A$44,0)),"Not Found")</f>
        <v>Jeremiah Kirby</v>
      </c>
      <c r="E878" s="5" t="str">
        <f>IFERROR(INDEX(Employee_Master!$C$2:$C$44,MATCH($C878,Employee_Master!$A$2:$A$44,0)),"Not Found")</f>
        <v>Marketing</v>
      </c>
      <c r="F878" s="5" t="str">
        <f>IFERROR(INDEX(Employee_Master!$D$2:$D$44,MATCH($C878,Employee_Master!$A$2:$A$44,0)),"Not Found")</f>
        <v>Joseph Brown</v>
      </c>
      <c r="G878" s="5" t="str">
        <f>IFERROR(INDEX(Employee_Master!$E$2:$E$44,MATCH($C878,Employee_Master!$A$2:$A$44,0)),"Not Found")</f>
        <v>West</v>
      </c>
      <c r="H878" s="5" t="str">
        <f>Sales_Data!D875</f>
        <v>P007 - Cotton T-Shirt</v>
      </c>
      <c r="I878" s="5" t="str">
        <f>IFERROR(INDEX(Product_Master!$B$2:$B$30,MATCH($H878,Product_Master!$A$2:$A$30,0)),"Invalid Product Code")</f>
        <v>Apparel</v>
      </c>
      <c r="J878" s="5">
        <f>IFERROR(INDEX(Product_Master!$C$2:$C$30,MATCH($H878,Product_Master!$A$2:$A$30,0)),0)</f>
        <v>338.44</v>
      </c>
      <c r="K878" s="5">
        <f>Sales_Data!E875</f>
        <v>3</v>
      </c>
      <c r="L878" s="5">
        <f>Sales_Data!F875</f>
        <v>1218.27</v>
      </c>
      <c r="M878" s="5">
        <f>Sales_Data!G875</f>
        <v>915.56</v>
      </c>
      <c r="N878" s="5" t="str">
        <f>IFERROR(INDEX(Branch_Master!$B$2:$B$9,MATCH($B878,Branch_Master!$A$2:$A$9,0)),"Not Found")</f>
        <v>Ahmedabad</v>
      </c>
      <c r="O878" s="5" t="str">
        <f>IFERROR(INDEX(Branch_Master!$C$2:$C$9,MATCH($B878,Branch_Master!$A$2:$A$9,0)),"Not Found")</f>
        <v>Gujarat</v>
      </c>
      <c r="P878" s="5">
        <f>IFERROR(INDEX(Targets!$B$2:$B$9,MATCH($B878,Targets!$A$2:$A$9,0)),0)</f>
        <v>1590000</v>
      </c>
      <c r="Q878" s="5" t="str">
        <f t="shared" si="26"/>
        <v>Yes</v>
      </c>
      <c r="R878" s="5" t="str">
        <f t="shared" si="27"/>
        <v>Nov</v>
      </c>
    </row>
    <row r="879" spans="1:18" ht="15" customHeight="1" x14ac:dyDescent="0.3">
      <c r="A879" s="5" t="str">
        <f>Sales_Data!A876</f>
        <v>2025-11-12</v>
      </c>
      <c r="B879" s="5" t="str">
        <f>Sales_Data!B876</f>
        <v>Kolkata Central</v>
      </c>
      <c r="C879" s="5" t="str">
        <f>Sales_Data!C876</f>
        <v>E029</v>
      </c>
      <c r="D879" s="5" t="str">
        <f>IFERROR(INDEX(Employee_Master!$B$2:$B$44,MATCH($C879,Employee_Master!$A$2:$A$44,0)),"Not Found")</f>
        <v>Patrick Shepard</v>
      </c>
      <c r="E879" s="5" t="str">
        <f>IFERROR(INDEX(Employee_Master!$C$2:$C$44,MATCH($C879,Employee_Master!$A$2:$A$44,0)),"Not Found")</f>
        <v>Sales</v>
      </c>
      <c r="F879" s="5" t="str">
        <f>IFERROR(INDEX(Employee_Master!$D$2:$D$44,MATCH($C879,Employee_Master!$A$2:$A$44,0)),"Not Found")</f>
        <v>Lisa Moore</v>
      </c>
      <c r="G879" s="5" t="str">
        <f>IFERROR(INDEX(Employee_Master!$E$2:$E$44,MATCH($C879,Employee_Master!$A$2:$A$44,0)),"Not Found")</f>
        <v>East</v>
      </c>
      <c r="H879" s="5" t="str">
        <f>Sales_Data!D876</f>
        <v>P020 - Green Tea Pack</v>
      </c>
      <c r="I879" s="5" t="str">
        <f>IFERROR(INDEX(Product_Master!$B$2:$B$30,MATCH($H879,Product_Master!$A$2:$A$30,0)),"Invalid Product Code")</f>
        <v>Grocery</v>
      </c>
      <c r="J879" s="5">
        <f>IFERROR(INDEX(Product_Master!$C$2:$C$30,MATCH($H879,Product_Master!$A$2:$A$30,0)),0)</f>
        <v>305.39</v>
      </c>
      <c r="K879" s="5">
        <f>Sales_Data!E876</f>
        <v>6</v>
      </c>
      <c r="L879" s="5">
        <f>Sales_Data!F876</f>
        <v>2502.04</v>
      </c>
      <c r="M879" s="5">
        <f>Sales_Data!G876</f>
        <v>1725.01</v>
      </c>
      <c r="N879" s="5" t="str">
        <f>IFERROR(INDEX(Branch_Master!$B$2:$B$9,MATCH($B879,Branch_Master!$A$2:$A$9,0)),"Not Found")</f>
        <v>Kolkata</v>
      </c>
      <c r="O879" s="5" t="str">
        <f>IFERROR(INDEX(Branch_Master!$C$2:$C$9,MATCH($B879,Branch_Master!$A$2:$A$9,0)),"Not Found")</f>
        <v>West Bengal</v>
      </c>
      <c r="P879" s="5">
        <f>IFERROR(INDEX(Targets!$B$2:$B$9,MATCH($B879,Targets!$A$2:$A$9,0)),0)</f>
        <v>1910000</v>
      </c>
      <c r="Q879" s="5" t="str">
        <f t="shared" si="26"/>
        <v>Yes</v>
      </c>
      <c r="R879" s="5" t="str">
        <f t="shared" si="27"/>
        <v>Nov</v>
      </c>
    </row>
    <row r="880" spans="1:18" ht="15" customHeight="1" x14ac:dyDescent="0.3">
      <c r="A880" s="5" t="str">
        <f>Sales_Data!A877</f>
        <v>2025-11-12</v>
      </c>
      <c r="B880" s="5" t="str">
        <f>Sales_Data!B877</f>
        <v>Chennai South</v>
      </c>
      <c r="C880" s="5" t="str">
        <f>Sales_Data!C877</f>
        <v>E032</v>
      </c>
      <c r="D880" s="5" t="str">
        <f>IFERROR(INDEX(Employee_Master!$B$2:$B$44,MATCH($C880,Employee_Master!$A$2:$A$44,0)),"Not Found")</f>
        <v>Victor Allen</v>
      </c>
      <c r="E880" s="5" t="str">
        <f>IFERROR(INDEX(Employee_Master!$C$2:$C$44,MATCH($C880,Employee_Master!$A$2:$A$44,0)),"Not Found")</f>
        <v>Operations</v>
      </c>
      <c r="F880" s="5" t="str">
        <f>IFERROR(INDEX(Employee_Master!$D$2:$D$44,MATCH($C880,Employee_Master!$A$2:$A$44,0)),"Not Found")</f>
        <v>Robert Steele</v>
      </c>
      <c r="G880" s="5" t="str">
        <f>IFERROR(INDEX(Employee_Master!$E$2:$E$44,MATCH($C880,Employee_Master!$A$2:$A$44,0)),"Not Found")</f>
        <v>South</v>
      </c>
      <c r="H880" s="5" t="str">
        <f>Sales_Data!D877</f>
        <v>P025 - Lipstick Set</v>
      </c>
      <c r="I880" s="5" t="str">
        <f>IFERROR(INDEX(Product_Master!$B$2:$B$30,MATCH($H880,Product_Master!$A$2:$A$30,0)),"Invalid Product Code")</f>
        <v>Beauty</v>
      </c>
      <c r="J880" s="5">
        <f>IFERROR(INDEX(Product_Master!$C$2:$C$30,MATCH($H880,Product_Master!$A$2:$A$30,0)),0)</f>
        <v>765.9</v>
      </c>
      <c r="K880" s="5">
        <f>Sales_Data!E877</f>
        <v>4</v>
      </c>
      <c r="L880" s="5">
        <f>Sales_Data!F877</f>
        <v>3814.15</v>
      </c>
      <c r="M880" s="5">
        <f>Sales_Data!G877</f>
        <v>2946.46</v>
      </c>
      <c r="N880" s="5" t="str">
        <f>IFERROR(INDEX(Branch_Master!$B$2:$B$9,MATCH($B880,Branch_Master!$A$2:$A$9,0)),"Not Found")</f>
        <v>Chennai</v>
      </c>
      <c r="O880" s="5" t="str">
        <f>IFERROR(INDEX(Branch_Master!$C$2:$C$9,MATCH($B880,Branch_Master!$A$2:$A$9,0)),"Not Found")</f>
        <v>Tamil Nadu</v>
      </c>
      <c r="P880" s="5">
        <f>IFERROR(INDEX(Targets!$B$2:$B$9,MATCH($B880,Targets!$A$2:$A$9,0)),0)</f>
        <v>1910000</v>
      </c>
      <c r="Q880" s="5" t="str">
        <f t="shared" si="26"/>
        <v>Yes</v>
      </c>
      <c r="R880" s="5" t="str">
        <f t="shared" si="27"/>
        <v>Nov</v>
      </c>
    </row>
    <row r="881" spans="1:18" ht="15" customHeight="1" x14ac:dyDescent="0.3">
      <c r="A881" s="5" t="str">
        <f>Sales_Data!A878</f>
        <v>2025-11-13</v>
      </c>
      <c r="B881" s="5" t="str">
        <f>Sales_Data!B878</f>
        <v>Mumbai Central</v>
      </c>
      <c r="C881" s="5" t="str">
        <f>Sales_Data!C878</f>
        <v>E025</v>
      </c>
      <c r="D881" s="5" t="str">
        <f>IFERROR(INDEX(Employee_Master!$B$2:$B$44,MATCH($C881,Employee_Master!$A$2:$A$44,0)),"Not Found")</f>
        <v>Jacqueline Chavez</v>
      </c>
      <c r="E881" s="5" t="str">
        <f>IFERROR(INDEX(Employee_Master!$C$2:$C$44,MATCH($C881,Employee_Master!$A$2:$A$44,0)),"Not Found")</f>
        <v>Sales</v>
      </c>
      <c r="F881" s="5" t="str">
        <f>IFERROR(INDEX(Employee_Master!$D$2:$D$44,MATCH($C881,Employee_Master!$A$2:$A$44,0)),"Not Found")</f>
        <v>Justin Glass</v>
      </c>
      <c r="G881" s="5" t="str">
        <f>IFERROR(INDEX(Employee_Master!$E$2:$E$44,MATCH($C881,Employee_Master!$A$2:$A$44,0)),"Not Found")</f>
        <v>West</v>
      </c>
      <c r="H881" s="5" t="str">
        <f>Sales_Data!D878</f>
        <v>P025 - Lipstick Set</v>
      </c>
      <c r="I881" s="5" t="str">
        <f>IFERROR(INDEX(Product_Master!$B$2:$B$30,MATCH($H881,Product_Master!$A$2:$A$30,0)),"Invalid Product Code")</f>
        <v>Beauty</v>
      </c>
      <c r="J881" s="5">
        <f>IFERROR(INDEX(Product_Master!$C$2:$C$30,MATCH($H881,Product_Master!$A$2:$A$30,0)),0)</f>
        <v>765.9</v>
      </c>
      <c r="K881" s="5">
        <f>Sales_Data!E878</f>
        <v>11</v>
      </c>
      <c r="L881" s="5">
        <f>Sales_Data!F878</f>
        <v>10621.97</v>
      </c>
      <c r="M881" s="5">
        <f>Sales_Data!G878</f>
        <v>7170.94</v>
      </c>
      <c r="N881" s="5" t="str">
        <f>IFERROR(INDEX(Branch_Master!$B$2:$B$9,MATCH($B881,Branch_Master!$A$2:$A$9,0)),"Not Found")</f>
        <v>Mumbai</v>
      </c>
      <c r="O881" s="5" t="str">
        <f>IFERROR(INDEX(Branch_Master!$C$2:$C$9,MATCH($B881,Branch_Master!$A$2:$A$9,0)),"Not Found")</f>
        <v>Maharashtra</v>
      </c>
      <c r="P881" s="5">
        <f>IFERROR(INDEX(Targets!$B$2:$B$9,MATCH($B881,Targets!$A$2:$A$9,0)),0)</f>
        <v>900000</v>
      </c>
      <c r="Q881" s="5" t="str">
        <f t="shared" si="26"/>
        <v>Yes</v>
      </c>
      <c r="R881" s="5" t="str">
        <f t="shared" si="27"/>
        <v>Nov</v>
      </c>
    </row>
    <row r="882" spans="1:18" ht="15" customHeight="1" x14ac:dyDescent="0.3">
      <c r="A882" s="5" t="str">
        <f>Sales_Data!A879</f>
        <v>2025-11-13</v>
      </c>
      <c r="B882" s="5" t="str">
        <f>Sales_Data!B879</f>
        <v>Bangalore North</v>
      </c>
      <c r="C882" s="5" t="str">
        <f>Sales_Data!C879</f>
        <v>E006</v>
      </c>
      <c r="D882" s="5" t="str">
        <f>IFERROR(INDEX(Employee_Master!$B$2:$B$44,MATCH($C882,Employee_Master!$A$2:$A$44,0)),"Not Found")</f>
        <v>Dylan Jones</v>
      </c>
      <c r="E882" s="5" t="str">
        <f>IFERROR(INDEX(Employee_Master!$C$2:$C$44,MATCH($C882,Employee_Master!$A$2:$A$44,0)),"Not Found")</f>
        <v>Sales</v>
      </c>
      <c r="F882" s="5" t="str">
        <f>IFERROR(INDEX(Employee_Master!$D$2:$D$44,MATCH($C882,Employee_Master!$A$2:$A$44,0)),"Not Found")</f>
        <v>Jose Soto</v>
      </c>
      <c r="G882" s="5" t="str">
        <f>IFERROR(INDEX(Employee_Master!$E$2:$E$44,MATCH($C882,Employee_Master!$A$2:$A$44,0)),"Not Found")</f>
        <v>South</v>
      </c>
      <c r="H882" s="5" t="str">
        <f>Sales_Data!D879</f>
        <v>P002 - Smart Watch</v>
      </c>
      <c r="I882" s="5" t="str">
        <f>IFERROR(INDEX(Product_Master!$B$2:$B$30,MATCH($H882,Product_Master!$A$2:$A$30,0)),"Invalid Product Code")</f>
        <v>Electronics</v>
      </c>
      <c r="J882" s="5">
        <f>IFERROR(INDEX(Product_Master!$C$2:$C$30,MATCH($H882,Product_Master!$A$2:$A$30,0)),0)</f>
        <v>403.33</v>
      </c>
      <c r="K882" s="5">
        <f>Sales_Data!E879</f>
        <v>12</v>
      </c>
      <c r="L882" s="5">
        <f>Sales_Data!F879</f>
        <v>6187.18</v>
      </c>
      <c r="M882" s="5">
        <f>Sales_Data!G879</f>
        <v>5465.04</v>
      </c>
      <c r="N882" s="5" t="str">
        <f>IFERROR(INDEX(Branch_Master!$B$2:$B$9,MATCH($B882,Branch_Master!$A$2:$A$9,0)),"Not Found")</f>
        <v>Bangalore</v>
      </c>
      <c r="O882" s="5" t="str">
        <f>IFERROR(INDEX(Branch_Master!$C$2:$C$9,MATCH($B882,Branch_Master!$A$2:$A$9,0)),"Not Found")</f>
        <v>Karnataka</v>
      </c>
      <c r="P882" s="5">
        <f>IFERROR(INDEX(Targets!$B$2:$B$9,MATCH($B882,Targets!$A$2:$A$9,0)),0)</f>
        <v>900000</v>
      </c>
      <c r="Q882" s="5" t="str">
        <f t="shared" si="26"/>
        <v>Yes</v>
      </c>
      <c r="R882" s="5" t="str">
        <f t="shared" si="27"/>
        <v>Nov</v>
      </c>
    </row>
    <row r="883" spans="1:18" ht="15" customHeight="1" x14ac:dyDescent="0.3">
      <c r="A883" s="5" t="str">
        <f>Sales_Data!A880</f>
        <v>2025-11-14</v>
      </c>
      <c r="B883" s="5" t="str">
        <f>Sales_Data!B880</f>
        <v>Ahmedabad West</v>
      </c>
      <c r="C883" s="5" t="str">
        <f>Sales_Data!C880</f>
        <v>E037</v>
      </c>
      <c r="D883" s="5" t="str">
        <f>IFERROR(INDEX(Employee_Master!$B$2:$B$44,MATCH($C883,Employee_Master!$A$2:$A$44,0)),"Not Found")</f>
        <v>Thomas Harris</v>
      </c>
      <c r="E883" s="5" t="str">
        <f>IFERROR(INDEX(Employee_Master!$C$2:$C$44,MATCH($C883,Employee_Master!$A$2:$A$44,0)),"Not Found")</f>
        <v>Customer Support</v>
      </c>
      <c r="F883" s="5" t="str">
        <f>IFERROR(INDEX(Employee_Master!$D$2:$D$44,MATCH($C883,Employee_Master!$A$2:$A$44,0)),"Not Found")</f>
        <v>Joseph Brown</v>
      </c>
      <c r="G883" s="5" t="str">
        <f>IFERROR(INDEX(Employee_Master!$E$2:$E$44,MATCH($C883,Employee_Master!$A$2:$A$44,0)),"Not Found")</f>
        <v>West</v>
      </c>
      <c r="H883" s="5" t="str">
        <f>Sales_Data!D880</f>
        <v>P026 - Yoga Mat</v>
      </c>
      <c r="I883" s="5" t="str">
        <f>IFERROR(INDEX(Product_Master!$B$2:$B$30,MATCH($H883,Product_Master!$A$2:$A$30,0)),"Invalid Product Code")</f>
        <v>Sports</v>
      </c>
      <c r="J883" s="5">
        <f>IFERROR(INDEX(Product_Master!$C$2:$C$30,MATCH($H883,Product_Master!$A$2:$A$30,0)),0)</f>
        <v>518.76</v>
      </c>
      <c r="K883" s="5">
        <f>Sales_Data!E880</f>
        <v>3</v>
      </c>
      <c r="L883" s="5">
        <f>Sales_Data!F880</f>
        <v>1916.81</v>
      </c>
      <c r="M883" s="5">
        <f>Sales_Data!G880</f>
        <v>1778.93</v>
      </c>
      <c r="N883" s="5" t="str">
        <f>IFERROR(INDEX(Branch_Master!$B$2:$B$9,MATCH($B883,Branch_Master!$A$2:$A$9,0)),"Not Found")</f>
        <v>Ahmedabad</v>
      </c>
      <c r="O883" s="5" t="str">
        <f>IFERROR(INDEX(Branch_Master!$C$2:$C$9,MATCH($B883,Branch_Master!$A$2:$A$9,0)),"Not Found")</f>
        <v>Gujarat</v>
      </c>
      <c r="P883" s="5">
        <f>IFERROR(INDEX(Targets!$B$2:$B$9,MATCH($B883,Targets!$A$2:$A$9,0)),0)</f>
        <v>1590000</v>
      </c>
      <c r="Q883" s="5" t="str">
        <f t="shared" si="26"/>
        <v>Yes</v>
      </c>
      <c r="R883" s="5" t="str">
        <f t="shared" si="27"/>
        <v>Nov</v>
      </c>
    </row>
    <row r="884" spans="1:18" ht="15" customHeight="1" x14ac:dyDescent="0.3">
      <c r="A884" s="5" t="str">
        <f>Sales_Data!A881</f>
        <v>2025-11-14</v>
      </c>
      <c r="B884" s="5" t="str">
        <f>Sales_Data!B881</f>
        <v>Delhi NCR</v>
      </c>
      <c r="C884" s="5" t="str">
        <f>Sales_Data!C881</f>
        <v>E013</v>
      </c>
      <c r="D884" s="5" t="str">
        <f>IFERROR(INDEX(Employee_Master!$B$2:$B$44,MATCH($C884,Employee_Master!$A$2:$A$44,0)),"Not Found")</f>
        <v>Norma Wilson</v>
      </c>
      <c r="E884" s="5" t="str">
        <f>IFERROR(INDEX(Employee_Master!$C$2:$C$44,MATCH($C884,Employee_Master!$A$2:$A$44,0)),"Not Found")</f>
        <v>Customer Support</v>
      </c>
      <c r="F884" s="5" t="str">
        <f>IFERROR(INDEX(Employee_Master!$D$2:$D$44,MATCH($C884,Employee_Master!$A$2:$A$44,0)),"Not Found")</f>
        <v>William Oconnell</v>
      </c>
      <c r="G884" s="5" t="str">
        <f>IFERROR(INDEX(Employee_Master!$E$2:$E$44,MATCH($C884,Employee_Master!$A$2:$A$44,0)),"Not Found")</f>
        <v>North</v>
      </c>
      <c r="H884" s="5" t="str">
        <f>Sales_Data!D881</f>
        <v>P021 - Assorted Spices Kit</v>
      </c>
      <c r="I884" s="5" t="str">
        <f>IFERROR(INDEX(Product_Master!$B$2:$B$30,MATCH($H884,Product_Master!$A$2:$A$30,0)),"Invalid Product Code")</f>
        <v>Grocery</v>
      </c>
      <c r="J884" s="5">
        <f>IFERROR(INDEX(Product_Master!$C$2:$C$30,MATCH($H884,Product_Master!$A$2:$A$30,0)),0)</f>
        <v>1060.97</v>
      </c>
      <c r="K884" s="5">
        <f>Sales_Data!E881</f>
        <v>6</v>
      </c>
      <c r="L884" s="5">
        <f>Sales_Data!F881</f>
        <v>8752.18</v>
      </c>
      <c r="M884" s="5">
        <f>Sales_Data!G881</f>
        <v>7104.36</v>
      </c>
      <c r="N884" s="5" t="str">
        <f>IFERROR(INDEX(Branch_Master!$B$2:$B$9,MATCH($B884,Branch_Master!$A$2:$A$9,0)),"Not Found")</f>
        <v>New Delhi</v>
      </c>
      <c r="O884" s="5" t="str">
        <f>IFERROR(INDEX(Branch_Master!$C$2:$C$9,MATCH($B884,Branch_Master!$A$2:$A$9,0)),"Not Found")</f>
        <v>Delhi</v>
      </c>
      <c r="P884" s="5">
        <f>IFERROR(INDEX(Targets!$B$2:$B$9,MATCH($B884,Targets!$A$2:$A$9,0)),0)</f>
        <v>2070000</v>
      </c>
      <c r="Q884" s="5" t="str">
        <f t="shared" si="26"/>
        <v>Yes</v>
      </c>
      <c r="R884" s="5" t="str">
        <f t="shared" si="27"/>
        <v>Nov</v>
      </c>
    </row>
    <row r="885" spans="1:18" ht="15" customHeight="1" x14ac:dyDescent="0.3">
      <c r="A885" s="5" t="str">
        <f>Sales_Data!A882</f>
        <v>2025-11-15</v>
      </c>
      <c r="B885" s="5" t="str">
        <f>Sales_Data!B882</f>
        <v>Mumbai Central</v>
      </c>
      <c r="C885" s="5" t="str">
        <f>Sales_Data!C882</f>
        <v>E010</v>
      </c>
      <c r="D885" s="5" t="str">
        <f>IFERROR(INDEX(Employee_Master!$B$2:$B$44,MATCH($C885,Employee_Master!$A$2:$A$44,0)),"Not Found")</f>
        <v>William Sanders</v>
      </c>
      <c r="E885" s="5" t="str">
        <f>IFERROR(INDEX(Employee_Master!$C$2:$C$44,MATCH($C885,Employee_Master!$A$2:$A$44,0)),"Not Found")</f>
        <v>Sales</v>
      </c>
      <c r="F885" s="5" t="str">
        <f>IFERROR(INDEX(Employee_Master!$D$2:$D$44,MATCH($C885,Employee_Master!$A$2:$A$44,0)),"Not Found")</f>
        <v>Justin Glass</v>
      </c>
      <c r="G885" s="5" t="str">
        <f>IFERROR(INDEX(Employee_Master!$E$2:$E$44,MATCH($C885,Employee_Master!$A$2:$A$44,0)),"Not Found")</f>
        <v>West</v>
      </c>
      <c r="H885" s="5" t="str">
        <f>Sales_Data!D882</f>
        <v>P013 - Mixer Grinder</v>
      </c>
      <c r="I885" s="5" t="str">
        <f>IFERROR(INDEX(Product_Master!$B$2:$B$30,MATCH($H885,Product_Master!$A$2:$A$30,0)),"Invalid Product Code")</f>
        <v>Home &amp; Kitchen</v>
      </c>
      <c r="J885" s="5">
        <f>IFERROR(INDEX(Product_Master!$C$2:$C$30,MATCH($H885,Product_Master!$A$2:$A$30,0)),0)</f>
        <v>798.53</v>
      </c>
      <c r="K885" s="5">
        <f>Sales_Data!E882</f>
        <v>5</v>
      </c>
      <c r="L885" s="5">
        <f>Sales_Data!F882</f>
        <v>4913.42</v>
      </c>
      <c r="M885" s="5">
        <f>Sales_Data!G882</f>
        <v>3895.93</v>
      </c>
      <c r="N885" s="5" t="str">
        <f>IFERROR(INDEX(Branch_Master!$B$2:$B$9,MATCH($B885,Branch_Master!$A$2:$A$9,0)),"Not Found")</f>
        <v>Mumbai</v>
      </c>
      <c r="O885" s="5" t="str">
        <f>IFERROR(INDEX(Branch_Master!$C$2:$C$9,MATCH($B885,Branch_Master!$A$2:$A$9,0)),"Not Found")</f>
        <v>Maharashtra</v>
      </c>
      <c r="P885" s="5">
        <f>IFERROR(INDEX(Targets!$B$2:$B$9,MATCH($B885,Targets!$A$2:$A$9,0)),0)</f>
        <v>900000</v>
      </c>
      <c r="Q885" s="5" t="str">
        <f t="shared" si="26"/>
        <v>Yes</v>
      </c>
      <c r="R885" s="5" t="str">
        <f t="shared" si="27"/>
        <v>Nov</v>
      </c>
    </row>
    <row r="886" spans="1:18" ht="15" customHeight="1" x14ac:dyDescent="0.3">
      <c r="A886" s="5" t="str">
        <f>Sales_Data!A883</f>
        <v>2025-11-15</v>
      </c>
      <c r="B886" s="5" t="str">
        <f>Sales_Data!B883</f>
        <v>Ahmedabad West</v>
      </c>
      <c r="C886" s="5" t="str">
        <f>Sales_Data!C883</f>
        <v>E037</v>
      </c>
      <c r="D886" s="5" t="str">
        <f>IFERROR(INDEX(Employee_Master!$B$2:$B$44,MATCH($C886,Employee_Master!$A$2:$A$44,0)),"Not Found")</f>
        <v>Thomas Harris</v>
      </c>
      <c r="E886" s="5" t="str">
        <f>IFERROR(INDEX(Employee_Master!$C$2:$C$44,MATCH($C886,Employee_Master!$A$2:$A$44,0)),"Not Found")</f>
        <v>Customer Support</v>
      </c>
      <c r="F886" s="5" t="str">
        <f>IFERROR(INDEX(Employee_Master!$D$2:$D$44,MATCH($C886,Employee_Master!$A$2:$A$44,0)),"Not Found")</f>
        <v>Joseph Brown</v>
      </c>
      <c r="G886" s="5" t="str">
        <f>IFERROR(INDEX(Employee_Master!$E$2:$E$44,MATCH($C886,Employee_Master!$A$2:$A$44,0)),"Not Found")</f>
        <v>West</v>
      </c>
      <c r="H886" s="5" t="str">
        <f>Sales_Data!D883</f>
        <v>P023 - Sunscreen SPF50</v>
      </c>
      <c r="I886" s="5" t="str">
        <f>IFERROR(INDEX(Product_Master!$B$2:$B$30,MATCH($H886,Product_Master!$A$2:$A$30,0)),"Invalid Product Code")</f>
        <v>Beauty</v>
      </c>
      <c r="J886" s="5">
        <f>IFERROR(INDEX(Product_Master!$C$2:$C$30,MATCH($H886,Product_Master!$A$2:$A$30,0)),0)</f>
        <v>818.95</v>
      </c>
      <c r="K886" s="5">
        <f>Sales_Data!E883</f>
        <v>9</v>
      </c>
      <c r="L886" s="5">
        <f>Sales_Data!F883</f>
        <v>9091.48</v>
      </c>
      <c r="M886" s="5">
        <f>Sales_Data!G883</f>
        <v>8070.93</v>
      </c>
      <c r="N886" s="5" t="str">
        <f>IFERROR(INDEX(Branch_Master!$B$2:$B$9,MATCH($B886,Branch_Master!$A$2:$A$9,0)),"Not Found")</f>
        <v>Ahmedabad</v>
      </c>
      <c r="O886" s="5" t="str">
        <f>IFERROR(INDEX(Branch_Master!$C$2:$C$9,MATCH($B886,Branch_Master!$A$2:$A$9,0)),"Not Found")</f>
        <v>Gujarat</v>
      </c>
      <c r="P886" s="5">
        <f>IFERROR(INDEX(Targets!$B$2:$B$9,MATCH($B886,Targets!$A$2:$A$9,0)),0)</f>
        <v>1590000</v>
      </c>
      <c r="Q886" s="5" t="str">
        <f t="shared" si="26"/>
        <v>Yes</v>
      </c>
      <c r="R886" s="5" t="str">
        <f t="shared" si="27"/>
        <v>Nov</v>
      </c>
    </row>
    <row r="887" spans="1:18" ht="15" customHeight="1" x14ac:dyDescent="0.3">
      <c r="A887" s="5" t="str">
        <f>Sales_Data!A884</f>
        <v>2025-11-15</v>
      </c>
      <c r="B887" s="5" t="str">
        <f>Sales_Data!B884</f>
        <v>Hyderabad Hitech</v>
      </c>
      <c r="C887" s="5" t="str">
        <f>Sales_Data!C884</f>
        <v>E026</v>
      </c>
      <c r="D887" s="5" t="str">
        <f>IFERROR(INDEX(Employee_Master!$B$2:$B$44,MATCH($C887,Employee_Master!$A$2:$A$44,0)),"Not Found")</f>
        <v>Karen Andrews</v>
      </c>
      <c r="E887" s="5" t="str">
        <f>IFERROR(INDEX(Employee_Master!$C$2:$C$44,MATCH($C887,Employee_Master!$A$2:$A$44,0)),"Not Found")</f>
        <v>Marketing</v>
      </c>
      <c r="F887" s="5" t="str">
        <f>IFERROR(INDEX(Employee_Master!$D$2:$D$44,MATCH($C887,Employee_Master!$A$2:$A$44,0)),"Not Found")</f>
        <v>Anna Turner</v>
      </c>
      <c r="G887" s="5" t="str">
        <f>IFERROR(INDEX(Employee_Master!$E$2:$E$44,MATCH($C887,Employee_Master!$A$2:$A$44,0)),"Not Found")</f>
        <v>South</v>
      </c>
      <c r="H887" s="5" t="str">
        <f>Sales_Data!D884</f>
        <v>P023 - Sunscreen SPF50</v>
      </c>
      <c r="I887" s="5" t="str">
        <f>IFERROR(INDEX(Product_Master!$B$2:$B$30,MATCH($H887,Product_Master!$A$2:$A$30,0)),"Invalid Product Code")</f>
        <v>Beauty</v>
      </c>
      <c r="J887" s="5">
        <f>IFERROR(INDEX(Product_Master!$C$2:$C$30,MATCH($H887,Product_Master!$A$2:$A$30,0)),0)</f>
        <v>818.95</v>
      </c>
      <c r="K887" s="5">
        <f>Sales_Data!E884</f>
        <v>9</v>
      </c>
      <c r="L887" s="5">
        <f>Sales_Data!F884</f>
        <v>9004.1299999999992</v>
      </c>
      <c r="M887" s="5">
        <f>Sales_Data!G884</f>
        <v>7923.37</v>
      </c>
      <c r="N887" s="5" t="str">
        <f>IFERROR(INDEX(Branch_Master!$B$2:$B$9,MATCH($B887,Branch_Master!$A$2:$A$9,0)),"Not Found")</f>
        <v>Hyderabad</v>
      </c>
      <c r="O887" s="5" t="str">
        <f>IFERROR(INDEX(Branch_Master!$C$2:$C$9,MATCH($B887,Branch_Master!$A$2:$A$9,0)),"Not Found")</f>
        <v>Telangana</v>
      </c>
      <c r="P887" s="5">
        <f>IFERROR(INDEX(Targets!$B$2:$B$9,MATCH($B887,Targets!$A$2:$A$9,0)),0)</f>
        <v>1210000</v>
      </c>
      <c r="Q887" s="5" t="str">
        <f t="shared" si="26"/>
        <v>Yes</v>
      </c>
      <c r="R887" s="5" t="str">
        <f t="shared" si="27"/>
        <v>Nov</v>
      </c>
    </row>
    <row r="888" spans="1:18" ht="15" customHeight="1" x14ac:dyDescent="0.3">
      <c r="A888" s="5" t="str">
        <f>Sales_Data!A885</f>
        <v>2025-11-16</v>
      </c>
      <c r="B888" s="5" t="str">
        <f>Sales_Data!B885</f>
        <v>Ahmedabad West</v>
      </c>
      <c r="C888" s="5" t="str">
        <f>Sales_Data!C885</f>
        <v>E005</v>
      </c>
      <c r="D888" s="5" t="str">
        <f>IFERROR(INDEX(Employee_Master!$B$2:$B$44,MATCH($C888,Employee_Master!$A$2:$A$44,0)),"Not Found")</f>
        <v>Dr. Sara Zimmerman MD</v>
      </c>
      <c r="E888" s="5" t="str">
        <f>IFERROR(INDEX(Employee_Master!$C$2:$C$44,MATCH($C888,Employee_Master!$A$2:$A$44,0)),"Not Found")</f>
        <v>Operations</v>
      </c>
      <c r="F888" s="5" t="str">
        <f>IFERROR(INDEX(Employee_Master!$D$2:$D$44,MATCH($C888,Employee_Master!$A$2:$A$44,0)),"Not Found")</f>
        <v>Joseph Brown</v>
      </c>
      <c r="G888" s="5" t="str">
        <f>IFERROR(INDEX(Employee_Master!$E$2:$E$44,MATCH($C888,Employee_Master!$A$2:$A$44,0)),"Not Found")</f>
        <v>West</v>
      </c>
      <c r="H888" s="5" t="str">
        <f>Sales_Data!D885</f>
        <v>P003 - Bluetooth Speaker</v>
      </c>
      <c r="I888" s="5" t="str">
        <f>IFERROR(INDEX(Product_Master!$B$2:$B$30,MATCH($H888,Product_Master!$A$2:$A$30,0)),"Invalid Product Code")</f>
        <v>Electronics</v>
      </c>
      <c r="J888" s="5">
        <f>IFERROR(INDEX(Product_Master!$C$2:$C$30,MATCH($H888,Product_Master!$A$2:$A$30,0)),0)</f>
        <v>351.01</v>
      </c>
      <c r="K888" s="5">
        <f>Sales_Data!E885</f>
        <v>1</v>
      </c>
      <c r="L888" s="5">
        <f>Sales_Data!F885</f>
        <v>436.06</v>
      </c>
      <c r="M888" s="5">
        <f>Sales_Data!G885</f>
        <v>362.34</v>
      </c>
      <c r="N888" s="5" t="str">
        <f>IFERROR(INDEX(Branch_Master!$B$2:$B$9,MATCH($B888,Branch_Master!$A$2:$A$9,0)),"Not Found")</f>
        <v>Ahmedabad</v>
      </c>
      <c r="O888" s="5" t="str">
        <f>IFERROR(INDEX(Branch_Master!$C$2:$C$9,MATCH($B888,Branch_Master!$A$2:$A$9,0)),"Not Found")</f>
        <v>Gujarat</v>
      </c>
      <c r="P888" s="5">
        <f>IFERROR(INDEX(Targets!$B$2:$B$9,MATCH($B888,Targets!$A$2:$A$9,0)),0)</f>
        <v>1590000</v>
      </c>
      <c r="Q888" s="5" t="str">
        <f t="shared" si="26"/>
        <v>Yes</v>
      </c>
      <c r="R888" s="5" t="str">
        <f t="shared" si="27"/>
        <v>Nov</v>
      </c>
    </row>
    <row r="889" spans="1:18" ht="15" customHeight="1" x14ac:dyDescent="0.3">
      <c r="A889" s="5" t="str">
        <f>Sales_Data!A886</f>
        <v>2025-11-16</v>
      </c>
      <c r="B889" s="5" t="str">
        <f>Sales_Data!B886</f>
        <v>Ahmedabad West</v>
      </c>
      <c r="C889" s="5" t="str">
        <f>Sales_Data!C886</f>
        <v>E039</v>
      </c>
      <c r="D889" s="5" t="str">
        <f>IFERROR(INDEX(Employee_Master!$B$2:$B$44,MATCH($C889,Employee_Master!$A$2:$A$44,0)),"Not Found")</f>
        <v>Christopher Wood</v>
      </c>
      <c r="E889" s="5" t="str">
        <f>IFERROR(INDEX(Employee_Master!$C$2:$C$44,MATCH($C889,Employee_Master!$A$2:$A$44,0)),"Not Found")</f>
        <v>Marketing</v>
      </c>
      <c r="F889" s="5" t="str">
        <f>IFERROR(INDEX(Employee_Master!$D$2:$D$44,MATCH($C889,Employee_Master!$A$2:$A$44,0)),"Not Found")</f>
        <v>Joseph Brown</v>
      </c>
      <c r="G889" s="5" t="str">
        <f>IFERROR(INDEX(Employee_Master!$E$2:$E$44,MATCH($C889,Employee_Master!$A$2:$A$44,0)),"Not Found")</f>
        <v>West</v>
      </c>
      <c r="H889" s="5" t="str">
        <f>Sales_Data!D886</f>
        <v>P010 - Running Shoes</v>
      </c>
      <c r="I889" s="5" t="str">
        <f>IFERROR(INDEX(Product_Master!$B$2:$B$30,MATCH($H889,Product_Master!$A$2:$A$30,0)),"Invalid Product Code")</f>
        <v>Apparel</v>
      </c>
      <c r="J889" s="5">
        <f>IFERROR(INDEX(Product_Master!$C$2:$C$30,MATCH($H889,Product_Master!$A$2:$A$30,0)),0)</f>
        <v>233.71</v>
      </c>
      <c r="K889" s="5">
        <f>Sales_Data!E886</f>
        <v>10</v>
      </c>
      <c r="L889" s="5">
        <f>Sales_Data!F886</f>
        <v>3107.97</v>
      </c>
      <c r="M889" s="5">
        <f>Sales_Data!G886</f>
        <v>2500.5</v>
      </c>
      <c r="N889" s="5" t="str">
        <f>IFERROR(INDEX(Branch_Master!$B$2:$B$9,MATCH($B889,Branch_Master!$A$2:$A$9,0)),"Not Found")</f>
        <v>Ahmedabad</v>
      </c>
      <c r="O889" s="5" t="str">
        <f>IFERROR(INDEX(Branch_Master!$C$2:$C$9,MATCH($B889,Branch_Master!$A$2:$A$9,0)),"Not Found")</f>
        <v>Gujarat</v>
      </c>
      <c r="P889" s="5">
        <f>IFERROR(INDEX(Targets!$B$2:$B$9,MATCH($B889,Targets!$A$2:$A$9,0)),0)</f>
        <v>1590000</v>
      </c>
      <c r="Q889" s="5" t="str">
        <f t="shared" si="26"/>
        <v>Yes</v>
      </c>
      <c r="R889" s="5" t="str">
        <f t="shared" si="27"/>
        <v>Nov</v>
      </c>
    </row>
    <row r="890" spans="1:18" ht="15" customHeight="1" x14ac:dyDescent="0.3">
      <c r="A890" s="5" t="str">
        <f>Sales_Data!A887</f>
        <v>2025-11-16</v>
      </c>
      <c r="B890" s="5" t="str">
        <f>Sales_Data!B887</f>
        <v>Mumbai Central</v>
      </c>
      <c r="C890" s="5" t="str">
        <f>Sales_Data!C887</f>
        <v>E007</v>
      </c>
      <c r="D890" s="5" t="str">
        <f>IFERROR(INDEX(Employee_Master!$B$2:$B$44,MATCH($C890,Employee_Master!$A$2:$A$44,0)),"Not Found")</f>
        <v>Jennifer Bradford</v>
      </c>
      <c r="E890" s="5" t="str">
        <f>IFERROR(INDEX(Employee_Master!$C$2:$C$44,MATCH($C890,Employee_Master!$A$2:$A$44,0)),"Not Found")</f>
        <v>Customer Support</v>
      </c>
      <c r="F890" s="5" t="str">
        <f>IFERROR(INDEX(Employee_Master!$D$2:$D$44,MATCH($C890,Employee_Master!$A$2:$A$44,0)),"Not Found")</f>
        <v>Justin Glass</v>
      </c>
      <c r="G890" s="5" t="str">
        <f>IFERROR(INDEX(Employee_Master!$E$2:$E$44,MATCH($C890,Employee_Master!$A$2:$A$44,0)),"Not Found")</f>
        <v>West</v>
      </c>
      <c r="H890" s="5" t="str">
        <f>Sales_Data!D887</f>
        <v>P019 - Organic Honey</v>
      </c>
      <c r="I890" s="5" t="str">
        <f>IFERROR(INDEX(Product_Master!$B$2:$B$30,MATCH($H890,Product_Master!$A$2:$A$30,0)),"Invalid Product Code")</f>
        <v>Grocery</v>
      </c>
      <c r="J890" s="5">
        <f>IFERROR(INDEX(Product_Master!$C$2:$C$30,MATCH($H890,Product_Master!$A$2:$A$30,0)),0)</f>
        <v>482.15</v>
      </c>
      <c r="K890" s="5">
        <f>Sales_Data!E887</f>
        <v>3</v>
      </c>
      <c r="L890" s="5">
        <f>Sales_Data!F887</f>
        <v>1777.8</v>
      </c>
      <c r="M890" s="5">
        <f>Sales_Data!G887</f>
        <v>1398.02</v>
      </c>
      <c r="N890" s="5" t="str">
        <f>IFERROR(INDEX(Branch_Master!$B$2:$B$9,MATCH($B890,Branch_Master!$A$2:$A$9,0)),"Not Found")</f>
        <v>Mumbai</v>
      </c>
      <c r="O890" s="5" t="str">
        <f>IFERROR(INDEX(Branch_Master!$C$2:$C$9,MATCH($B890,Branch_Master!$A$2:$A$9,0)),"Not Found")</f>
        <v>Maharashtra</v>
      </c>
      <c r="P890" s="5">
        <f>IFERROR(INDEX(Targets!$B$2:$B$9,MATCH($B890,Targets!$A$2:$A$9,0)),0)</f>
        <v>900000</v>
      </c>
      <c r="Q890" s="5" t="str">
        <f t="shared" si="26"/>
        <v>Yes</v>
      </c>
      <c r="R890" s="5" t="str">
        <f t="shared" si="27"/>
        <v>Nov</v>
      </c>
    </row>
    <row r="891" spans="1:18" ht="15" customHeight="1" x14ac:dyDescent="0.3">
      <c r="A891" s="5" t="str">
        <f>Sales_Data!A888</f>
        <v>2025-11-17</v>
      </c>
      <c r="B891" s="5" t="str">
        <f>Sales_Data!B888</f>
        <v>Ahmedabad West</v>
      </c>
      <c r="C891" s="5" t="str">
        <f>Sales_Data!C888</f>
        <v>E037</v>
      </c>
      <c r="D891" s="5" t="str">
        <f>IFERROR(INDEX(Employee_Master!$B$2:$B$44,MATCH($C891,Employee_Master!$A$2:$A$44,0)),"Not Found")</f>
        <v>Thomas Harris</v>
      </c>
      <c r="E891" s="5" t="str">
        <f>IFERROR(INDEX(Employee_Master!$C$2:$C$44,MATCH($C891,Employee_Master!$A$2:$A$44,0)),"Not Found")</f>
        <v>Customer Support</v>
      </c>
      <c r="F891" s="5" t="str">
        <f>IFERROR(INDEX(Employee_Master!$D$2:$D$44,MATCH($C891,Employee_Master!$A$2:$A$44,0)),"Not Found")</f>
        <v>Joseph Brown</v>
      </c>
      <c r="G891" s="5" t="str">
        <f>IFERROR(INDEX(Employee_Master!$E$2:$E$44,MATCH($C891,Employee_Master!$A$2:$A$44,0)),"Not Found")</f>
        <v>West</v>
      </c>
      <c r="H891" s="5" t="str">
        <f>Sales_Data!D888</f>
        <v>P016 - Dinner Set</v>
      </c>
      <c r="I891" s="5" t="str">
        <f>IFERROR(INDEX(Product_Master!$B$2:$B$30,MATCH($H891,Product_Master!$A$2:$A$30,0)),"Invalid Product Code")</f>
        <v>Home &amp; Kitchen</v>
      </c>
      <c r="J891" s="5">
        <f>IFERROR(INDEX(Product_Master!$C$2:$C$30,MATCH($H891,Product_Master!$A$2:$A$30,0)),0)</f>
        <v>225.06</v>
      </c>
      <c r="K891" s="5">
        <f>Sales_Data!E888</f>
        <v>5</v>
      </c>
      <c r="L891" s="5">
        <f>Sales_Data!F888</f>
        <v>1581.72</v>
      </c>
      <c r="M891" s="5">
        <f>Sales_Data!G888</f>
        <v>1283.02</v>
      </c>
      <c r="N891" s="5" t="str">
        <f>IFERROR(INDEX(Branch_Master!$B$2:$B$9,MATCH($B891,Branch_Master!$A$2:$A$9,0)),"Not Found")</f>
        <v>Ahmedabad</v>
      </c>
      <c r="O891" s="5" t="str">
        <f>IFERROR(INDEX(Branch_Master!$C$2:$C$9,MATCH($B891,Branch_Master!$A$2:$A$9,0)),"Not Found")</f>
        <v>Gujarat</v>
      </c>
      <c r="P891" s="5">
        <f>IFERROR(INDEX(Targets!$B$2:$B$9,MATCH($B891,Targets!$A$2:$A$9,0)),0)</f>
        <v>1590000</v>
      </c>
      <c r="Q891" s="5" t="str">
        <f t="shared" si="26"/>
        <v>Yes</v>
      </c>
      <c r="R891" s="5" t="str">
        <f t="shared" si="27"/>
        <v>Nov</v>
      </c>
    </row>
    <row r="892" spans="1:18" ht="15" customHeight="1" x14ac:dyDescent="0.3">
      <c r="A892" s="5" t="str">
        <f>Sales_Data!A889</f>
        <v>2025-11-17</v>
      </c>
      <c r="B892" s="5" t="str">
        <f>Sales_Data!B889</f>
        <v>Bangalore North</v>
      </c>
      <c r="C892" s="5" t="str">
        <f>Sales_Data!C889</f>
        <v>E004</v>
      </c>
      <c r="D892" s="5" t="str">
        <f>IFERROR(INDEX(Employee_Master!$B$2:$B$44,MATCH($C892,Employee_Master!$A$2:$A$44,0)),"Not Found")</f>
        <v>Judith Ramirez</v>
      </c>
      <c r="E892" s="5" t="str">
        <f>IFERROR(INDEX(Employee_Master!$C$2:$C$44,MATCH($C892,Employee_Master!$A$2:$A$44,0)),"Not Found")</f>
        <v>Sales</v>
      </c>
      <c r="F892" s="5" t="str">
        <f>IFERROR(INDEX(Employee_Master!$D$2:$D$44,MATCH($C892,Employee_Master!$A$2:$A$44,0)),"Not Found")</f>
        <v>Jose Soto</v>
      </c>
      <c r="G892" s="5" t="str">
        <f>IFERROR(INDEX(Employee_Master!$E$2:$E$44,MATCH($C892,Employee_Master!$A$2:$A$44,0)),"Not Found")</f>
        <v>South</v>
      </c>
      <c r="H892" s="5" t="str">
        <f>Sales_Data!D889</f>
        <v>P006 - Laptop Stand</v>
      </c>
      <c r="I892" s="5" t="str">
        <f>IFERROR(INDEX(Product_Master!$B$2:$B$30,MATCH($H892,Product_Master!$A$2:$A$30,0)),"Invalid Product Code")</f>
        <v>Electronics</v>
      </c>
      <c r="J892" s="5">
        <f>IFERROR(INDEX(Product_Master!$C$2:$C$30,MATCH($H892,Product_Master!$A$2:$A$30,0)),0)</f>
        <v>393.96</v>
      </c>
      <c r="K892" s="5">
        <f>Sales_Data!E889</f>
        <v>2</v>
      </c>
      <c r="L892" s="5">
        <f>Sales_Data!F889</f>
        <v>1059.81</v>
      </c>
      <c r="M892" s="5">
        <f>Sales_Data!G889</f>
        <v>894.58</v>
      </c>
      <c r="N892" s="5" t="str">
        <f>IFERROR(INDEX(Branch_Master!$B$2:$B$9,MATCH($B892,Branch_Master!$A$2:$A$9,0)),"Not Found")</f>
        <v>Bangalore</v>
      </c>
      <c r="O892" s="5" t="str">
        <f>IFERROR(INDEX(Branch_Master!$C$2:$C$9,MATCH($B892,Branch_Master!$A$2:$A$9,0)),"Not Found")</f>
        <v>Karnataka</v>
      </c>
      <c r="P892" s="5">
        <f>IFERROR(INDEX(Targets!$B$2:$B$9,MATCH($B892,Targets!$A$2:$A$9,0)),0)</f>
        <v>900000</v>
      </c>
      <c r="Q892" s="5" t="str">
        <f t="shared" si="26"/>
        <v>Yes</v>
      </c>
      <c r="R892" s="5" t="str">
        <f t="shared" si="27"/>
        <v>Nov</v>
      </c>
    </row>
    <row r="893" spans="1:18" ht="15" customHeight="1" x14ac:dyDescent="0.3">
      <c r="A893" s="5" t="str">
        <f>Sales_Data!A890</f>
        <v>2025-11-18</v>
      </c>
      <c r="B893" s="5" t="str">
        <f>Sales_Data!B890</f>
        <v>Delhi NCR</v>
      </c>
      <c r="C893" s="5" t="str">
        <f>Sales_Data!C890</f>
        <v>E013</v>
      </c>
      <c r="D893" s="5" t="str">
        <f>IFERROR(INDEX(Employee_Master!$B$2:$B$44,MATCH($C893,Employee_Master!$A$2:$A$44,0)),"Not Found")</f>
        <v>Norma Wilson</v>
      </c>
      <c r="E893" s="5" t="str">
        <f>IFERROR(INDEX(Employee_Master!$C$2:$C$44,MATCH($C893,Employee_Master!$A$2:$A$44,0)),"Not Found")</f>
        <v>Customer Support</v>
      </c>
      <c r="F893" s="5" t="str">
        <f>IFERROR(INDEX(Employee_Master!$D$2:$D$44,MATCH($C893,Employee_Master!$A$2:$A$44,0)),"Not Found")</f>
        <v>William Oconnell</v>
      </c>
      <c r="G893" s="5" t="str">
        <f>IFERROR(INDEX(Employee_Master!$E$2:$E$44,MATCH($C893,Employee_Master!$A$2:$A$44,0)),"Not Found")</f>
        <v>North</v>
      </c>
      <c r="H893" s="5" t="str">
        <f>Sales_Data!D890</f>
        <v>P028 - Football</v>
      </c>
      <c r="I893" s="5" t="str">
        <f>IFERROR(INDEX(Product_Master!$B$2:$B$30,MATCH($H893,Product_Master!$A$2:$A$30,0)),"Invalid Product Code")</f>
        <v>Sports</v>
      </c>
      <c r="J893" s="5">
        <f>IFERROR(INDEX(Product_Master!$C$2:$C$30,MATCH($H893,Product_Master!$A$2:$A$30,0)),0)</f>
        <v>314.25</v>
      </c>
      <c r="K893" s="5">
        <f>Sales_Data!E890</f>
        <v>6</v>
      </c>
      <c r="L893" s="5">
        <f>Sales_Data!F890</f>
        <v>2599.9299999999998</v>
      </c>
      <c r="M893" s="5">
        <f>Sales_Data!G890</f>
        <v>1603.32</v>
      </c>
      <c r="N893" s="5" t="str">
        <f>IFERROR(INDEX(Branch_Master!$B$2:$B$9,MATCH($B893,Branch_Master!$A$2:$A$9,0)),"Not Found")</f>
        <v>New Delhi</v>
      </c>
      <c r="O893" s="5" t="str">
        <f>IFERROR(INDEX(Branch_Master!$C$2:$C$9,MATCH($B893,Branch_Master!$A$2:$A$9,0)),"Not Found")</f>
        <v>Delhi</v>
      </c>
      <c r="P893" s="5">
        <f>IFERROR(INDEX(Targets!$B$2:$B$9,MATCH($B893,Targets!$A$2:$A$9,0)),0)</f>
        <v>2070000</v>
      </c>
      <c r="Q893" s="5" t="str">
        <f t="shared" si="26"/>
        <v>Yes</v>
      </c>
      <c r="R893" s="5" t="str">
        <f t="shared" si="27"/>
        <v>Nov</v>
      </c>
    </row>
    <row r="894" spans="1:18" ht="15" customHeight="1" x14ac:dyDescent="0.3">
      <c r="A894" s="5" t="str">
        <f>Sales_Data!A891</f>
        <v>2025-11-18</v>
      </c>
      <c r="B894" s="5" t="str">
        <f>Sales_Data!B891</f>
        <v>Kolkata Central</v>
      </c>
      <c r="C894" s="5" t="str">
        <f>Sales_Data!C891</f>
        <v>E018</v>
      </c>
      <c r="D894" s="5" t="str">
        <f>IFERROR(INDEX(Employee_Master!$B$2:$B$44,MATCH($C894,Employee_Master!$A$2:$A$44,0)),"Not Found")</f>
        <v>Daniel Nelson</v>
      </c>
      <c r="E894" s="5" t="str">
        <f>IFERROR(INDEX(Employee_Master!$C$2:$C$44,MATCH($C894,Employee_Master!$A$2:$A$44,0)),"Not Found")</f>
        <v>Sales</v>
      </c>
      <c r="F894" s="5" t="str">
        <f>IFERROR(INDEX(Employee_Master!$D$2:$D$44,MATCH($C894,Employee_Master!$A$2:$A$44,0)),"Not Found")</f>
        <v>Lisa Moore</v>
      </c>
      <c r="G894" s="5" t="str">
        <f>IFERROR(INDEX(Employee_Master!$E$2:$E$44,MATCH($C894,Employee_Master!$A$2:$A$44,0)),"Not Found")</f>
        <v>East</v>
      </c>
      <c r="H894" s="5" t="str">
        <f>Sales_Data!D891</f>
        <v>P004 - Power Bank</v>
      </c>
      <c r="I894" s="5" t="str">
        <f>IFERROR(INDEX(Product_Master!$B$2:$B$30,MATCH($H894,Product_Master!$A$2:$A$30,0)),"Invalid Product Code")</f>
        <v>Electronics</v>
      </c>
      <c r="J894" s="5">
        <f>IFERROR(INDEX(Product_Master!$C$2:$C$30,MATCH($H894,Product_Master!$A$2:$A$30,0)),0)</f>
        <v>76.91</v>
      </c>
      <c r="K894" s="5">
        <f>Sales_Data!E891</f>
        <v>12</v>
      </c>
      <c r="L894" s="5">
        <f>Sales_Data!F891</f>
        <v>1245.3499999999999</v>
      </c>
      <c r="M894" s="5">
        <f>Sales_Data!G891</f>
        <v>909.97</v>
      </c>
      <c r="N894" s="5" t="str">
        <f>IFERROR(INDEX(Branch_Master!$B$2:$B$9,MATCH($B894,Branch_Master!$A$2:$A$9,0)),"Not Found")</f>
        <v>Kolkata</v>
      </c>
      <c r="O894" s="5" t="str">
        <f>IFERROR(INDEX(Branch_Master!$C$2:$C$9,MATCH($B894,Branch_Master!$A$2:$A$9,0)),"Not Found")</f>
        <v>West Bengal</v>
      </c>
      <c r="P894" s="5">
        <f>IFERROR(INDEX(Targets!$B$2:$B$9,MATCH($B894,Targets!$A$2:$A$9,0)),0)</f>
        <v>1910000</v>
      </c>
      <c r="Q894" s="5" t="str">
        <f t="shared" si="26"/>
        <v>Yes</v>
      </c>
      <c r="R894" s="5" t="str">
        <f t="shared" si="27"/>
        <v>Nov</v>
      </c>
    </row>
    <row r="895" spans="1:18" ht="15" customHeight="1" x14ac:dyDescent="0.3">
      <c r="A895" s="5" t="str">
        <f>Sales_Data!A892</f>
        <v>2025-11-19</v>
      </c>
      <c r="B895" s="5" t="str">
        <f>Sales_Data!B892</f>
        <v>Ahmedabad West</v>
      </c>
      <c r="C895" s="5" t="str">
        <f>Sales_Data!C892</f>
        <v>E017</v>
      </c>
      <c r="D895" s="5" t="str">
        <f>IFERROR(INDEX(Employee_Master!$B$2:$B$44,MATCH($C895,Employee_Master!$A$2:$A$44,0)),"Not Found")</f>
        <v>Mathew Wilson</v>
      </c>
      <c r="E895" s="5" t="str">
        <f>IFERROR(INDEX(Employee_Master!$C$2:$C$44,MATCH($C895,Employee_Master!$A$2:$A$44,0)),"Not Found")</f>
        <v>Operations</v>
      </c>
      <c r="F895" s="5" t="str">
        <f>IFERROR(INDEX(Employee_Master!$D$2:$D$44,MATCH($C895,Employee_Master!$A$2:$A$44,0)),"Not Found")</f>
        <v>Joseph Brown</v>
      </c>
      <c r="G895" s="5" t="str">
        <f>IFERROR(INDEX(Employee_Master!$E$2:$E$44,MATCH($C895,Employee_Master!$A$2:$A$44,0)),"Not Found")</f>
        <v>West</v>
      </c>
      <c r="H895" s="5" t="str">
        <f>Sales_Data!D892</f>
        <v>P001 - Wireless Earbuds</v>
      </c>
      <c r="I895" s="5" t="str">
        <f>IFERROR(INDEX(Product_Master!$B$2:$B$30,MATCH($H895,Product_Master!$A$2:$A$30,0)),"Invalid Product Code")</f>
        <v>Electronics</v>
      </c>
      <c r="J895" s="5">
        <f>IFERROR(INDEX(Product_Master!$C$2:$C$30,MATCH($H895,Product_Master!$A$2:$A$30,0)),0)</f>
        <v>1676.76</v>
      </c>
      <c r="K895" s="5">
        <f>Sales_Data!E892</f>
        <v>12</v>
      </c>
      <c r="L895" s="5">
        <f>Sales_Data!F892</f>
        <v>25101.18</v>
      </c>
      <c r="M895" s="5">
        <f>Sales_Data!G892</f>
        <v>21150.26</v>
      </c>
      <c r="N895" s="5" t="str">
        <f>IFERROR(INDEX(Branch_Master!$B$2:$B$9,MATCH($B895,Branch_Master!$A$2:$A$9,0)),"Not Found")</f>
        <v>Ahmedabad</v>
      </c>
      <c r="O895" s="5" t="str">
        <f>IFERROR(INDEX(Branch_Master!$C$2:$C$9,MATCH($B895,Branch_Master!$A$2:$A$9,0)),"Not Found")</f>
        <v>Gujarat</v>
      </c>
      <c r="P895" s="5">
        <f>IFERROR(INDEX(Targets!$B$2:$B$9,MATCH($B895,Targets!$A$2:$A$9,0)),0)</f>
        <v>1590000</v>
      </c>
      <c r="Q895" s="5" t="str">
        <f t="shared" si="26"/>
        <v>Yes</v>
      </c>
      <c r="R895" s="5" t="str">
        <f t="shared" si="27"/>
        <v>Nov</v>
      </c>
    </row>
    <row r="896" spans="1:18" ht="15" customHeight="1" x14ac:dyDescent="0.3">
      <c r="A896" s="5" t="str">
        <f>Sales_Data!A893</f>
        <v>2025-11-19</v>
      </c>
      <c r="B896" s="5" t="str">
        <f>Sales_Data!B893</f>
        <v>Delhi NCR</v>
      </c>
      <c r="C896" s="5" t="str">
        <f>Sales_Data!C893</f>
        <v>E013</v>
      </c>
      <c r="D896" s="5" t="str">
        <f>IFERROR(INDEX(Employee_Master!$B$2:$B$44,MATCH($C896,Employee_Master!$A$2:$A$44,0)),"Not Found")</f>
        <v>Norma Wilson</v>
      </c>
      <c r="E896" s="5" t="str">
        <f>IFERROR(INDEX(Employee_Master!$C$2:$C$44,MATCH($C896,Employee_Master!$A$2:$A$44,0)),"Not Found")</f>
        <v>Customer Support</v>
      </c>
      <c r="F896" s="5" t="str">
        <f>IFERROR(INDEX(Employee_Master!$D$2:$D$44,MATCH($C896,Employee_Master!$A$2:$A$44,0)),"Not Found")</f>
        <v>William Oconnell</v>
      </c>
      <c r="G896" s="5" t="str">
        <f>IFERROR(INDEX(Employee_Master!$E$2:$E$44,MATCH($C896,Employee_Master!$A$2:$A$44,0)),"Not Found")</f>
        <v>North</v>
      </c>
      <c r="H896" s="5" t="str">
        <f>Sales_Data!D893</f>
        <v>P018 - Cooking Oil 1L</v>
      </c>
      <c r="I896" s="5" t="str">
        <f>IFERROR(INDEX(Product_Master!$B$2:$B$30,MATCH($H896,Product_Master!$A$2:$A$30,0)),"Invalid Product Code")</f>
        <v>Grocery</v>
      </c>
      <c r="J896" s="5">
        <f>IFERROR(INDEX(Product_Master!$C$2:$C$30,MATCH($H896,Product_Master!$A$2:$A$30,0)),0)</f>
        <v>1483.63</v>
      </c>
      <c r="K896" s="5">
        <f>Sales_Data!E893</f>
        <v>11</v>
      </c>
      <c r="L896" s="5">
        <f>Sales_Data!F893</f>
        <v>23313.69</v>
      </c>
      <c r="M896" s="5">
        <f>Sales_Data!G893</f>
        <v>15723.68</v>
      </c>
      <c r="N896" s="5" t="str">
        <f>IFERROR(INDEX(Branch_Master!$B$2:$B$9,MATCH($B896,Branch_Master!$A$2:$A$9,0)),"Not Found")</f>
        <v>New Delhi</v>
      </c>
      <c r="O896" s="5" t="str">
        <f>IFERROR(INDEX(Branch_Master!$C$2:$C$9,MATCH($B896,Branch_Master!$A$2:$A$9,0)),"Not Found")</f>
        <v>Delhi</v>
      </c>
      <c r="P896" s="5">
        <f>IFERROR(INDEX(Targets!$B$2:$B$9,MATCH($B896,Targets!$A$2:$A$9,0)),0)</f>
        <v>2070000</v>
      </c>
      <c r="Q896" s="5" t="str">
        <f t="shared" si="26"/>
        <v>Yes</v>
      </c>
      <c r="R896" s="5" t="str">
        <f t="shared" si="27"/>
        <v>Nov</v>
      </c>
    </row>
    <row r="897" spans="1:18" ht="15" customHeight="1" x14ac:dyDescent="0.3">
      <c r="A897" s="5" t="str">
        <f>Sales_Data!A894</f>
        <v>2025-11-19</v>
      </c>
      <c r="B897" s="5" t="str">
        <f>Sales_Data!B894</f>
        <v>Hyderabad Hitech</v>
      </c>
      <c r="C897" s="5" t="str">
        <f>Sales_Data!C894</f>
        <v>E035</v>
      </c>
      <c r="D897" s="5" t="str">
        <f>IFERROR(INDEX(Employee_Master!$B$2:$B$44,MATCH($C897,Employee_Master!$A$2:$A$44,0)),"Not Found")</f>
        <v>Andrea Perez</v>
      </c>
      <c r="E897" s="5" t="str">
        <f>IFERROR(INDEX(Employee_Master!$C$2:$C$44,MATCH($C897,Employee_Master!$A$2:$A$44,0)),"Not Found")</f>
        <v>Sales</v>
      </c>
      <c r="F897" s="5" t="str">
        <f>IFERROR(INDEX(Employee_Master!$D$2:$D$44,MATCH($C897,Employee_Master!$A$2:$A$44,0)),"Not Found")</f>
        <v>Anna Turner</v>
      </c>
      <c r="G897" s="5" t="str">
        <f>IFERROR(INDEX(Employee_Master!$E$2:$E$44,MATCH($C897,Employee_Master!$A$2:$A$44,0)),"Not Found")</f>
        <v>South</v>
      </c>
      <c r="H897" s="5" t="str">
        <f>Sales_Data!D894</f>
        <v>P013 - Mixer Grinder</v>
      </c>
      <c r="I897" s="5" t="str">
        <f>IFERROR(INDEX(Product_Master!$B$2:$B$30,MATCH($H897,Product_Master!$A$2:$A$30,0)),"Invalid Product Code")</f>
        <v>Home &amp; Kitchen</v>
      </c>
      <c r="J897" s="5">
        <f>IFERROR(INDEX(Product_Master!$C$2:$C$30,MATCH($H897,Product_Master!$A$2:$A$30,0)),0)</f>
        <v>798.53</v>
      </c>
      <c r="K897" s="5">
        <f>Sales_Data!E894</f>
        <v>8</v>
      </c>
      <c r="L897" s="5">
        <f>Sales_Data!F894</f>
        <v>8476.68</v>
      </c>
      <c r="M897" s="5">
        <f>Sales_Data!G894</f>
        <v>6237.71</v>
      </c>
      <c r="N897" s="5" t="str">
        <f>IFERROR(INDEX(Branch_Master!$B$2:$B$9,MATCH($B897,Branch_Master!$A$2:$A$9,0)),"Not Found")</f>
        <v>Hyderabad</v>
      </c>
      <c r="O897" s="5" t="str">
        <f>IFERROR(INDEX(Branch_Master!$C$2:$C$9,MATCH($B897,Branch_Master!$A$2:$A$9,0)),"Not Found")</f>
        <v>Telangana</v>
      </c>
      <c r="P897" s="5">
        <f>IFERROR(INDEX(Targets!$B$2:$B$9,MATCH($B897,Targets!$A$2:$A$9,0)),0)</f>
        <v>1210000</v>
      </c>
      <c r="Q897" s="5" t="str">
        <f t="shared" si="26"/>
        <v>Yes</v>
      </c>
      <c r="R897" s="5" t="str">
        <f t="shared" si="27"/>
        <v>Nov</v>
      </c>
    </row>
    <row r="898" spans="1:18" ht="15" customHeight="1" x14ac:dyDescent="0.3">
      <c r="A898" s="5" t="str">
        <f>Sales_Data!A895</f>
        <v>2025-11-20</v>
      </c>
      <c r="B898" s="5" t="str">
        <f>Sales_Data!B895</f>
        <v>Mumbai Central</v>
      </c>
      <c r="C898" s="5" t="str">
        <f>Sales_Data!C895</f>
        <v>E007</v>
      </c>
      <c r="D898" s="5" t="str">
        <f>IFERROR(INDEX(Employee_Master!$B$2:$B$44,MATCH($C898,Employee_Master!$A$2:$A$44,0)),"Not Found")</f>
        <v>Jennifer Bradford</v>
      </c>
      <c r="E898" s="5" t="str">
        <f>IFERROR(INDEX(Employee_Master!$C$2:$C$44,MATCH($C898,Employee_Master!$A$2:$A$44,0)),"Not Found")</f>
        <v>Customer Support</v>
      </c>
      <c r="F898" s="5" t="str">
        <f>IFERROR(INDEX(Employee_Master!$D$2:$D$44,MATCH($C898,Employee_Master!$A$2:$A$44,0)),"Not Found")</f>
        <v>Justin Glass</v>
      </c>
      <c r="G898" s="5" t="str">
        <f>IFERROR(INDEX(Employee_Master!$E$2:$E$44,MATCH($C898,Employee_Master!$A$2:$A$44,0)),"Not Found")</f>
        <v>West</v>
      </c>
      <c r="H898" s="5" t="str">
        <f>Sales_Data!D895</f>
        <v>P007 - Cotton T-Shirt</v>
      </c>
      <c r="I898" s="5" t="str">
        <f>IFERROR(INDEX(Product_Master!$B$2:$B$30,MATCH($H898,Product_Master!$A$2:$A$30,0)),"Invalid Product Code")</f>
        <v>Apparel</v>
      </c>
      <c r="J898" s="5">
        <f>IFERROR(INDEX(Product_Master!$C$2:$C$30,MATCH($H898,Product_Master!$A$2:$A$30,0)),0)</f>
        <v>338.44</v>
      </c>
      <c r="K898" s="5">
        <f>Sales_Data!E895</f>
        <v>6</v>
      </c>
      <c r="L898" s="5">
        <f>Sales_Data!F895</f>
        <v>2603.67</v>
      </c>
      <c r="M898" s="5">
        <f>Sales_Data!G895</f>
        <v>2240.34</v>
      </c>
      <c r="N898" s="5" t="str">
        <f>IFERROR(INDEX(Branch_Master!$B$2:$B$9,MATCH($B898,Branch_Master!$A$2:$A$9,0)),"Not Found")</f>
        <v>Mumbai</v>
      </c>
      <c r="O898" s="5" t="str">
        <f>IFERROR(INDEX(Branch_Master!$C$2:$C$9,MATCH($B898,Branch_Master!$A$2:$A$9,0)),"Not Found")</f>
        <v>Maharashtra</v>
      </c>
      <c r="P898" s="5">
        <f>IFERROR(INDEX(Targets!$B$2:$B$9,MATCH($B898,Targets!$A$2:$A$9,0)),0)</f>
        <v>900000</v>
      </c>
      <c r="Q898" s="5" t="str">
        <f t="shared" si="26"/>
        <v>Yes</v>
      </c>
      <c r="R898" s="5" t="str">
        <f t="shared" si="27"/>
        <v>Nov</v>
      </c>
    </row>
    <row r="899" spans="1:18" ht="15" customHeight="1" x14ac:dyDescent="0.3">
      <c r="A899" s="5" t="str">
        <f>Sales_Data!A896</f>
        <v>2025-11-21</v>
      </c>
      <c r="B899" s="5" t="str">
        <f>Sales_Data!B896</f>
        <v>Bangalore North</v>
      </c>
      <c r="C899" s="5" t="str">
        <f>Sales_Data!C896</f>
        <v>E003</v>
      </c>
      <c r="D899" s="5" t="str">
        <f>IFERROR(INDEX(Employee_Master!$B$2:$B$44,MATCH($C899,Employee_Master!$A$2:$A$44,0)),"Not Found")</f>
        <v>Margaret Porter</v>
      </c>
      <c r="E899" s="5" t="str">
        <f>IFERROR(INDEX(Employee_Master!$C$2:$C$44,MATCH($C899,Employee_Master!$A$2:$A$44,0)),"Not Found")</f>
        <v>Customer Support</v>
      </c>
      <c r="F899" s="5" t="str">
        <f>IFERROR(INDEX(Employee_Master!$D$2:$D$44,MATCH($C899,Employee_Master!$A$2:$A$44,0)),"Not Found")</f>
        <v>Jose Soto</v>
      </c>
      <c r="G899" s="5" t="str">
        <f>IFERROR(INDEX(Employee_Master!$E$2:$E$44,MATCH($C899,Employee_Master!$A$2:$A$44,0)),"Not Found")</f>
        <v>South</v>
      </c>
      <c r="H899" s="5" t="str">
        <f>Sales_Data!D896</f>
        <v>P024 - Hair Serum</v>
      </c>
      <c r="I899" s="5" t="str">
        <f>IFERROR(INDEX(Product_Master!$B$2:$B$30,MATCH($H899,Product_Master!$A$2:$A$30,0)),"Invalid Product Code")</f>
        <v>Beauty</v>
      </c>
      <c r="J899" s="5">
        <f>IFERROR(INDEX(Product_Master!$C$2:$C$30,MATCH($H899,Product_Master!$A$2:$A$30,0)),0)</f>
        <v>1457.31</v>
      </c>
      <c r="K899" s="5">
        <f>Sales_Data!E896</f>
        <v>11</v>
      </c>
      <c r="L899" s="5">
        <f>Sales_Data!F896</f>
        <v>20514.650000000001</v>
      </c>
      <c r="M899" s="5">
        <f>Sales_Data!G896</f>
        <v>17050.919999999998</v>
      </c>
      <c r="N899" s="5" t="str">
        <f>IFERROR(INDEX(Branch_Master!$B$2:$B$9,MATCH($B899,Branch_Master!$A$2:$A$9,0)),"Not Found")</f>
        <v>Bangalore</v>
      </c>
      <c r="O899" s="5" t="str">
        <f>IFERROR(INDEX(Branch_Master!$C$2:$C$9,MATCH($B899,Branch_Master!$A$2:$A$9,0)),"Not Found")</f>
        <v>Karnataka</v>
      </c>
      <c r="P899" s="5">
        <f>IFERROR(INDEX(Targets!$B$2:$B$9,MATCH($B899,Targets!$A$2:$A$9,0)),0)</f>
        <v>900000</v>
      </c>
      <c r="Q899" s="5" t="str">
        <f t="shared" si="26"/>
        <v>Yes</v>
      </c>
      <c r="R899" s="5" t="str">
        <f t="shared" si="27"/>
        <v>Nov</v>
      </c>
    </row>
    <row r="900" spans="1:18" ht="15" customHeight="1" x14ac:dyDescent="0.3">
      <c r="A900" s="5" t="str">
        <f>Sales_Data!A897</f>
        <v>2025-11-21</v>
      </c>
      <c r="B900" s="5" t="str">
        <f>Sales_Data!B897</f>
        <v>Pune East</v>
      </c>
      <c r="C900" s="5" t="str">
        <f>Sales_Data!C897</f>
        <v>E023</v>
      </c>
      <c r="D900" s="5" t="str">
        <f>IFERROR(INDEX(Employee_Master!$B$2:$B$44,MATCH($C900,Employee_Master!$A$2:$A$44,0)),"Not Found")</f>
        <v>Edward Jones</v>
      </c>
      <c r="E900" s="5" t="str">
        <f>IFERROR(INDEX(Employee_Master!$C$2:$C$44,MATCH($C900,Employee_Master!$A$2:$A$44,0)),"Not Found")</f>
        <v>Operations</v>
      </c>
      <c r="F900" s="5" t="str">
        <f>IFERROR(INDEX(Employee_Master!$D$2:$D$44,MATCH($C900,Employee_Master!$A$2:$A$44,0)),"Not Found")</f>
        <v>Jordan Matthews</v>
      </c>
      <c r="G900" s="5" t="str">
        <f>IFERROR(INDEX(Employee_Master!$E$2:$E$44,MATCH($C900,Employee_Master!$A$2:$A$44,0)),"Not Found")</f>
        <v>West</v>
      </c>
      <c r="H900" s="5" t="str">
        <f>Sales_Data!D897</f>
        <v>P012 - Non-Stick Pan</v>
      </c>
      <c r="I900" s="5" t="str">
        <f>IFERROR(INDEX(Product_Master!$B$2:$B$30,MATCH($H900,Product_Master!$A$2:$A$30,0)),"Invalid Product Code")</f>
        <v>Home &amp; Kitchen</v>
      </c>
      <c r="J900" s="5">
        <f>IFERROR(INDEX(Product_Master!$C$2:$C$30,MATCH($H900,Product_Master!$A$2:$A$30,0)),0)</f>
        <v>353.18</v>
      </c>
      <c r="K900" s="5">
        <f>Sales_Data!E897</f>
        <v>9</v>
      </c>
      <c r="L900" s="5">
        <f>Sales_Data!F897</f>
        <v>3767.07</v>
      </c>
      <c r="M900" s="5">
        <f>Sales_Data!G897</f>
        <v>2770.93</v>
      </c>
      <c r="N900" s="5" t="str">
        <f>IFERROR(INDEX(Branch_Master!$B$2:$B$9,MATCH($B900,Branch_Master!$A$2:$A$9,0)),"Not Found")</f>
        <v>Pune</v>
      </c>
      <c r="O900" s="5" t="str">
        <f>IFERROR(INDEX(Branch_Master!$C$2:$C$9,MATCH($B900,Branch_Master!$A$2:$A$9,0)),"Not Found")</f>
        <v>Maharashtra</v>
      </c>
      <c r="P900" s="5">
        <f>IFERROR(INDEX(Targets!$B$2:$B$9,MATCH($B900,Targets!$A$2:$A$9,0)),0)</f>
        <v>1250000</v>
      </c>
      <c r="Q900" s="5" t="str">
        <f t="shared" si="26"/>
        <v>Yes</v>
      </c>
      <c r="R900" s="5" t="str">
        <f t="shared" si="27"/>
        <v>Nov</v>
      </c>
    </row>
    <row r="901" spans="1:18" ht="15" customHeight="1" x14ac:dyDescent="0.3">
      <c r="A901" s="5" t="str">
        <f>Sales_Data!A898</f>
        <v>2025-11-22</v>
      </c>
      <c r="B901" s="5" t="str">
        <f>Sales_Data!B898</f>
        <v>Kolkata Central</v>
      </c>
      <c r="C901" s="5" t="str">
        <f>Sales_Data!C898</f>
        <v>E024</v>
      </c>
      <c r="D901" s="5" t="str">
        <f>IFERROR(INDEX(Employee_Master!$B$2:$B$44,MATCH($C901,Employee_Master!$A$2:$A$44,0)),"Not Found")</f>
        <v>Kevin Sanchez</v>
      </c>
      <c r="E901" s="5" t="str">
        <f>IFERROR(INDEX(Employee_Master!$C$2:$C$44,MATCH($C901,Employee_Master!$A$2:$A$44,0)),"Not Found")</f>
        <v>Sales</v>
      </c>
      <c r="F901" s="5" t="str">
        <f>IFERROR(INDEX(Employee_Master!$D$2:$D$44,MATCH($C901,Employee_Master!$A$2:$A$44,0)),"Not Found")</f>
        <v>Lisa Moore</v>
      </c>
      <c r="G901" s="5" t="str">
        <f>IFERROR(INDEX(Employee_Master!$E$2:$E$44,MATCH($C901,Employee_Master!$A$2:$A$44,0)),"Not Found")</f>
        <v>East</v>
      </c>
      <c r="H901" s="5" t="str">
        <f>Sales_Data!D898</f>
        <v>P011 - Winter Jacket</v>
      </c>
      <c r="I901" s="5" t="str">
        <f>IFERROR(INDEX(Product_Master!$B$2:$B$30,MATCH($H901,Product_Master!$A$2:$A$30,0)),"Invalid Product Code")</f>
        <v>Apparel</v>
      </c>
      <c r="J901" s="5">
        <f>IFERROR(INDEX(Product_Master!$C$2:$C$30,MATCH($H901,Product_Master!$A$2:$A$30,0)),0)</f>
        <v>264.97000000000003</v>
      </c>
      <c r="K901" s="5">
        <f>Sales_Data!E898</f>
        <v>4</v>
      </c>
      <c r="L901" s="5">
        <f>Sales_Data!F898</f>
        <v>1347.35</v>
      </c>
      <c r="M901" s="5">
        <f>Sales_Data!G898</f>
        <v>1069.1199999999999</v>
      </c>
      <c r="N901" s="5" t="str">
        <f>IFERROR(INDEX(Branch_Master!$B$2:$B$9,MATCH($B901,Branch_Master!$A$2:$A$9,0)),"Not Found")</f>
        <v>Kolkata</v>
      </c>
      <c r="O901" s="5" t="str">
        <f>IFERROR(INDEX(Branch_Master!$C$2:$C$9,MATCH($B901,Branch_Master!$A$2:$A$9,0)),"Not Found")</f>
        <v>West Bengal</v>
      </c>
      <c r="P901" s="5">
        <f>IFERROR(INDEX(Targets!$B$2:$B$9,MATCH($B901,Targets!$A$2:$A$9,0)),0)</f>
        <v>1910000</v>
      </c>
      <c r="Q901" s="5" t="str">
        <f t="shared" ref="Q901:Q964" si="28">IF(L901&gt;=M901,"Yes","No")</f>
        <v>Yes</v>
      </c>
      <c r="R901" s="5" t="str">
        <f t="shared" ref="R901:R964" si="29">TEXT(A901,"MMM")</f>
        <v>Nov</v>
      </c>
    </row>
    <row r="902" spans="1:18" ht="15" customHeight="1" x14ac:dyDescent="0.3">
      <c r="A902" s="5" t="str">
        <f>Sales_Data!A899</f>
        <v>2025-11-22</v>
      </c>
      <c r="B902" s="5" t="str">
        <f>Sales_Data!B899</f>
        <v>Hyderabad Hitech</v>
      </c>
      <c r="C902" s="5" t="str">
        <f>Sales_Data!C899</f>
        <v>E030</v>
      </c>
      <c r="D902" s="5" t="str">
        <f>IFERROR(INDEX(Employee_Master!$B$2:$B$44,MATCH($C902,Employee_Master!$A$2:$A$44,0)),"Not Found")</f>
        <v>Travis Khan</v>
      </c>
      <c r="E902" s="5" t="str">
        <f>IFERROR(INDEX(Employee_Master!$C$2:$C$44,MATCH($C902,Employee_Master!$A$2:$A$44,0)),"Not Found")</f>
        <v>Operations</v>
      </c>
      <c r="F902" s="5" t="str">
        <f>IFERROR(INDEX(Employee_Master!$D$2:$D$44,MATCH($C902,Employee_Master!$A$2:$A$44,0)),"Not Found")</f>
        <v>Anna Turner</v>
      </c>
      <c r="G902" s="5" t="str">
        <f>IFERROR(INDEX(Employee_Master!$E$2:$E$44,MATCH($C902,Employee_Master!$A$2:$A$44,0)),"Not Found")</f>
        <v>South</v>
      </c>
      <c r="H902" s="5" t="str">
        <f>Sales_Data!D899</f>
        <v>P021 - Assorted Spices Kit</v>
      </c>
      <c r="I902" s="5" t="str">
        <f>IFERROR(INDEX(Product_Master!$B$2:$B$30,MATCH($H902,Product_Master!$A$2:$A$30,0)),"Invalid Product Code")</f>
        <v>Grocery</v>
      </c>
      <c r="J902" s="5">
        <f>IFERROR(INDEX(Product_Master!$C$2:$C$30,MATCH($H902,Product_Master!$A$2:$A$30,0)),0)</f>
        <v>1060.97</v>
      </c>
      <c r="K902" s="5">
        <f>Sales_Data!E899</f>
        <v>4</v>
      </c>
      <c r="L902" s="5">
        <f>Sales_Data!F899</f>
        <v>5176.6499999999996</v>
      </c>
      <c r="M902" s="5">
        <f>Sales_Data!G899</f>
        <v>4727.8999999999996</v>
      </c>
      <c r="N902" s="5" t="str">
        <f>IFERROR(INDEX(Branch_Master!$B$2:$B$9,MATCH($B902,Branch_Master!$A$2:$A$9,0)),"Not Found")</f>
        <v>Hyderabad</v>
      </c>
      <c r="O902" s="5" t="str">
        <f>IFERROR(INDEX(Branch_Master!$C$2:$C$9,MATCH($B902,Branch_Master!$A$2:$A$9,0)),"Not Found")</f>
        <v>Telangana</v>
      </c>
      <c r="P902" s="5">
        <f>IFERROR(INDEX(Targets!$B$2:$B$9,MATCH($B902,Targets!$A$2:$A$9,0)),0)</f>
        <v>1210000</v>
      </c>
      <c r="Q902" s="5" t="str">
        <f t="shared" si="28"/>
        <v>Yes</v>
      </c>
      <c r="R902" s="5" t="str">
        <f t="shared" si="29"/>
        <v>Nov</v>
      </c>
    </row>
    <row r="903" spans="1:18" ht="15" customHeight="1" x14ac:dyDescent="0.3">
      <c r="A903" s="5" t="str">
        <f>Sales_Data!A900</f>
        <v>2025-11-22</v>
      </c>
      <c r="B903" s="5" t="str">
        <f>Sales_Data!B900</f>
        <v>Hyderabad Hitech</v>
      </c>
      <c r="C903" s="5" t="str">
        <f>Sales_Data!C900</f>
        <v>E011</v>
      </c>
      <c r="D903" s="5" t="str">
        <f>IFERROR(INDEX(Employee_Master!$B$2:$B$44,MATCH($C903,Employee_Master!$A$2:$A$44,0)),"Not Found")</f>
        <v>Mark Osborne</v>
      </c>
      <c r="E903" s="5" t="str">
        <f>IFERROR(INDEX(Employee_Master!$C$2:$C$44,MATCH($C903,Employee_Master!$A$2:$A$44,0)),"Not Found")</f>
        <v>Marketing</v>
      </c>
      <c r="F903" s="5" t="str">
        <f>IFERROR(INDEX(Employee_Master!$D$2:$D$44,MATCH($C903,Employee_Master!$A$2:$A$44,0)),"Not Found")</f>
        <v>Anna Turner</v>
      </c>
      <c r="G903" s="5" t="str">
        <f>IFERROR(INDEX(Employee_Master!$E$2:$E$44,MATCH($C903,Employee_Master!$A$2:$A$44,0)),"Not Found")</f>
        <v>South</v>
      </c>
      <c r="H903" s="5" t="str">
        <f>Sales_Data!D900</f>
        <v>P020 - Green Tea Pack</v>
      </c>
      <c r="I903" s="5" t="str">
        <f>IFERROR(INDEX(Product_Master!$B$2:$B$30,MATCH($H903,Product_Master!$A$2:$A$30,0)),"Invalid Product Code")</f>
        <v>Grocery</v>
      </c>
      <c r="J903" s="5">
        <f>IFERROR(INDEX(Product_Master!$C$2:$C$30,MATCH($H903,Product_Master!$A$2:$A$30,0)),0)</f>
        <v>305.39</v>
      </c>
      <c r="K903" s="5">
        <f>Sales_Data!E900</f>
        <v>6</v>
      </c>
      <c r="L903" s="5">
        <f>Sales_Data!F900</f>
        <v>2320.92</v>
      </c>
      <c r="M903" s="5">
        <f>Sales_Data!G900</f>
        <v>1806.62</v>
      </c>
      <c r="N903" s="5" t="str">
        <f>IFERROR(INDEX(Branch_Master!$B$2:$B$9,MATCH($B903,Branch_Master!$A$2:$A$9,0)),"Not Found")</f>
        <v>Hyderabad</v>
      </c>
      <c r="O903" s="5" t="str">
        <f>IFERROR(INDEX(Branch_Master!$C$2:$C$9,MATCH($B903,Branch_Master!$A$2:$A$9,0)),"Not Found")</f>
        <v>Telangana</v>
      </c>
      <c r="P903" s="5">
        <f>IFERROR(INDEX(Targets!$B$2:$B$9,MATCH($B903,Targets!$A$2:$A$9,0)),0)</f>
        <v>1210000</v>
      </c>
      <c r="Q903" s="5" t="str">
        <f t="shared" si="28"/>
        <v>Yes</v>
      </c>
      <c r="R903" s="5" t="str">
        <f t="shared" si="29"/>
        <v>Nov</v>
      </c>
    </row>
    <row r="904" spans="1:18" ht="15" customHeight="1" x14ac:dyDescent="0.3">
      <c r="A904" s="5" t="str">
        <f>Sales_Data!A901</f>
        <v>2025-11-23</v>
      </c>
      <c r="B904" s="5" t="str">
        <f>Sales_Data!B901</f>
        <v>Delhi NCR</v>
      </c>
      <c r="C904" s="5" t="str">
        <f>Sales_Data!C901</f>
        <v>E031</v>
      </c>
      <c r="D904" s="5" t="str">
        <f>IFERROR(INDEX(Employee_Master!$B$2:$B$44,MATCH($C904,Employee_Master!$A$2:$A$44,0)),"Not Found")</f>
        <v>Jennifer Garcia</v>
      </c>
      <c r="E904" s="5" t="str">
        <f>IFERROR(INDEX(Employee_Master!$C$2:$C$44,MATCH($C904,Employee_Master!$A$2:$A$44,0)),"Not Found")</f>
        <v>Sales</v>
      </c>
      <c r="F904" s="5" t="str">
        <f>IFERROR(INDEX(Employee_Master!$D$2:$D$44,MATCH($C904,Employee_Master!$A$2:$A$44,0)),"Not Found")</f>
        <v>William Oconnell</v>
      </c>
      <c r="G904" s="5" t="str">
        <f>IFERROR(INDEX(Employee_Master!$E$2:$E$44,MATCH($C904,Employee_Master!$A$2:$A$44,0)),"Not Found")</f>
        <v>North</v>
      </c>
      <c r="H904" s="5" t="str">
        <f>Sales_Data!D901</f>
        <v>P005 - LED Monitor</v>
      </c>
      <c r="I904" s="5" t="str">
        <f>IFERROR(INDEX(Product_Master!$B$2:$B$30,MATCH($H904,Product_Master!$A$2:$A$30,0)),"Invalid Product Code")</f>
        <v>Electronics</v>
      </c>
      <c r="J904" s="5">
        <f>IFERROR(INDEX(Product_Master!$C$2:$C$30,MATCH($H904,Product_Master!$A$2:$A$30,0)),0)</f>
        <v>489.9</v>
      </c>
      <c r="K904" s="5">
        <f>Sales_Data!E901</f>
        <v>5</v>
      </c>
      <c r="L904" s="5">
        <f>Sales_Data!F901</f>
        <v>3145.24</v>
      </c>
      <c r="M904" s="5">
        <f>Sales_Data!G901</f>
        <v>2446.0300000000002</v>
      </c>
      <c r="N904" s="5" t="str">
        <f>IFERROR(INDEX(Branch_Master!$B$2:$B$9,MATCH($B904,Branch_Master!$A$2:$A$9,0)),"Not Found")</f>
        <v>New Delhi</v>
      </c>
      <c r="O904" s="5" t="str">
        <f>IFERROR(INDEX(Branch_Master!$C$2:$C$9,MATCH($B904,Branch_Master!$A$2:$A$9,0)),"Not Found")</f>
        <v>Delhi</v>
      </c>
      <c r="P904" s="5">
        <f>IFERROR(INDEX(Targets!$B$2:$B$9,MATCH($B904,Targets!$A$2:$A$9,0)),0)</f>
        <v>2070000</v>
      </c>
      <c r="Q904" s="5" t="str">
        <f t="shared" si="28"/>
        <v>Yes</v>
      </c>
      <c r="R904" s="5" t="str">
        <f t="shared" si="29"/>
        <v>Nov</v>
      </c>
    </row>
    <row r="905" spans="1:18" ht="15" customHeight="1" x14ac:dyDescent="0.3">
      <c r="A905" s="5" t="str">
        <f>Sales_Data!A902</f>
        <v>2025-11-24</v>
      </c>
      <c r="B905" s="5" t="str">
        <f>Sales_Data!B902</f>
        <v>Chennai South</v>
      </c>
      <c r="C905" s="5" t="str">
        <f>Sales_Data!C902</f>
        <v>E032</v>
      </c>
      <c r="D905" s="5" t="str">
        <f>IFERROR(INDEX(Employee_Master!$B$2:$B$44,MATCH($C905,Employee_Master!$A$2:$A$44,0)),"Not Found")</f>
        <v>Victor Allen</v>
      </c>
      <c r="E905" s="5" t="str">
        <f>IFERROR(INDEX(Employee_Master!$C$2:$C$44,MATCH($C905,Employee_Master!$A$2:$A$44,0)),"Not Found")</f>
        <v>Operations</v>
      </c>
      <c r="F905" s="5" t="str">
        <f>IFERROR(INDEX(Employee_Master!$D$2:$D$44,MATCH($C905,Employee_Master!$A$2:$A$44,0)),"Not Found")</f>
        <v>Robert Steele</v>
      </c>
      <c r="G905" s="5" t="str">
        <f>IFERROR(INDEX(Employee_Master!$E$2:$E$44,MATCH($C905,Employee_Master!$A$2:$A$44,0)),"Not Found")</f>
        <v>South</v>
      </c>
      <c r="H905" s="5" t="str">
        <f>Sales_Data!D902</f>
        <v>P024 - Hair Serum</v>
      </c>
      <c r="I905" s="5" t="str">
        <f>IFERROR(INDEX(Product_Master!$B$2:$B$30,MATCH($H905,Product_Master!$A$2:$A$30,0)),"Invalid Product Code")</f>
        <v>Beauty</v>
      </c>
      <c r="J905" s="5">
        <f>IFERROR(INDEX(Product_Master!$C$2:$C$30,MATCH($H905,Product_Master!$A$2:$A$30,0)),0)</f>
        <v>1457.31</v>
      </c>
      <c r="K905" s="5">
        <f>Sales_Data!E902</f>
        <v>6</v>
      </c>
      <c r="L905" s="5">
        <f>Sales_Data!F902</f>
        <v>12243.47</v>
      </c>
      <c r="M905" s="5">
        <f>Sales_Data!G902</f>
        <v>7629.96</v>
      </c>
      <c r="N905" s="5" t="str">
        <f>IFERROR(INDEX(Branch_Master!$B$2:$B$9,MATCH($B905,Branch_Master!$A$2:$A$9,0)),"Not Found")</f>
        <v>Chennai</v>
      </c>
      <c r="O905" s="5" t="str">
        <f>IFERROR(INDEX(Branch_Master!$C$2:$C$9,MATCH($B905,Branch_Master!$A$2:$A$9,0)),"Not Found")</f>
        <v>Tamil Nadu</v>
      </c>
      <c r="P905" s="5">
        <f>IFERROR(INDEX(Targets!$B$2:$B$9,MATCH($B905,Targets!$A$2:$A$9,0)),0)</f>
        <v>1910000</v>
      </c>
      <c r="Q905" s="5" t="str">
        <f t="shared" si="28"/>
        <v>Yes</v>
      </c>
      <c r="R905" s="5" t="str">
        <f t="shared" si="29"/>
        <v>Nov</v>
      </c>
    </row>
    <row r="906" spans="1:18" ht="15" customHeight="1" x14ac:dyDescent="0.3">
      <c r="A906" s="5" t="str">
        <f>Sales_Data!A903</f>
        <v>2025-11-24</v>
      </c>
      <c r="B906" s="5" t="str">
        <f>Sales_Data!B903</f>
        <v>Pune East</v>
      </c>
      <c r="C906" s="5" t="str">
        <f>Sales_Data!C903</f>
        <v>E023</v>
      </c>
      <c r="D906" s="5" t="str">
        <f>IFERROR(INDEX(Employee_Master!$B$2:$B$44,MATCH($C906,Employee_Master!$A$2:$A$44,0)),"Not Found")</f>
        <v>Edward Jones</v>
      </c>
      <c r="E906" s="5" t="str">
        <f>IFERROR(INDEX(Employee_Master!$C$2:$C$44,MATCH($C906,Employee_Master!$A$2:$A$44,0)),"Not Found")</f>
        <v>Operations</v>
      </c>
      <c r="F906" s="5" t="str">
        <f>IFERROR(INDEX(Employee_Master!$D$2:$D$44,MATCH($C906,Employee_Master!$A$2:$A$44,0)),"Not Found")</f>
        <v>Jordan Matthews</v>
      </c>
      <c r="G906" s="5" t="str">
        <f>IFERROR(INDEX(Employee_Master!$E$2:$E$44,MATCH($C906,Employee_Master!$A$2:$A$44,0)),"Not Found")</f>
        <v>West</v>
      </c>
      <c r="H906" s="5" t="str">
        <f>Sales_Data!D903</f>
        <v>P003 - Bluetooth Speaker</v>
      </c>
      <c r="I906" s="5" t="str">
        <f>IFERROR(INDEX(Product_Master!$B$2:$B$30,MATCH($H906,Product_Master!$A$2:$A$30,0)),"Invalid Product Code")</f>
        <v>Electronics</v>
      </c>
      <c r="J906" s="5">
        <f>IFERROR(INDEX(Product_Master!$C$2:$C$30,MATCH($H906,Product_Master!$A$2:$A$30,0)),0)</f>
        <v>351.01</v>
      </c>
      <c r="K906" s="5">
        <f>Sales_Data!E903</f>
        <v>8</v>
      </c>
      <c r="L906" s="5">
        <f>Sales_Data!F903</f>
        <v>3955.08</v>
      </c>
      <c r="M906" s="5">
        <f>Sales_Data!G903</f>
        <v>2449.0500000000002</v>
      </c>
      <c r="N906" s="5" t="str">
        <f>IFERROR(INDEX(Branch_Master!$B$2:$B$9,MATCH($B906,Branch_Master!$A$2:$A$9,0)),"Not Found")</f>
        <v>Pune</v>
      </c>
      <c r="O906" s="5" t="str">
        <f>IFERROR(INDEX(Branch_Master!$C$2:$C$9,MATCH($B906,Branch_Master!$A$2:$A$9,0)),"Not Found")</f>
        <v>Maharashtra</v>
      </c>
      <c r="P906" s="5">
        <f>IFERROR(INDEX(Targets!$B$2:$B$9,MATCH($B906,Targets!$A$2:$A$9,0)),0)</f>
        <v>1250000</v>
      </c>
      <c r="Q906" s="5" t="str">
        <f t="shared" si="28"/>
        <v>Yes</v>
      </c>
      <c r="R906" s="5" t="str">
        <f t="shared" si="29"/>
        <v>Nov</v>
      </c>
    </row>
    <row r="907" spans="1:18" ht="15" customHeight="1" x14ac:dyDescent="0.3">
      <c r="A907" s="5" t="str">
        <f>Sales_Data!A904</f>
        <v>2025-11-24</v>
      </c>
      <c r="B907" s="5" t="str">
        <f>Sales_Data!B904</f>
        <v>Kolkata Central</v>
      </c>
      <c r="C907" s="5" t="str">
        <f>Sales_Data!C904</f>
        <v>E024</v>
      </c>
      <c r="D907" s="5" t="str">
        <f>IFERROR(INDEX(Employee_Master!$B$2:$B$44,MATCH($C907,Employee_Master!$A$2:$A$44,0)),"Not Found")</f>
        <v>Kevin Sanchez</v>
      </c>
      <c r="E907" s="5" t="str">
        <f>IFERROR(INDEX(Employee_Master!$C$2:$C$44,MATCH($C907,Employee_Master!$A$2:$A$44,0)),"Not Found")</f>
        <v>Sales</v>
      </c>
      <c r="F907" s="5" t="str">
        <f>IFERROR(INDEX(Employee_Master!$D$2:$D$44,MATCH($C907,Employee_Master!$A$2:$A$44,0)),"Not Found")</f>
        <v>Lisa Moore</v>
      </c>
      <c r="G907" s="5" t="str">
        <f>IFERROR(INDEX(Employee_Master!$E$2:$E$44,MATCH($C907,Employee_Master!$A$2:$A$44,0)),"Not Found")</f>
        <v>East</v>
      </c>
      <c r="H907" s="5" t="str">
        <f>Sales_Data!D904</f>
        <v>P014 - Air Fryer</v>
      </c>
      <c r="I907" s="5" t="str">
        <f>IFERROR(INDEX(Product_Master!$B$2:$B$30,MATCH($H907,Product_Master!$A$2:$A$30,0)),"Invalid Product Code")</f>
        <v>Home &amp; Kitchen</v>
      </c>
      <c r="J907" s="5">
        <f>IFERROR(INDEX(Product_Master!$C$2:$C$30,MATCH($H907,Product_Master!$A$2:$A$30,0)),0)</f>
        <v>729.85</v>
      </c>
      <c r="K907" s="5">
        <f>Sales_Data!E904</f>
        <v>4</v>
      </c>
      <c r="L907" s="5">
        <f>Sales_Data!F904</f>
        <v>4015.08</v>
      </c>
      <c r="M907" s="5">
        <f>Sales_Data!G904</f>
        <v>3284.21</v>
      </c>
      <c r="N907" s="5" t="str">
        <f>IFERROR(INDEX(Branch_Master!$B$2:$B$9,MATCH($B907,Branch_Master!$A$2:$A$9,0)),"Not Found")</f>
        <v>Kolkata</v>
      </c>
      <c r="O907" s="5" t="str">
        <f>IFERROR(INDEX(Branch_Master!$C$2:$C$9,MATCH($B907,Branch_Master!$A$2:$A$9,0)),"Not Found")</f>
        <v>West Bengal</v>
      </c>
      <c r="P907" s="5">
        <f>IFERROR(INDEX(Targets!$B$2:$B$9,MATCH($B907,Targets!$A$2:$A$9,0)),0)</f>
        <v>1910000</v>
      </c>
      <c r="Q907" s="5" t="str">
        <f t="shared" si="28"/>
        <v>Yes</v>
      </c>
      <c r="R907" s="5" t="str">
        <f t="shared" si="29"/>
        <v>Nov</v>
      </c>
    </row>
    <row r="908" spans="1:18" ht="15" customHeight="1" x14ac:dyDescent="0.3">
      <c r="A908" s="5" t="str">
        <f>Sales_Data!A905</f>
        <v>2025-11-25</v>
      </c>
      <c r="B908" s="5" t="str">
        <f>Sales_Data!B905</f>
        <v>Pune East</v>
      </c>
      <c r="C908" s="5" t="str">
        <f>Sales_Data!C905</f>
        <v>E022</v>
      </c>
      <c r="D908" s="5" t="str">
        <f>IFERROR(INDEX(Employee_Master!$B$2:$B$44,MATCH($C908,Employee_Master!$A$2:$A$44,0)),"Not Found")</f>
        <v>Cindy Green PhD</v>
      </c>
      <c r="E908" s="5" t="str">
        <f>IFERROR(INDEX(Employee_Master!$C$2:$C$44,MATCH($C908,Employee_Master!$A$2:$A$44,0)),"Not Found")</f>
        <v>Customer Support</v>
      </c>
      <c r="F908" s="5" t="str">
        <f>IFERROR(INDEX(Employee_Master!$D$2:$D$44,MATCH($C908,Employee_Master!$A$2:$A$44,0)),"Not Found")</f>
        <v>Jordan Matthews</v>
      </c>
      <c r="G908" s="5" t="str">
        <f>IFERROR(INDEX(Employee_Master!$E$2:$E$44,MATCH($C908,Employee_Master!$A$2:$A$44,0)),"Not Found")</f>
        <v>West</v>
      </c>
      <c r="H908" s="5" t="str">
        <f>Sales_Data!D905</f>
        <v>P005 - LED Monitor</v>
      </c>
      <c r="I908" s="5" t="str">
        <f>IFERROR(INDEX(Product_Master!$B$2:$B$30,MATCH($H908,Product_Master!$A$2:$A$30,0)),"Invalid Product Code")</f>
        <v>Electronics</v>
      </c>
      <c r="J908" s="5">
        <f>IFERROR(INDEX(Product_Master!$C$2:$C$30,MATCH($H908,Product_Master!$A$2:$A$30,0)),0)</f>
        <v>489.9</v>
      </c>
      <c r="K908" s="5">
        <f>Sales_Data!E905</f>
        <v>4</v>
      </c>
      <c r="L908" s="5">
        <f>Sales_Data!F905</f>
        <v>2517.6999999999998</v>
      </c>
      <c r="M908" s="5">
        <f>Sales_Data!G905</f>
        <v>1671.29</v>
      </c>
      <c r="N908" s="5" t="str">
        <f>IFERROR(INDEX(Branch_Master!$B$2:$B$9,MATCH($B908,Branch_Master!$A$2:$A$9,0)),"Not Found")</f>
        <v>Pune</v>
      </c>
      <c r="O908" s="5" t="str">
        <f>IFERROR(INDEX(Branch_Master!$C$2:$C$9,MATCH($B908,Branch_Master!$A$2:$A$9,0)),"Not Found")</f>
        <v>Maharashtra</v>
      </c>
      <c r="P908" s="5">
        <f>IFERROR(INDEX(Targets!$B$2:$B$9,MATCH($B908,Targets!$A$2:$A$9,0)),0)</f>
        <v>1250000</v>
      </c>
      <c r="Q908" s="5" t="str">
        <f t="shared" si="28"/>
        <v>Yes</v>
      </c>
      <c r="R908" s="5" t="str">
        <f t="shared" si="29"/>
        <v>Nov</v>
      </c>
    </row>
    <row r="909" spans="1:18" ht="15" customHeight="1" x14ac:dyDescent="0.3">
      <c r="A909" s="5" t="str">
        <f>Sales_Data!A906</f>
        <v>2025-11-25</v>
      </c>
      <c r="B909" s="5" t="str">
        <f>Sales_Data!B906</f>
        <v>Delhi NCR</v>
      </c>
      <c r="C909" s="5" t="str">
        <f>Sales_Data!C906</f>
        <v>E031</v>
      </c>
      <c r="D909" s="5" t="str">
        <f>IFERROR(INDEX(Employee_Master!$B$2:$B$44,MATCH($C909,Employee_Master!$A$2:$A$44,0)),"Not Found")</f>
        <v>Jennifer Garcia</v>
      </c>
      <c r="E909" s="5" t="str">
        <f>IFERROR(INDEX(Employee_Master!$C$2:$C$44,MATCH($C909,Employee_Master!$A$2:$A$44,0)),"Not Found")</f>
        <v>Sales</v>
      </c>
      <c r="F909" s="5" t="str">
        <f>IFERROR(INDEX(Employee_Master!$D$2:$D$44,MATCH($C909,Employee_Master!$A$2:$A$44,0)),"Not Found")</f>
        <v>William Oconnell</v>
      </c>
      <c r="G909" s="5" t="str">
        <f>IFERROR(INDEX(Employee_Master!$E$2:$E$44,MATCH($C909,Employee_Master!$A$2:$A$44,0)),"Not Found")</f>
        <v>North</v>
      </c>
      <c r="H909" s="5" t="str">
        <f>Sales_Data!D906</f>
        <v>P029 - Dumbbell Set 10kg</v>
      </c>
      <c r="I909" s="5" t="str">
        <f>IFERROR(INDEX(Product_Master!$B$2:$B$30,MATCH($H909,Product_Master!$A$2:$A$30,0)),"Invalid Product Code")</f>
        <v>Sports</v>
      </c>
      <c r="J909" s="5">
        <f>IFERROR(INDEX(Product_Master!$C$2:$C$30,MATCH($H909,Product_Master!$A$2:$A$30,0)),0)</f>
        <v>435</v>
      </c>
      <c r="K909" s="5">
        <f>Sales_Data!E906</f>
        <v>2</v>
      </c>
      <c r="L909" s="5">
        <f>Sales_Data!F906</f>
        <v>1234.8800000000001</v>
      </c>
      <c r="M909" s="5">
        <f>Sales_Data!G906</f>
        <v>755.96</v>
      </c>
      <c r="N909" s="5" t="str">
        <f>IFERROR(INDEX(Branch_Master!$B$2:$B$9,MATCH($B909,Branch_Master!$A$2:$A$9,0)),"Not Found")</f>
        <v>New Delhi</v>
      </c>
      <c r="O909" s="5" t="str">
        <f>IFERROR(INDEX(Branch_Master!$C$2:$C$9,MATCH($B909,Branch_Master!$A$2:$A$9,0)),"Not Found")</f>
        <v>Delhi</v>
      </c>
      <c r="P909" s="5">
        <f>IFERROR(INDEX(Targets!$B$2:$B$9,MATCH($B909,Targets!$A$2:$A$9,0)),0)</f>
        <v>2070000</v>
      </c>
      <c r="Q909" s="5" t="str">
        <f t="shared" si="28"/>
        <v>Yes</v>
      </c>
      <c r="R909" s="5" t="str">
        <f t="shared" si="29"/>
        <v>Nov</v>
      </c>
    </row>
    <row r="910" spans="1:18" ht="15" customHeight="1" x14ac:dyDescent="0.3">
      <c r="A910" s="5" t="str">
        <f>Sales_Data!A907</f>
        <v>2025-11-25</v>
      </c>
      <c r="B910" s="5" t="str">
        <f>Sales_Data!B907</f>
        <v>Pune East</v>
      </c>
      <c r="C910" s="5" t="str">
        <f>Sales_Data!C907</f>
        <v>E022</v>
      </c>
      <c r="D910" s="5" t="str">
        <f>IFERROR(INDEX(Employee_Master!$B$2:$B$44,MATCH($C910,Employee_Master!$A$2:$A$44,0)),"Not Found")</f>
        <v>Cindy Green PhD</v>
      </c>
      <c r="E910" s="5" t="str">
        <f>IFERROR(INDEX(Employee_Master!$C$2:$C$44,MATCH($C910,Employee_Master!$A$2:$A$44,0)),"Not Found")</f>
        <v>Customer Support</v>
      </c>
      <c r="F910" s="5" t="str">
        <f>IFERROR(INDEX(Employee_Master!$D$2:$D$44,MATCH($C910,Employee_Master!$A$2:$A$44,0)),"Not Found")</f>
        <v>Jordan Matthews</v>
      </c>
      <c r="G910" s="5" t="str">
        <f>IFERROR(INDEX(Employee_Master!$E$2:$E$44,MATCH($C910,Employee_Master!$A$2:$A$44,0)),"Not Found")</f>
        <v>West</v>
      </c>
      <c r="H910" s="5" t="str">
        <f>Sales_Data!D907</f>
        <v>P008 - Denim Jeans</v>
      </c>
      <c r="I910" s="5" t="str">
        <f>IFERROR(INDEX(Product_Master!$B$2:$B$30,MATCH($H910,Product_Master!$A$2:$A$30,0)),"Invalid Product Code")</f>
        <v>Apparel</v>
      </c>
      <c r="J910" s="5">
        <f>IFERROR(INDEX(Product_Master!$C$2:$C$30,MATCH($H910,Product_Master!$A$2:$A$30,0)),0)</f>
        <v>614.48</v>
      </c>
      <c r="K910" s="5">
        <f>Sales_Data!E907</f>
        <v>7</v>
      </c>
      <c r="L910" s="5">
        <f>Sales_Data!F907</f>
        <v>6129.13</v>
      </c>
      <c r="M910" s="5">
        <f>Sales_Data!G907</f>
        <v>4917.3500000000004</v>
      </c>
      <c r="N910" s="5" t="str">
        <f>IFERROR(INDEX(Branch_Master!$B$2:$B$9,MATCH($B910,Branch_Master!$A$2:$A$9,0)),"Not Found")</f>
        <v>Pune</v>
      </c>
      <c r="O910" s="5" t="str">
        <f>IFERROR(INDEX(Branch_Master!$C$2:$C$9,MATCH($B910,Branch_Master!$A$2:$A$9,0)),"Not Found")</f>
        <v>Maharashtra</v>
      </c>
      <c r="P910" s="5">
        <f>IFERROR(INDEX(Targets!$B$2:$B$9,MATCH($B910,Targets!$A$2:$A$9,0)),0)</f>
        <v>1250000</v>
      </c>
      <c r="Q910" s="5" t="str">
        <f t="shared" si="28"/>
        <v>Yes</v>
      </c>
      <c r="R910" s="5" t="str">
        <f t="shared" si="29"/>
        <v>Nov</v>
      </c>
    </row>
    <row r="911" spans="1:18" ht="15" customHeight="1" x14ac:dyDescent="0.3">
      <c r="A911" s="5" t="str">
        <f>Sales_Data!A908</f>
        <v>2025-11-25</v>
      </c>
      <c r="B911" s="5" t="str">
        <f>Sales_Data!B908</f>
        <v>Bangalore North</v>
      </c>
      <c r="C911" s="5" t="str">
        <f>Sales_Data!C908</f>
        <v>E040</v>
      </c>
      <c r="D911" s="5" t="str">
        <f>IFERROR(INDEX(Employee_Master!$B$2:$B$44,MATCH($C911,Employee_Master!$A$2:$A$44,0)),"Not Found")</f>
        <v>Bonnie Cox</v>
      </c>
      <c r="E911" s="5" t="str">
        <f>IFERROR(INDEX(Employee_Master!$C$2:$C$44,MATCH($C911,Employee_Master!$A$2:$A$44,0)),"Not Found")</f>
        <v>Customer Support</v>
      </c>
      <c r="F911" s="5" t="str">
        <f>IFERROR(INDEX(Employee_Master!$D$2:$D$44,MATCH($C911,Employee_Master!$A$2:$A$44,0)),"Not Found")</f>
        <v>Jose Soto</v>
      </c>
      <c r="G911" s="5" t="str">
        <f>IFERROR(INDEX(Employee_Master!$E$2:$E$44,MATCH($C911,Employee_Master!$A$2:$A$44,0)),"Not Found")</f>
        <v>South</v>
      </c>
      <c r="H911" s="5" t="str">
        <f>Sales_Data!D908</f>
        <v>P007 - Cotton T-Shirt</v>
      </c>
      <c r="I911" s="5" t="str">
        <f>IFERROR(INDEX(Product_Master!$B$2:$B$30,MATCH($H911,Product_Master!$A$2:$A$30,0)),"Invalid Product Code")</f>
        <v>Apparel</v>
      </c>
      <c r="J911" s="5">
        <f>IFERROR(INDEX(Product_Master!$C$2:$C$30,MATCH($H911,Product_Master!$A$2:$A$30,0)),0)</f>
        <v>338.44</v>
      </c>
      <c r="K911" s="5">
        <f>Sales_Data!E908</f>
        <v>1</v>
      </c>
      <c r="L911" s="5">
        <f>Sales_Data!F908</f>
        <v>473.32</v>
      </c>
      <c r="M911" s="5">
        <f>Sales_Data!G908</f>
        <v>289.25</v>
      </c>
      <c r="N911" s="5" t="str">
        <f>IFERROR(INDEX(Branch_Master!$B$2:$B$9,MATCH($B911,Branch_Master!$A$2:$A$9,0)),"Not Found")</f>
        <v>Bangalore</v>
      </c>
      <c r="O911" s="5" t="str">
        <f>IFERROR(INDEX(Branch_Master!$C$2:$C$9,MATCH($B911,Branch_Master!$A$2:$A$9,0)),"Not Found")</f>
        <v>Karnataka</v>
      </c>
      <c r="P911" s="5">
        <f>IFERROR(INDEX(Targets!$B$2:$B$9,MATCH($B911,Targets!$A$2:$A$9,0)),0)</f>
        <v>900000</v>
      </c>
      <c r="Q911" s="5" t="str">
        <f t="shared" si="28"/>
        <v>Yes</v>
      </c>
      <c r="R911" s="5" t="str">
        <f t="shared" si="29"/>
        <v>Nov</v>
      </c>
    </row>
    <row r="912" spans="1:18" ht="15" customHeight="1" x14ac:dyDescent="0.3">
      <c r="A912" s="5" t="str">
        <f>Sales_Data!A909</f>
        <v>2025-11-25</v>
      </c>
      <c r="B912" s="5" t="str">
        <f>Sales_Data!B909</f>
        <v>Mumbai Central</v>
      </c>
      <c r="C912" s="5" t="str">
        <f>Sales_Data!C909</f>
        <v>E010</v>
      </c>
      <c r="D912" s="5" t="str">
        <f>IFERROR(INDEX(Employee_Master!$B$2:$B$44,MATCH($C912,Employee_Master!$A$2:$A$44,0)),"Not Found")</f>
        <v>William Sanders</v>
      </c>
      <c r="E912" s="5" t="str">
        <f>IFERROR(INDEX(Employee_Master!$C$2:$C$44,MATCH($C912,Employee_Master!$A$2:$A$44,0)),"Not Found")</f>
        <v>Sales</v>
      </c>
      <c r="F912" s="5" t="str">
        <f>IFERROR(INDEX(Employee_Master!$D$2:$D$44,MATCH($C912,Employee_Master!$A$2:$A$44,0)),"Not Found")</f>
        <v>Justin Glass</v>
      </c>
      <c r="G912" s="5" t="str">
        <f>IFERROR(INDEX(Employee_Master!$E$2:$E$44,MATCH($C912,Employee_Master!$A$2:$A$44,0)),"Not Found")</f>
        <v>West</v>
      </c>
      <c r="H912" s="5" t="str">
        <f>Sales_Data!D909</f>
        <v>P010 - Running Shoes</v>
      </c>
      <c r="I912" s="5" t="str">
        <f>IFERROR(INDEX(Product_Master!$B$2:$B$30,MATCH($H912,Product_Master!$A$2:$A$30,0)),"Invalid Product Code")</f>
        <v>Apparel</v>
      </c>
      <c r="J912" s="5">
        <f>IFERROR(INDEX(Product_Master!$C$2:$C$30,MATCH($H912,Product_Master!$A$2:$A$30,0)),0)</f>
        <v>233.71</v>
      </c>
      <c r="K912" s="5">
        <f>Sales_Data!E909</f>
        <v>3</v>
      </c>
      <c r="L912" s="5">
        <f>Sales_Data!F909</f>
        <v>824.72</v>
      </c>
      <c r="M912" s="5">
        <f>Sales_Data!G909</f>
        <v>649.73</v>
      </c>
      <c r="N912" s="5" t="str">
        <f>IFERROR(INDEX(Branch_Master!$B$2:$B$9,MATCH($B912,Branch_Master!$A$2:$A$9,0)),"Not Found")</f>
        <v>Mumbai</v>
      </c>
      <c r="O912" s="5" t="str">
        <f>IFERROR(INDEX(Branch_Master!$C$2:$C$9,MATCH($B912,Branch_Master!$A$2:$A$9,0)),"Not Found")</f>
        <v>Maharashtra</v>
      </c>
      <c r="P912" s="5">
        <f>IFERROR(INDEX(Targets!$B$2:$B$9,MATCH($B912,Targets!$A$2:$A$9,0)),0)</f>
        <v>900000</v>
      </c>
      <c r="Q912" s="5" t="str">
        <f t="shared" si="28"/>
        <v>Yes</v>
      </c>
      <c r="R912" s="5" t="str">
        <f t="shared" si="29"/>
        <v>Nov</v>
      </c>
    </row>
    <row r="913" spans="1:18" ht="15" customHeight="1" x14ac:dyDescent="0.3">
      <c r="A913" s="5" t="str">
        <f>Sales_Data!A910</f>
        <v>2025-11-25</v>
      </c>
      <c r="B913" s="5" t="str">
        <f>Sales_Data!B910</f>
        <v>Bangalore North</v>
      </c>
      <c r="C913" s="5" t="str">
        <f>Sales_Data!C910</f>
        <v>E038</v>
      </c>
      <c r="D913" s="5" t="str">
        <f>IFERROR(INDEX(Employee_Master!$B$2:$B$44,MATCH($C913,Employee_Master!$A$2:$A$44,0)),"Not Found")</f>
        <v>Derrick Griffin</v>
      </c>
      <c r="E913" s="5" t="str">
        <f>IFERROR(INDEX(Employee_Master!$C$2:$C$44,MATCH($C913,Employee_Master!$A$2:$A$44,0)),"Not Found")</f>
        <v>Marketing</v>
      </c>
      <c r="F913" s="5" t="str">
        <f>IFERROR(INDEX(Employee_Master!$D$2:$D$44,MATCH($C913,Employee_Master!$A$2:$A$44,0)),"Not Found")</f>
        <v>Jose Soto</v>
      </c>
      <c r="G913" s="5" t="str">
        <f>IFERROR(INDEX(Employee_Master!$E$2:$E$44,MATCH($C913,Employee_Master!$A$2:$A$44,0)),"Not Found")</f>
        <v>South</v>
      </c>
      <c r="H913" s="5" t="str">
        <f>Sales_Data!D910</f>
        <v>P015 - Water Bottle</v>
      </c>
      <c r="I913" s="5" t="str">
        <f>IFERROR(INDEX(Product_Master!$B$2:$B$30,MATCH($H913,Product_Master!$A$2:$A$30,0)),"Invalid Product Code")</f>
        <v>Home &amp; Kitchen</v>
      </c>
      <c r="J913" s="5">
        <f>IFERROR(INDEX(Product_Master!$C$2:$C$30,MATCH($H913,Product_Master!$A$2:$A$30,0)),0)</f>
        <v>197.57</v>
      </c>
      <c r="K913" s="5">
        <f>Sales_Data!E910</f>
        <v>4</v>
      </c>
      <c r="L913" s="5">
        <f>Sales_Data!F910</f>
        <v>929.71</v>
      </c>
      <c r="M913" s="5">
        <f>Sales_Data!G910</f>
        <v>868.44</v>
      </c>
      <c r="N913" s="5" t="str">
        <f>IFERROR(INDEX(Branch_Master!$B$2:$B$9,MATCH($B913,Branch_Master!$A$2:$A$9,0)),"Not Found")</f>
        <v>Bangalore</v>
      </c>
      <c r="O913" s="5" t="str">
        <f>IFERROR(INDEX(Branch_Master!$C$2:$C$9,MATCH($B913,Branch_Master!$A$2:$A$9,0)),"Not Found")</f>
        <v>Karnataka</v>
      </c>
      <c r="P913" s="5">
        <f>IFERROR(INDEX(Targets!$B$2:$B$9,MATCH($B913,Targets!$A$2:$A$9,0)),0)</f>
        <v>900000</v>
      </c>
      <c r="Q913" s="5" t="str">
        <f t="shared" si="28"/>
        <v>Yes</v>
      </c>
      <c r="R913" s="5" t="str">
        <f t="shared" si="29"/>
        <v>Nov</v>
      </c>
    </row>
    <row r="914" spans="1:18" ht="15" customHeight="1" x14ac:dyDescent="0.3">
      <c r="A914" s="5" t="str">
        <f>Sales_Data!A911</f>
        <v>2025-11-26</v>
      </c>
      <c r="B914" s="5" t="str">
        <f>Sales_Data!B911</f>
        <v>Delhi NCR</v>
      </c>
      <c r="C914" s="5" t="str">
        <f>Sales_Data!C911</f>
        <v>E013</v>
      </c>
      <c r="D914" s="5" t="str">
        <f>IFERROR(INDEX(Employee_Master!$B$2:$B$44,MATCH($C914,Employee_Master!$A$2:$A$44,0)),"Not Found")</f>
        <v>Norma Wilson</v>
      </c>
      <c r="E914" s="5" t="str">
        <f>IFERROR(INDEX(Employee_Master!$C$2:$C$44,MATCH($C914,Employee_Master!$A$2:$A$44,0)),"Not Found")</f>
        <v>Customer Support</v>
      </c>
      <c r="F914" s="5" t="str">
        <f>IFERROR(INDEX(Employee_Master!$D$2:$D$44,MATCH($C914,Employee_Master!$A$2:$A$44,0)),"Not Found")</f>
        <v>William Oconnell</v>
      </c>
      <c r="G914" s="5" t="str">
        <f>IFERROR(INDEX(Employee_Master!$E$2:$E$44,MATCH($C914,Employee_Master!$A$2:$A$44,0)),"Not Found")</f>
        <v>North</v>
      </c>
      <c r="H914" s="5" t="str">
        <f>Sales_Data!D911</f>
        <v>P009 - Formal Shirt</v>
      </c>
      <c r="I914" s="5" t="str">
        <f>IFERROR(INDEX(Product_Master!$B$2:$B$30,MATCH($H914,Product_Master!$A$2:$A$30,0)),"Invalid Product Code")</f>
        <v>Apparel</v>
      </c>
      <c r="J914" s="5">
        <f>IFERROR(INDEX(Product_Master!$C$2:$C$30,MATCH($H914,Product_Master!$A$2:$A$30,0)),0)</f>
        <v>661.65</v>
      </c>
      <c r="K914" s="5">
        <f>Sales_Data!E911</f>
        <v>9</v>
      </c>
      <c r="L914" s="5">
        <f>Sales_Data!F911</f>
        <v>7803.21</v>
      </c>
      <c r="M914" s="5">
        <f>Sales_Data!G911</f>
        <v>6220.53</v>
      </c>
      <c r="N914" s="5" t="str">
        <f>IFERROR(INDEX(Branch_Master!$B$2:$B$9,MATCH($B914,Branch_Master!$A$2:$A$9,0)),"Not Found")</f>
        <v>New Delhi</v>
      </c>
      <c r="O914" s="5" t="str">
        <f>IFERROR(INDEX(Branch_Master!$C$2:$C$9,MATCH($B914,Branch_Master!$A$2:$A$9,0)),"Not Found")</f>
        <v>Delhi</v>
      </c>
      <c r="P914" s="5">
        <f>IFERROR(INDEX(Targets!$B$2:$B$9,MATCH($B914,Targets!$A$2:$A$9,0)),0)</f>
        <v>2070000</v>
      </c>
      <c r="Q914" s="5" t="str">
        <f t="shared" si="28"/>
        <v>Yes</v>
      </c>
      <c r="R914" s="5" t="str">
        <f t="shared" si="29"/>
        <v>Nov</v>
      </c>
    </row>
    <row r="915" spans="1:18" ht="15" customHeight="1" x14ac:dyDescent="0.3">
      <c r="A915" s="5" t="str">
        <f>Sales_Data!A912</f>
        <v>2025-11-26</v>
      </c>
      <c r="B915" s="5" t="str">
        <f>Sales_Data!B912</f>
        <v>Mumbai Central</v>
      </c>
      <c r="C915" s="5" t="str">
        <f>Sales_Data!C912</f>
        <v>E012</v>
      </c>
      <c r="D915" s="5" t="str">
        <f>IFERROR(INDEX(Employee_Master!$B$2:$B$44,MATCH($C915,Employee_Master!$A$2:$A$44,0)),"Not Found")</f>
        <v>Brandon Cook</v>
      </c>
      <c r="E915" s="5" t="str">
        <f>IFERROR(INDEX(Employee_Master!$C$2:$C$44,MATCH($C915,Employee_Master!$A$2:$A$44,0)),"Not Found")</f>
        <v>Customer Support</v>
      </c>
      <c r="F915" s="5" t="str">
        <f>IFERROR(INDEX(Employee_Master!$D$2:$D$44,MATCH($C915,Employee_Master!$A$2:$A$44,0)),"Not Found")</f>
        <v>Justin Glass</v>
      </c>
      <c r="G915" s="5" t="str">
        <f>IFERROR(INDEX(Employee_Master!$E$2:$E$44,MATCH($C915,Employee_Master!$A$2:$A$44,0)),"Not Found")</f>
        <v>West</v>
      </c>
      <c r="H915" s="5" t="str">
        <f>Sales_Data!D912</f>
        <v>P020 - Green Tea Pack</v>
      </c>
      <c r="I915" s="5" t="str">
        <f>IFERROR(INDEX(Product_Master!$B$2:$B$30,MATCH($H915,Product_Master!$A$2:$A$30,0)),"Invalid Product Code")</f>
        <v>Grocery</v>
      </c>
      <c r="J915" s="5">
        <f>IFERROR(INDEX(Product_Master!$C$2:$C$30,MATCH($H915,Product_Master!$A$2:$A$30,0)),0)</f>
        <v>305.39</v>
      </c>
      <c r="K915" s="5">
        <f>Sales_Data!E912</f>
        <v>10</v>
      </c>
      <c r="L915" s="5">
        <f>Sales_Data!F912</f>
        <v>3846.67</v>
      </c>
      <c r="M915" s="5">
        <f>Sales_Data!G912</f>
        <v>2998.44</v>
      </c>
      <c r="N915" s="5" t="str">
        <f>IFERROR(INDEX(Branch_Master!$B$2:$B$9,MATCH($B915,Branch_Master!$A$2:$A$9,0)),"Not Found")</f>
        <v>Mumbai</v>
      </c>
      <c r="O915" s="5" t="str">
        <f>IFERROR(INDEX(Branch_Master!$C$2:$C$9,MATCH($B915,Branch_Master!$A$2:$A$9,0)),"Not Found")</f>
        <v>Maharashtra</v>
      </c>
      <c r="P915" s="5">
        <f>IFERROR(INDEX(Targets!$B$2:$B$9,MATCH($B915,Targets!$A$2:$A$9,0)),0)</f>
        <v>900000</v>
      </c>
      <c r="Q915" s="5" t="str">
        <f t="shared" si="28"/>
        <v>Yes</v>
      </c>
      <c r="R915" s="5" t="str">
        <f t="shared" si="29"/>
        <v>Nov</v>
      </c>
    </row>
    <row r="916" spans="1:18" ht="15" customHeight="1" x14ac:dyDescent="0.3">
      <c r="A916" s="5" t="str">
        <f>Sales_Data!A913</f>
        <v>2025-11-26</v>
      </c>
      <c r="B916" s="5" t="str">
        <f>Sales_Data!B913</f>
        <v>Kolkata Central</v>
      </c>
      <c r="C916" s="5" t="str">
        <f>Sales_Data!C913</f>
        <v>E018</v>
      </c>
      <c r="D916" s="5" t="str">
        <f>IFERROR(INDEX(Employee_Master!$B$2:$B$44,MATCH($C916,Employee_Master!$A$2:$A$44,0)),"Not Found")</f>
        <v>Daniel Nelson</v>
      </c>
      <c r="E916" s="5" t="str">
        <f>IFERROR(INDEX(Employee_Master!$C$2:$C$44,MATCH($C916,Employee_Master!$A$2:$A$44,0)),"Not Found")</f>
        <v>Sales</v>
      </c>
      <c r="F916" s="5" t="str">
        <f>IFERROR(INDEX(Employee_Master!$D$2:$D$44,MATCH($C916,Employee_Master!$A$2:$A$44,0)),"Not Found")</f>
        <v>Lisa Moore</v>
      </c>
      <c r="G916" s="5" t="str">
        <f>IFERROR(INDEX(Employee_Master!$E$2:$E$44,MATCH($C916,Employee_Master!$A$2:$A$44,0)),"Not Found")</f>
        <v>East</v>
      </c>
      <c r="H916" s="5" t="str">
        <f>Sales_Data!D913</f>
        <v>P013 - Mixer Grinder</v>
      </c>
      <c r="I916" s="5" t="str">
        <f>IFERROR(INDEX(Product_Master!$B$2:$B$30,MATCH($H916,Product_Master!$A$2:$A$30,0)),"Invalid Product Code")</f>
        <v>Home &amp; Kitchen</v>
      </c>
      <c r="J916" s="5">
        <f>IFERROR(INDEX(Product_Master!$C$2:$C$30,MATCH($H916,Product_Master!$A$2:$A$30,0)),0)</f>
        <v>798.53</v>
      </c>
      <c r="K916" s="5">
        <f>Sales_Data!E913</f>
        <v>7</v>
      </c>
      <c r="L916" s="5">
        <f>Sales_Data!F913</f>
        <v>7978.83</v>
      </c>
      <c r="M916" s="5">
        <f>Sales_Data!G913</f>
        <v>4752.04</v>
      </c>
      <c r="N916" s="5" t="str">
        <f>IFERROR(INDEX(Branch_Master!$B$2:$B$9,MATCH($B916,Branch_Master!$A$2:$A$9,0)),"Not Found")</f>
        <v>Kolkata</v>
      </c>
      <c r="O916" s="5" t="str">
        <f>IFERROR(INDEX(Branch_Master!$C$2:$C$9,MATCH($B916,Branch_Master!$A$2:$A$9,0)),"Not Found")</f>
        <v>West Bengal</v>
      </c>
      <c r="P916" s="5">
        <f>IFERROR(INDEX(Targets!$B$2:$B$9,MATCH($B916,Targets!$A$2:$A$9,0)),0)</f>
        <v>1910000</v>
      </c>
      <c r="Q916" s="5" t="str">
        <f t="shared" si="28"/>
        <v>Yes</v>
      </c>
      <c r="R916" s="5" t="str">
        <f t="shared" si="29"/>
        <v>Nov</v>
      </c>
    </row>
    <row r="917" spans="1:18" ht="15" customHeight="1" x14ac:dyDescent="0.3">
      <c r="A917" s="5" t="str">
        <f>Sales_Data!A914</f>
        <v>2025-11-26</v>
      </c>
      <c r="B917" s="5" t="str">
        <f>Sales_Data!B914</f>
        <v>Pune East</v>
      </c>
      <c r="C917" s="5" t="str">
        <f>Sales_Data!C914</f>
        <v>E034</v>
      </c>
      <c r="D917" s="5" t="str">
        <f>IFERROR(INDEX(Employee_Master!$B$2:$B$44,MATCH($C917,Employee_Master!$A$2:$A$44,0)),"Not Found")</f>
        <v>Elaine Thompson</v>
      </c>
      <c r="E917" s="5" t="str">
        <f>IFERROR(INDEX(Employee_Master!$C$2:$C$44,MATCH($C917,Employee_Master!$A$2:$A$44,0)),"Not Found")</f>
        <v>Marketing</v>
      </c>
      <c r="F917" s="5" t="str">
        <f>IFERROR(INDEX(Employee_Master!$D$2:$D$44,MATCH($C917,Employee_Master!$A$2:$A$44,0)),"Not Found")</f>
        <v>Jordan Matthews</v>
      </c>
      <c r="G917" s="5" t="str">
        <f>IFERROR(INDEX(Employee_Master!$E$2:$E$44,MATCH($C917,Employee_Master!$A$2:$A$44,0)),"Not Found")</f>
        <v>West</v>
      </c>
      <c r="H917" s="5" t="str">
        <f>Sales_Data!D914</f>
        <v>P006 - Laptop Stand</v>
      </c>
      <c r="I917" s="5" t="str">
        <f>IFERROR(INDEX(Product_Master!$B$2:$B$30,MATCH($H917,Product_Master!$A$2:$A$30,0)),"Invalid Product Code")</f>
        <v>Electronics</v>
      </c>
      <c r="J917" s="5">
        <f>IFERROR(INDEX(Product_Master!$C$2:$C$30,MATCH($H917,Product_Master!$A$2:$A$30,0)),0)</f>
        <v>393.96</v>
      </c>
      <c r="K917" s="5">
        <f>Sales_Data!E914</f>
        <v>2</v>
      </c>
      <c r="L917" s="5">
        <f>Sales_Data!F914</f>
        <v>975.06</v>
      </c>
      <c r="M917" s="5">
        <f>Sales_Data!G914</f>
        <v>737.82</v>
      </c>
      <c r="N917" s="5" t="str">
        <f>IFERROR(INDEX(Branch_Master!$B$2:$B$9,MATCH($B917,Branch_Master!$A$2:$A$9,0)),"Not Found")</f>
        <v>Pune</v>
      </c>
      <c r="O917" s="5" t="str">
        <f>IFERROR(INDEX(Branch_Master!$C$2:$C$9,MATCH($B917,Branch_Master!$A$2:$A$9,0)),"Not Found")</f>
        <v>Maharashtra</v>
      </c>
      <c r="P917" s="5">
        <f>IFERROR(INDEX(Targets!$B$2:$B$9,MATCH($B917,Targets!$A$2:$A$9,0)),0)</f>
        <v>1250000</v>
      </c>
      <c r="Q917" s="5" t="str">
        <f t="shared" si="28"/>
        <v>Yes</v>
      </c>
      <c r="R917" s="5" t="str">
        <f t="shared" si="29"/>
        <v>Nov</v>
      </c>
    </row>
    <row r="918" spans="1:18" ht="15" customHeight="1" x14ac:dyDescent="0.3">
      <c r="A918" s="5" t="str">
        <f>Sales_Data!A915</f>
        <v>2025-11-27</v>
      </c>
      <c r="B918" s="5" t="str">
        <f>Sales_Data!B915</f>
        <v>Delhi NCR</v>
      </c>
      <c r="C918" s="5" t="str">
        <f>Sales_Data!C915</f>
        <v>E031</v>
      </c>
      <c r="D918" s="5" t="str">
        <f>IFERROR(INDEX(Employee_Master!$B$2:$B$44,MATCH($C918,Employee_Master!$A$2:$A$44,0)),"Not Found")</f>
        <v>Jennifer Garcia</v>
      </c>
      <c r="E918" s="5" t="str">
        <f>IFERROR(INDEX(Employee_Master!$C$2:$C$44,MATCH($C918,Employee_Master!$A$2:$A$44,0)),"Not Found")</f>
        <v>Sales</v>
      </c>
      <c r="F918" s="5" t="str">
        <f>IFERROR(INDEX(Employee_Master!$D$2:$D$44,MATCH($C918,Employee_Master!$A$2:$A$44,0)),"Not Found")</f>
        <v>William Oconnell</v>
      </c>
      <c r="G918" s="5" t="str">
        <f>IFERROR(INDEX(Employee_Master!$E$2:$E$44,MATCH($C918,Employee_Master!$A$2:$A$44,0)),"Not Found")</f>
        <v>North</v>
      </c>
      <c r="H918" s="5" t="str">
        <f>Sales_Data!D915</f>
        <v>P022 - Face Wash</v>
      </c>
      <c r="I918" s="5" t="str">
        <f>IFERROR(INDEX(Product_Master!$B$2:$B$30,MATCH($H918,Product_Master!$A$2:$A$30,0)),"Invalid Product Code")</f>
        <v>Beauty</v>
      </c>
      <c r="J918" s="5">
        <f>IFERROR(INDEX(Product_Master!$C$2:$C$30,MATCH($H918,Product_Master!$A$2:$A$30,0)),0)</f>
        <v>396.75</v>
      </c>
      <c r="K918" s="5">
        <f>Sales_Data!E915</f>
        <v>8</v>
      </c>
      <c r="L918" s="5">
        <f>Sales_Data!F915</f>
        <v>4359.74</v>
      </c>
      <c r="M918" s="5">
        <f>Sales_Data!G915</f>
        <v>3189.94</v>
      </c>
      <c r="N918" s="5" t="str">
        <f>IFERROR(INDEX(Branch_Master!$B$2:$B$9,MATCH($B918,Branch_Master!$A$2:$A$9,0)),"Not Found")</f>
        <v>New Delhi</v>
      </c>
      <c r="O918" s="5" t="str">
        <f>IFERROR(INDEX(Branch_Master!$C$2:$C$9,MATCH($B918,Branch_Master!$A$2:$A$9,0)),"Not Found")</f>
        <v>Delhi</v>
      </c>
      <c r="P918" s="5">
        <f>IFERROR(INDEX(Targets!$B$2:$B$9,MATCH($B918,Targets!$A$2:$A$9,0)),0)</f>
        <v>2070000</v>
      </c>
      <c r="Q918" s="5" t="str">
        <f t="shared" si="28"/>
        <v>Yes</v>
      </c>
      <c r="R918" s="5" t="str">
        <f t="shared" si="29"/>
        <v>Nov</v>
      </c>
    </row>
    <row r="919" spans="1:18" ht="15" customHeight="1" x14ac:dyDescent="0.3">
      <c r="A919" s="5" t="str">
        <f>Sales_Data!A916</f>
        <v>2025-11-28</v>
      </c>
      <c r="B919" s="5" t="str">
        <f>Sales_Data!B916</f>
        <v>Mumbai Central</v>
      </c>
      <c r="C919" s="5" t="str">
        <f>Sales_Data!C916</f>
        <v>E027</v>
      </c>
      <c r="D919" s="5" t="str">
        <f>IFERROR(INDEX(Employee_Master!$B$2:$B$44,MATCH($C919,Employee_Master!$A$2:$A$44,0)),"Not Found")</f>
        <v>Catherine Moore</v>
      </c>
      <c r="E919" s="5" t="str">
        <f>IFERROR(INDEX(Employee_Master!$C$2:$C$44,MATCH($C919,Employee_Master!$A$2:$A$44,0)),"Not Found")</f>
        <v>Customer Support</v>
      </c>
      <c r="F919" s="5" t="str">
        <f>IFERROR(INDEX(Employee_Master!$D$2:$D$44,MATCH($C919,Employee_Master!$A$2:$A$44,0)),"Not Found")</f>
        <v>Justin Glass</v>
      </c>
      <c r="G919" s="5" t="str">
        <f>IFERROR(INDEX(Employee_Master!$E$2:$E$44,MATCH($C919,Employee_Master!$A$2:$A$44,0)),"Not Found")</f>
        <v>West</v>
      </c>
      <c r="H919" s="5" t="str">
        <f>Sales_Data!D916</f>
        <v>P008 - Denim Jeans</v>
      </c>
      <c r="I919" s="5" t="str">
        <f>IFERROR(INDEX(Product_Master!$B$2:$B$30,MATCH($H919,Product_Master!$A$2:$A$30,0)),"Invalid Product Code")</f>
        <v>Apparel</v>
      </c>
      <c r="J919" s="5">
        <f>IFERROR(INDEX(Product_Master!$C$2:$C$30,MATCH($H919,Product_Master!$A$2:$A$30,0)),0)</f>
        <v>614.48</v>
      </c>
      <c r="K919" s="5">
        <f>Sales_Data!E916</f>
        <v>2</v>
      </c>
      <c r="L919" s="5">
        <f>Sales_Data!F916</f>
        <v>1447.4</v>
      </c>
      <c r="M919" s="5">
        <f>Sales_Data!G916</f>
        <v>1104.2</v>
      </c>
      <c r="N919" s="5" t="str">
        <f>IFERROR(INDEX(Branch_Master!$B$2:$B$9,MATCH($B919,Branch_Master!$A$2:$A$9,0)),"Not Found")</f>
        <v>Mumbai</v>
      </c>
      <c r="O919" s="5" t="str">
        <f>IFERROR(INDEX(Branch_Master!$C$2:$C$9,MATCH($B919,Branch_Master!$A$2:$A$9,0)),"Not Found")</f>
        <v>Maharashtra</v>
      </c>
      <c r="P919" s="5">
        <f>IFERROR(INDEX(Targets!$B$2:$B$9,MATCH($B919,Targets!$A$2:$A$9,0)),0)</f>
        <v>900000</v>
      </c>
      <c r="Q919" s="5" t="str">
        <f t="shared" si="28"/>
        <v>Yes</v>
      </c>
      <c r="R919" s="5" t="str">
        <f t="shared" si="29"/>
        <v>Nov</v>
      </c>
    </row>
    <row r="920" spans="1:18" ht="15" customHeight="1" x14ac:dyDescent="0.3">
      <c r="A920" s="5" t="str">
        <f>Sales_Data!A917</f>
        <v>2025-11-28</v>
      </c>
      <c r="B920" s="5" t="str">
        <f>Sales_Data!B917</f>
        <v>Hyderabad Hitech</v>
      </c>
      <c r="C920" s="5" t="str">
        <f>Sales_Data!C917</f>
        <v>E026</v>
      </c>
      <c r="D920" s="5" t="str">
        <f>IFERROR(INDEX(Employee_Master!$B$2:$B$44,MATCH($C920,Employee_Master!$A$2:$A$44,0)),"Not Found")</f>
        <v>Karen Andrews</v>
      </c>
      <c r="E920" s="5" t="str">
        <f>IFERROR(INDEX(Employee_Master!$C$2:$C$44,MATCH($C920,Employee_Master!$A$2:$A$44,0)),"Not Found")</f>
        <v>Marketing</v>
      </c>
      <c r="F920" s="5" t="str">
        <f>IFERROR(INDEX(Employee_Master!$D$2:$D$44,MATCH($C920,Employee_Master!$A$2:$A$44,0)),"Not Found")</f>
        <v>Anna Turner</v>
      </c>
      <c r="G920" s="5" t="str">
        <f>IFERROR(INDEX(Employee_Master!$E$2:$E$44,MATCH($C920,Employee_Master!$A$2:$A$44,0)),"Not Found")</f>
        <v>South</v>
      </c>
      <c r="H920" s="5" t="str">
        <f>Sales_Data!D917</f>
        <v>P012 - Non-Stick Pan</v>
      </c>
      <c r="I920" s="5" t="str">
        <f>IFERROR(INDEX(Product_Master!$B$2:$B$30,MATCH($H920,Product_Master!$A$2:$A$30,0)),"Invalid Product Code")</f>
        <v>Home &amp; Kitchen</v>
      </c>
      <c r="J920" s="5">
        <f>IFERROR(INDEX(Product_Master!$C$2:$C$30,MATCH($H920,Product_Master!$A$2:$A$30,0)),0)</f>
        <v>353.18</v>
      </c>
      <c r="K920" s="5">
        <f>Sales_Data!E917</f>
        <v>5</v>
      </c>
      <c r="L920" s="5">
        <f>Sales_Data!F917</f>
        <v>2292.8000000000002</v>
      </c>
      <c r="M920" s="5">
        <f>Sales_Data!G917</f>
        <v>1735.76</v>
      </c>
      <c r="N920" s="5" t="str">
        <f>IFERROR(INDEX(Branch_Master!$B$2:$B$9,MATCH($B920,Branch_Master!$A$2:$A$9,0)),"Not Found")</f>
        <v>Hyderabad</v>
      </c>
      <c r="O920" s="5" t="str">
        <f>IFERROR(INDEX(Branch_Master!$C$2:$C$9,MATCH($B920,Branch_Master!$A$2:$A$9,0)),"Not Found")</f>
        <v>Telangana</v>
      </c>
      <c r="P920" s="5">
        <f>IFERROR(INDEX(Targets!$B$2:$B$9,MATCH($B920,Targets!$A$2:$A$9,0)),0)</f>
        <v>1210000</v>
      </c>
      <c r="Q920" s="5" t="str">
        <f t="shared" si="28"/>
        <v>Yes</v>
      </c>
      <c r="R920" s="5" t="str">
        <f t="shared" si="29"/>
        <v>Nov</v>
      </c>
    </row>
    <row r="921" spans="1:18" ht="15" customHeight="1" x14ac:dyDescent="0.3">
      <c r="A921" s="5" t="str">
        <f>Sales_Data!A918</f>
        <v>2025-11-28</v>
      </c>
      <c r="B921" s="5" t="str">
        <f>Sales_Data!B918</f>
        <v>Ahmedabad West</v>
      </c>
      <c r="C921" s="5" t="str">
        <f>Sales_Data!C918</f>
        <v>E039</v>
      </c>
      <c r="D921" s="5" t="str">
        <f>IFERROR(INDEX(Employee_Master!$B$2:$B$44,MATCH($C921,Employee_Master!$A$2:$A$44,0)),"Not Found")</f>
        <v>Christopher Wood</v>
      </c>
      <c r="E921" s="5" t="str">
        <f>IFERROR(INDEX(Employee_Master!$C$2:$C$44,MATCH($C921,Employee_Master!$A$2:$A$44,0)),"Not Found")</f>
        <v>Marketing</v>
      </c>
      <c r="F921" s="5" t="str">
        <f>IFERROR(INDEX(Employee_Master!$D$2:$D$44,MATCH($C921,Employee_Master!$A$2:$A$44,0)),"Not Found")</f>
        <v>Joseph Brown</v>
      </c>
      <c r="G921" s="5" t="str">
        <f>IFERROR(INDEX(Employee_Master!$E$2:$E$44,MATCH($C921,Employee_Master!$A$2:$A$44,0)),"Not Found")</f>
        <v>West</v>
      </c>
      <c r="H921" s="5" t="str">
        <f>Sales_Data!D918</f>
        <v>P015 - Water Bottle</v>
      </c>
      <c r="I921" s="5" t="str">
        <f>IFERROR(INDEX(Product_Master!$B$2:$B$30,MATCH($H921,Product_Master!$A$2:$A$30,0)),"Invalid Product Code")</f>
        <v>Home &amp; Kitchen</v>
      </c>
      <c r="J921" s="5">
        <f>IFERROR(INDEX(Product_Master!$C$2:$C$30,MATCH($H921,Product_Master!$A$2:$A$30,0)),0)</f>
        <v>197.57</v>
      </c>
      <c r="K921" s="5">
        <f>Sales_Data!E918</f>
        <v>1</v>
      </c>
      <c r="L921" s="5">
        <f>Sales_Data!F918</f>
        <v>250.18</v>
      </c>
      <c r="M921" s="5">
        <f>Sales_Data!G918</f>
        <v>212.37</v>
      </c>
      <c r="N921" s="5" t="str">
        <f>IFERROR(INDEX(Branch_Master!$B$2:$B$9,MATCH($B921,Branch_Master!$A$2:$A$9,0)),"Not Found")</f>
        <v>Ahmedabad</v>
      </c>
      <c r="O921" s="5" t="str">
        <f>IFERROR(INDEX(Branch_Master!$C$2:$C$9,MATCH($B921,Branch_Master!$A$2:$A$9,0)),"Not Found")</f>
        <v>Gujarat</v>
      </c>
      <c r="P921" s="5">
        <f>IFERROR(INDEX(Targets!$B$2:$B$9,MATCH($B921,Targets!$A$2:$A$9,0)),0)</f>
        <v>1590000</v>
      </c>
      <c r="Q921" s="5" t="str">
        <f t="shared" si="28"/>
        <v>Yes</v>
      </c>
      <c r="R921" s="5" t="str">
        <f t="shared" si="29"/>
        <v>Nov</v>
      </c>
    </row>
    <row r="922" spans="1:18" ht="15" customHeight="1" x14ac:dyDescent="0.3">
      <c r="A922" s="5" t="str">
        <f>Sales_Data!A919</f>
        <v>2025-11-29</v>
      </c>
      <c r="B922" s="5" t="str">
        <f>Sales_Data!B919</f>
        <v>Hyderabad Hitech</v>
      </c>
      <c r="C922" s="5" t="str">
        <f>Sales_Data!C919</f>
        <v>E020</v>
      </c>
      <c r="D922" s="5" t="str">
        <f>IFERROR(INDEX(Employee_Master!$B$2:$B$44,MATCH($C922,Employee_Master!$A$2:$A$44,0)),"Not Found")</f>
        <v>Christine Long</v>
      </c>
      <c r="E922" s="5" t="str">
        <f>IFERROR(INDEX(Employee_Master!$C$2:$C$44,MATCH($C922,Employee_Master!$A$2:$A$44,0)),"Not Found")</f>
        <v>Operations</v>
      </c>
      <c r="F922" s="5" t="str">
        <f>IFERROR(INDEX(Employee_Master!$D$2:$D$44,MATCH($C922,Employee_Master!$A$2:$A$44,0)),"Not Found")</f>
        <v>Anna Turner</v>
      </c>
      <c r="G922" s="5" t="str">
        <f>IFERROR(INDEX(Employee_Master!$E$2:$E$44,MATCH($C922,Employee_Master!$A$2:$A$44,0)),"Not Found")</f>
        <v>South</v>
      </c>
      <c r="H922" s="5" t="str">
        <f>Sales_Data!D919</f>
        <v>P004 - Power Bank</v>
      </c>
      <c r="I922" s="5" t="str">
        <f>IFERROR(INDEX(Product_Master!$B$2:$B$30,MATCH($H922,Product_Master!$A$2:$A$30,0)),"Invalid Product Code")</f>
        <v>Electronics</v>
      </c>
      <c r="J922" s="5">
        <f>IFERROR(INDEX(Product_Master!$C$2:$C$30,MATCH($H922,Product_Master!$A$2:$A$30,0)),0)</f>
        <v>76.91</v>
      </c>
      <c r="K922" s="5">
        <f>Sales_Data!E919</f>
        <v>6</v>
      </c>
      <c r="L922" s="5">
        <f>Sales_Data!F919</f>
        <v>546.78</v>
      </c>
      <c r="M922" s="5">
        <f>Sales_Data!G919</f>
        <v>493.03</v>
      </c>
      <c r="N922" s="5" t="str">
        <f>IFERROR(INDEX(Branch_Master!$B$2:$B$9,MATCH($B922,Branch_Master!$A$2:$A$9,0)),"Not Found")</f>
        <v>Hyderabad</v>
      </c>
      <c r="O922" s="5" t="str">
        <f>IFERROR(INDEX(Branch_Master!$C$2:$C$9,MATCH($B922,Branch_Master!$A$2:$A$9,0)),"Not Found")</f>
        <v>Telangana</v>
      </c>
      <c r="P922" s="5">
        <f>IFERROR(INDEX(Targets!$B$2:$B$9,MATCH($B922,Targets!$A$2:$A$9,0)),0)</f>
        <v>1210000</v>
      </c>
      <c r="Q922" s="5" t="str">
        <f t="shared" si="28"/>
        <v>Yes</v>
      </c>
      <c r="R922" s="5" t="str">
        <f t="shared" si="29"/>
        <v>Nov</v>
      </c>
    </row>
    <row r="923" spans="1:18" ht="15" customHeight="1" x14ac:dyDescent="0.3">
      <c r="A923" s="5" t="str">
        <f>Sales_Data!A920</f>
        <v>2025-11-29</v>
      </c>
      <c r="B923" s="5" t="str">
        <f>Sales_Data!B920</f>
        <v>Mumbai Central</v>
      </c>
      <c r="C923" s="5" t="str">
        <f>Sales_Data!C920</f>
        <v>E009</v>
      </c>
      <c r="D923" s="5" t="str">
        <f>IFERROR(INDEX(Employee_Master!$B$2:$B$44,MATCH($C923,Employee_Master!$A$2:$A$44,0)),"Not Found")</f>
        <v>Daniel Kent</v>
      </c>
      <c r="E923" s="5" t="str">
        <f>IFERROR(INDEX(Employee_Master!$C$2:$C$44,MATCH($C923,Employee_Master!$A$2:$A$44,0)),"Not Found")</f>
        <v>Sales</v>
      </c>
      <c r="F923" s="5" t="str">
        <f>IFERROR(INDEX(Employee_Master!$D$2:$D$44,MATCH($C923,Employee_Master!$A$2:$A$44,0)),"Not Found")</f>
        <v>Justin Glass</v>
      </c>
      <c r="G923" s="5" t="str">
        <f>IFERROR(INDEX(Employee_Master!$E$2:$E$44,MATCH($C923,Employee_Master!$A$2:$A$44,0)),"Not Found")</f>
        <v>West</v>
      </c>
      <c r="H923" s="5" t="str">
        <f>Sales_Data!D920</f>
        <v>P026 - Yoga Mat</v>
      </c>
      <c r="I923" s="5" t="str">
        <f>IFERROR(INDEX(Product_Master!$B$2:$B$30,MATCH($H923,Product_Master!$A$2:$A$30,0)),"Invalid Product Code")</f>
        <v>Sports</v>
      </c>
      <c r="J923" s="5">
        <f>IFERROR(INDEX(Product_Master!$C$2:$C$30,MATCH($H923,Product_Master!$A$2:$A$30,0)),0)</f>
        <v>518.76</v>
      </c>
      <c r="K923" s="5">
        <f>Sales_Data!E920</f>
        <v>5</v>
      </c>
      <c r="L923" s="5">
        <f>Sales_Data!F920</f>
        <v>3616.85</v>
      </c>
      <c r="M923" s="5">
        <f>Sales_Data!G920</f>
        <v>2633.09</v>
      </c>
      <c r="N923" s="5" t="str">
        <f>IFERROR(INDEX(Branch_Master!$B$2:$B$9,MATCH($B923,Branch_Master!$A$2:$A$9,0)),"Not Found")</f>
        <v>Mumbai</v>
      </c>
      <c r="O923" s="5" t="str">
        <f>IFERROR(INDEX(Branch_Master!$C$2:$C$9,MATCH($B923,Branch_Master!$A$2:$A$9,0)),"Not Found")</f>
        <v>Maharashtra</v>
      </c>
      <c r="P923" s="5">
        <f>IFERROR(INDEX(Targets!$B$2:$B$9,MATCH($B923,Targets!$A$2:$A$9,0)),0)</f>
        <v>900000</v>
      </c>
      <c r="Q923" s="5" t="str">
        <f t="shared" si="28"/>
        <v>Yes</v>
      </c>
      <c r="R923" s="5" t="str">
        <f t="shared" si="29"/>
        <v>Nov</v>
      </c>
    </row>
    <row r="924" spans="1:18" ht="15" customHeight="1" x14ac:dyDescent="0.3">
      <c r="A924" s="5" t="str">
        <f>Sales_Data!A921</f>
        <v>2025-11-30</v>
      </c>
      <c r="B924" s="5" t="str">
        <f>Sales_Data!B921</f>
        <v>Pune East</v>
      </c>
      <c r="C924" s="5" t="str">
        <f>Sales_Data!C921</f>
        <v>E022</v>
      </c>
      <c r="D924" s="5" t="str">
        <f>IFERROR(INDEX(Employee_Master!$B$2:$B$44,MATCH($C924,Employee_Master!$A$2:$A$44,0)),"Not Found")</f>
        <v>Cindy Green PhD</v>
      </c>
      <c r="E924" s="5" t="str">
        <f>IFERROR(INDEX(Employee_Master!$C$2:$C$44,MATCH($C924,Employee_Master!$A$2:$A$44,0)),"Not Found")</f>
        <v>Customer Support</v>
      </c>
      <c r="F924" s="5" t="str">
        <f>IFERROR(INDEX(Employee_Master!$D$2:$D$44,MATCH($C924,Employee_Master!$A$2:$A$44,0)),"Not Found")</f>
        <v>Jordan Matthews</v>
      </c>
      <c r="G924" s="5" t="str">
        <f>IFERROR(INDEX(Employee_Master!$E$2:$E$44,MATCH($C924,Employee_Master!$A$2:$A$44,0)),"Not Found")</f>
        <v>West</v>
      </c>
      <c r="H924" s="5" t="str">
        <f>Sales_Data!D921</f>
        <v>P018 - Cooking Oil 1L</v>
      </c>
      <c r="I924" s="5" t="str">
        <f>IFERROR(INDEX(Product_Master!$B$2:$B$30,MATCH($H924,Product_Master!$A$2:$A$30,0)),"Invalid Product Code")</f>
        <v>Grocery</v>
      </c>
      <c r="J924" s="5">
        <f>IFERROR(INDEX(Product_Master!$C$2:$C$30,MATCH($H924,Product_Master!$A$2:$A$30,0)),0)</f>
        <v>1483.63</v>
      </c>
      <c r="K924" s="5">
        <f>Sales_Data!E921</f>
        <v>2</v>
      </c>
      <c r="L924" s="5">
        <f>Sales_Data!F921</f>
        <v>4024.21</v>
      </c>
      <c r="M924" s="5">
        <f>Sales_Data!G921</f>
        <v>3130.08</v>
      </c>
      <c r="N924" s="5" t="str">
        <f>IFERROR(INDEX(Branch_Master!$B$2:$B$9,MATCH($B924,Branch_Master!$A$2:$A$9,0)),"Not Found")</f>
        <v>Pune</v>
      </c>
      <c r="O924" s="5" t="str">
        <f>IFERROR(INDEX(Branch_Master!$C$2:$C$9,MATCH($B924,Branch_Master!$A$2:$A$9,0)),"Not Found")</f>
        <v>Maharashtra</v>
      </c>
      <c r="P924" s="5">
        <f>IFERROR(INDEX(Targets!$B$2:$B$9,MATCH($B924,Targets!$A$2:$A$9,0)),0)</f>
        <v>1250000</v>
      </c>
      <c r="Q924" s="5" t="str">
        <f t="shared" si="28"/>
        <v>Yes</v>
      </c>
      <c r="R924" s="5" t="str">
        <f t="shared" si="29"/>
        <v>Nov</v>
      </c>
    </row>
    <row r="925" spans="1:18" ht="15" customHeight="1" x14ac:dyDescent="0.3">
      <c r="A925" s="5" t="str">
        <f>Sales_Data!A922</f>
        <v>2025-11-30</v>
      </c>
      <c r="B925" s="5" t="str">
        <f>Sales_Data!B922</f>
        <v>Bangalore North</v>
      </c>
      <c r="C925" s="5" t="str">
        <f>Sales_Data!C922</f>
        <v>E003</v>
      </c>
      <c r="D925" s="5" t="str">
        <f>IFERROR(INDEX(Employee_Master!$B$2:$B$44,MATCH($C925,Employee_Master!$A$2:$A$44,0)),"Not Found")</f>
        <v>Margaret Porter</v>
      </c>
      <c r="E925" s="5" t="str">
        <f>IFERROR(INDEX(Employee_Master!$C$2:$C$44,MATCH($C925,Employee_Master!$A$2:$A$44,0)),"Not Found")</f>
        <v>Customer Support</v>
      </c>
      <c r="F925" s="5" t="str">
        <f>IFERROR(INDEX(Employee_Master!$D$2:$D$44,MATCH($C925,Employee_Master!$A$2:$A$44,0)),"Not Found")</f>
        <v>Jose Soto</v>
      </c>
      <c r="G925" s="5" t="str">
        <f>IFERROR(INDEX(Employee_Master!$E$2:$E$44,MATCH($C925,Employee_Master!$A$2:$A$44,0)),"Not Found")</f>
        <v>South</v>
      </c>
      <c r="H925" s="5" t="str">
        <f>Sales_Data!D922</f>
        <v>P016 - Dinner Set</v>
      </c>
      <c r="I925" s="5" t="str">
        <f>IFERROR(INDEX(Product_Master!$B$2:$B$30,MATCH($H925,Product_Master!$A$2:$A$30,0)),"Invalid Product Code")</f>
        <v>Home &amp; Kitchen</v>
      </c>
      <c r="J925" s="5">
        <f>IFERROR(INDEX(Product_Master!$C$2:$C$30,MATCH($H925,Product_Master!$A$2:$A$30,0)),0)</f>
        <v>225.06</v>
      </c>
      <c r="K925" s="5">
        <f>Sales_Data!E922</f>
        <v>10</v>
      </c>
      <c r="L925" s="5">
        <f>Sales_Data!F922</f>
        <v>3039.2</v>
      </c>
      <c r="M925" s="5">
        <f>Sales_Data!G922</f>
        <v>2446.92</v>
      </c>
      <c r="N925" s="5" t="str">
        <f>IFERROR(INDEX(Branch_Master!$B$2:$B$9,MATCH($B925,Branch_Master!$A$2:$A$9,0)),"Not Found")</f>
        <v>Bangalore</v>
      </c>
      <c r="O925" s="5" t="str">
        <f>IFERROR(INDEX(Branch_Master!$C$2:$C$9,MATCH($B925,Branch_Master!$A$2:$A$9,0)),"Not Found")</f>
        <v>Karnataka</v>
      </c>
      <c r="P925" s="5">
        <f>IFERROR(INDEX(Targets!$B$2:$B$9,MATCH($B925,Targets!$A$2:$A$9,0)),0)</f>
        <v>900000</v>
      </c>
      <c r="Q925" s="5" t="str">
        <f t="shared" si="28"/>
        <v>Yes</v>
      </c>
      <c r="R925" s="5" t="str">
        <f t="shared" si="29"/>
        <v>Nov</v>
      </c>
    </row>
    <row r="926" spans="1:18" ht="15" customHeight="1" x14ac:dyDescent="0.3">
      <c r="A926" s="5" t="str">
        <f>Sales_Data!A923</f>
        <v>2025-11-30</v>
      </c>
      <c r="B926" s="5" t="str">
        <f>Sales_Data!B923</f>
        <v>Pune East</v>
      </c>
      <c r="C926" s="5" t="str">
        <f>Sales_Data!C923</f>
        <v>E022</v>
      </c>
      <c r="D926" s="5" t="str">
        <f>IFERROR(INDEX(Employee_Master!$B$2:$B$44,MATCH($C926,Employee_Master!$A$2:$A$44,0)),"Not Found")</f>
        <v>Cindy Green PhD</v>
      </c>
      <c r="E926" s="5" t="str">
        <f>IFERROR(INDEX(Employee_Master!$C$2:$C$44,MATCH($C926,Employee_Master!$A$2:$A$44,0)),"Not Found")</f>
        <v>Customer Support</v>
      </c>
      <c r="F926" s="5" t="str">
        <f>IFERROR(INDEX(Employee_Master!$D$2:$D$44,MATCH($C926,Employee_Master!$A$2:$A$44,0)),"Not Found")</f>
        <v>Jordan Matthews</v>
      </c>
      <c r="G926" s="5" t="str">
        <f>IFERROR(INDEX(Employee_Master!$E$2:$E$44,MATCH($C926,Employee_Master!$A$2:$A$44,0)),"Not Found")</f>
        <v>West</v>
      </c>
      <c r="H926" s="5" t="str">
        <f>Sales_Data!D923</f>
        <v>P001 - Wireless Earbuds</v>
      </c>
      <c r="I926" s="5" t="str">
        <f>IFERROR(INDEX(Product_Master!$B$2:$B$30,MATCH($H926,Product_Master!$A$2:$A$30,0)),"Invalid Product Code")</f>
        <v>Electronics</v>
      </c>
      <c r="J926" s="5">
        <f>IFERROR(INDEX(Product_Master!$C$2:$C$30,MATCH($H926,Product_Master!$A$2:$A$30,0)),0)</f>
        <v>1676.76</v>
      </c>
      <c r="K926" s="5">
        <f>Sales_Data!E923</f>
        <v>10</v>
      </c>
      <c r="L926" s="5">
        <f>Sales_Data!F923</f>
        <v>23633.41</v>
      </c>
      <c r="M926" s="5">
        <f>Sales_Data!G923</f>
        <v>18683.12</v>
      </c>
      <c r="N926" s="5" t="str">
        <f>IFERROR(INDEX(Branch_Master!$B$2:$B$9,MATCH($B926,Branch_Master!$A$2:$A$9,0)),"Not Found")</f>
        <v>Pune</v>
      </c>
      <c r="O926" s="5" t="str">
        <f>IFERROR(INDEX(Branch_Master!$C$2:$C$9,MATCH($B926,Branch_Master!$A$2:$A$9,0)),"Not Found")</f>
        <v>Maharashtra</v>
      </c>
      <c r="P926" s="5">
        <f>IFERROR(INDEX(Targets!$B$2:$B$9,MATCH($B926,Targets!$A$2:$A$9,0)),0)</f>
        <v>1250000</v>
      </c>
      <c r="Q926" s="5" t="str">
        <f t="shared" si="28"/>
        <v>Yes</v>
      </c>
      <c r="R926" s="5" t="str">
        <f t="shared" si="29"/>
        <v>Nov</v>
      </c>
    </row>
    <row r="927" spans="1:18" ht="15" customHeight="1" x14ac:dyDescent="0.3">
      <c r="A927" s="5" t="str">
        <f>Sales_Data!A924</f>
        <v>2025-12-01</v>
      </c>
      <c r="B927" s="5" t="str">
        <f>Sales_Data!B924</f>
        <v>Delhi NCR</v>
      </c>
      <c r="C927" s="5" t="str">
        <f>Sales_Data!C924</f>
        <v>E013</v>
      </c>
      <c r="D927" s="5" t="str">
        <f>IFERROR(INDEX(Employee_Master!$B$2:$B$44,MATCH($C927,Employee_Master!$A$2:$A$44,0)),"Not Found")</f>
        <v>Norma Wilson</v>
      </c>
      <c r="E927" s="5" t="str">
        <f>IFERROR(INDEX(Employee_Master!$C$2:$C$44,MATCH($C927,Employee_Master!$A$2:$A$44,0)),"Not Found")</f>
        <v>Customer Support</v>
      </c>
      <c r="F927" s="5" t="str">
        <f>IFERROR(INDEX(Employee_Master!$D$2:$D$44,MATCH($C927,Employee_Master!$A$2:$A$44,0)),"Not Found")</f>
        <v>William Oconnell</v>
      </c>
      <c r="G927" s="5" t="str">
        <f>IFERROR(INDEX(Employee_Master!$E$2:$E$44,MATCH($C927,Employee_Master!$A$2:$A$44,0)),"Not Found")</f>
        <v>North</v>
      </c>
      <c r="H927" s="5" t="str">
        <f>Sales_Data!D924</f>
        <v>P015 - Water Bottle</v>
      </c>
      <c r="I927" s="5" t="str">
        <f>IFERROR(INDEX(Product_Master!$B$2:$B$30,MATCH($H927,Product_Master!$A$2:$A$30,0)),"Invalid Product Code")</f>
        <v>Home &amp; Kitchen</v>
      </c>
      <c r="J927" s="5">
        <f>IFERROR(INDEX(Product_Master!$C$2:$C$30,MATCH($H927,Product_Master!$A$2:$A$30,0)),0)</f>
        <v>197.57</v>
      </c>
      <c r="K927" s="5">
        <f>Sales_Data!E924</f>
        <v>6</v>
      </c>
      <c r="L927" s="5">
        <f>Sales_Data!F924</f>
        <v>1085.49</v>
      </c>
      <c r="M927" s="5">
        <f>Sales_Data!G924</f>
        <v>1037.1300000000001</v>
      </c>
      <c r="N927" s="5" t="str">
        <f>IFERROR(INDEX(Branch_Master!$B$2:$B$9,MATCH($B927,Branch_Master!$A$2:$A$9,0)),"Not Found")</f>
        <v>New Delhi</v>
      </c>
      <c r="O927" s="5" t="str">
        <f>IFERROR(INDEX(Branch_Master!$C$2:$C$9,MATCH($B927,Branch_Master!$A$2:$A$9,0)),"Not Found")</f>
        <v>Delhi</v>
      </c>
      <c r="P927" s="5">
        <f>IFERROR(INDEX(Targets!$B$2:$B$9,MATCH($B927,Targets!$A$2:$A$9,0)),0)</f>
        <v>2070000</v>
      </c>
      <c r="Q927" s="5" t="str">
        <f t="shared" si="28"/>
        <v>Yes</v>
      </c>
      <c r="R927" s="5" t="str">
        <f t="shared" si="29"/>
        <v>Dec</v>
      </c>
    </row>
    <row r="928" spans="1:18" ht="15" customHeight="1" x14ac:dyDescent="0.3">
      <c r="A928" s="5" t="str">
        <f>Sales_Data!A925</f>
        <v>2025-12-01</v>
      </c>
      <c r="B928" s="5" t="str">
        <f>Sales_Data!B925</f>
        <v>Hyderabad Hitech</v>
      </c>
      <c r="C928" s="5" t="str">
        <f>Sales_Data!C925</f>
        <v>E035</v>
      </c>
      <c r="D928" s="5" t="str">
        <f>IFERROR(INDEX(Employee_Master!$B$2:$B$44,MATCH($C928,Employee_Master!$A$2:$A$44,0)),"Not Found")</f>
        <v>Andrea Perez</v>
      </c>
      <c r="E928" s="5" t="str">
        <f>IFERROR(INDEX(Employee_Master!$C$2:$C$44,MATCH($C928,Employee_Master!$A$2:$A$44,0)),"Not Found")</f>
        <v>Sales</v>
      </c>
      <c r="F928" s="5" t="str">
        <f>IFERROR(INDEX(Employee_Master!$D$2:$D$44,MATCH($C928,Employee_Master!$A$2:$A$44,0)),"Not Found")</f>
        <v>Anna Turner</v>
      </c>
      <c r="G928" s="5" t="str">
        <f>IFERROR(INDEX(Employee_Master!$E$2:$E$44,MATCH($C928,Employee_Master!$A$2:$A$44,0)),"Not Found")</f>
        <v>South</v>
      </c>
      <c r="H928" s="5" t="str">
        <f>Sales_Data!D925</f>
        <v>P002 - Smart Watch</v>
      </c>
      <c r="I928" s="5" t="str">
        <f>IFERROR(INDEX(Product_Master!$B$2:$B$30,MATCH($H928,Product_Master!$A$2:$A$30,0)),"Invalid Product Code")</f>
        <v>Electronics</v>
      </c>
      <c r="J928" s="5">
        <f>IFERROR(INDEX(Product_Master!$C$2:$C$30,MATCH($H928,Product_Master!$A$2:$A$30,0)),0)</f>
        <v>403.33</v>
      </c>
      <c r="K928" s="5">
        <f>Sales_Data!E925</f>
        <v>11</v>
      </c>
      <c r="L928" s="5">
        <f>Sales_Data!F925</f>
        <v>4046.9</v>
      </c>
      <c r="M928" s="5">
        <f>Sales_Data!G925</f>
        <v>4131.75</v>
      </c>
      <c r="N928" s="5" t="str">
        <f>IFERROR(INDEX(Branch_Master!$B$2:$B$9,MATCH($B928,Branch_Master!$A$2:$A$9,0)),"Not Found")</f>
        <v>Hyderabad</v>
      </c>
      <c r="O928" s="5" t="str">
        <f>IFERROR(INDEX(Branch_Master!$C$2:$C$9,MATCH($B928,Branch_Master!$A$2:$A$9,0)),"Not Found")</f>
        <v>Telangana</v>
      </c>
      <c r="P928" s="5">
        <f>IFERROR(INDEX(Targets!$B$2:$B$9,MATCH($B928,Targets!$A$2:$A$9,0)),0)</f>
        <v>1210000</v>
      </c>
      <c r="Q928" s="5" t="str">
        <f t="shared" si="28"/>
        <v>No</v>
      </c>
      <c r="R928" s="5" t="str">
        <f t="shared" si="29"/>
        <v>Dec</v>
      </c>
    </row>
    <row r="929" spans="1:18" ht="15" customHeight="1" x14ac:dyDescent="0.3">
      <c r="A929" s="5" t="str">
        <f>Sales_Data!A926</f>
        <v>2025-12-01</v>
      </c>
      <c r="B929" s="5" t="str">
        <f>Sales_Data!B926</f>
        <v>Pune East</v>
      </c>
      <c r="C929" s="5" t="str">
        <f>Sales_Data!C926</f>
        <v>E022</v>
      </c>
      <c r="D929" s="5" t="str">
        <f>IFERROR(INDEX(Employee_Master!$B$2:$B$44,MATCH($C929,Employee_Master!$A$2:$A$44,0)),"Not Found")</f>
        <v>Cindy Green PhD</v>
      </c>
      <c r="E929" s="5" t="str">
        <f>IFERROR(INDEX(Employee_Master!$C$2:$C$44,MATCH($C929,Employee_Master!$A$2:$A$44,0)),"Not Found")</f>
        <v>Customer Support</v>
      </c>
      <c r="F929" s="5" t="str">
        <f>IFERROR(INDEX(Employee_Master!$D$2:$D$44,MATCH($C929,Employee_Master!$A$2:$A$44,0)),"Not Found")</f>
        <v>Jordan Matthews</v>
      </c>
      <c r="G929" s="5" t="str">
        <f>IFERROR(INDEX(Employee_Master!$E$2:$E$44,MATCH($C929,Employee_Master!$A$2:$A$44,0)),"Not Found")</f>
        <v>West</v>
      </c>
      <c r="H929" s="5" t="str">
        <f>Sales_Data!D926</f>
        <v>P004 - Power Bank</v>
      </c>
      <c r="I929" s="5" t="str">
        <f>IFERROR(INDEX(Product_Master!$B$2:$B$30,MATCH($H929,Product_Master!$A$2:$A$30,0)),"Invalid Product Code")</f>
        <v>Electronics</v>
      </c>
      <c r="J929" s="5">
        <f>IFERROR(INDEX(Product_Master!$C$2:$C$30,MATCH($H929,Product_Master!$A$2:$A$30,0)),0)</f>
        <v>76.91</v>
      </c>
      <c r="K929" s="5">
        <f>Sales_Data!E926</f>
        <v>7</v>
      </c>
      <c r="L929" s="5">
        <f>Sales_Data!F926</f>
        <v>519.42999999999995</v>
      </c>
      <c r="M929" s="5">
        <f>Sales_Data!G926</f>
        <v>480.22</v>
      </c>
      <c r="N929" s="5" t="str">
        <f>IFERROR(INDEX(Branch_Master!$B$2:$B$9,MATCH($B929,Branch_Master!$A$2:$A$9,0)),"Not Found")</f>
        <v>Pune</v>
      </c>
      <c r="O929" s="5" t="str">
        <f>IFERROR(INDEX(Branch_Master!$C$2:$C$9,MATCH($B929,Branch_Master!$A$2:$A$9,0)),"Not Found")</f>
        <v>Maharashtra</v>
      </c>
      <c r="P929" s="5">
        <f>IFERROR(INDEX(Targets!$B$2:$B$9,MATCH($B929,Targets!$A$2:$A$9,0)),0)</f>
        <v>1250000</v>
      </c>
      <c r="Q929" s="5" t="str">
        <f t="shared" si="28"/>
        <v>Yes</v>
      </c>
      <c r="R929" s="5" t="str">
        <f t="shared" si="29"/>
        <v>Dec</v>
      </c>
    </row>
    <row r="930" spans="1:18" ht="15" customHeight="1" x14ac:dyDescent="0.3">
      <c r="A930" s="5" t="str">
        <f>Sales_Data!A927</f>
        <v>2025-12-02</v>
      </c>
      <c r="B930" s="5" t="str">
        <f>Sales_Data!B927</f>
        <v>Delhi NCR</v>
      </c>
      <c r="C930" s="5" t="str">
        <f>Sales_Data!C927</f>
        <v>E013</v>
      </c>
      <c r="D930" s="5" t="str">
        <f>IFERROR(INDEX(Employee_Master!$B$2:$B$44,MATCH($C930,Employee_Master!$A$2:$A$44,0)),"Not Found")</f>
        <v>Norma Wilson</v>
      </c>
      <c r="E930" s="5" t="str">
        <f>IFERROR(INDEX(Employee_Master!$C$2:$C$44,MATCH($C930,Employee_Master!$A$2:$A$44,0)),"Not Found")</f>
        <v>Customer Support</v>
      </c>
      <c r="F930" s="5" t="str">
        <f>IFERROR(INDEX(Employee_Master!$D$2:$D$44,MATCH($C930,Employee_Master!$A$2:$A$44,0)),"Not Found")</f>
        <v>William Oconnell</v>
      </c>
      <c r="G930" s="5" t="str">
        <f>IFERROR(INDEX(Employee_Master!$E$2:$E$44,MATCH($C930,Employee_Master!$A$2:$A$44,0)),"Not Found")</f>
        <v>North</v>
      </c>
      <c r="H930" s="5" t="str">
        <f>Sales_Data!D927</f>
        <v>P022 - Face Wash</v>
      </c>
      <c r="I930" s="5" t="str">
        <f>IFERROR(INDEX(Product_Master!$B$2:$B$30,MATCH($H930,Product_Master!$A$2:$A$30,0)),"Invalid Product Code")</f>
        <v>Beauty</v>
      </c>
      <c r="J930" s="5">
        <f>IFERROR(INDEX(Product_Master!$C$2:$C$30,MATCH($H930,Product_Master!$A$2:$A$30,0)),0)</f>
        <v>396.75</v>
      </c>
      <c r="K930" s="5">
        <f>Sales_Data!E927</f>
        <v>4</v>
      </c>
      <c r="L930" s="5">
        <f>Sales_Data!F927</f>
        <v>1491.57</v>
      </c>
      <c r="M930" s="5">
        <f>Sales_Data!G927</f>
        <v>1575.17</v>
      </c>
      <c r="N930" s="5" t="str">
        <f>IFERROR(INDEX(Branch_Master!$B$2:$B$9,MATCH($B930,Branch_Master!$A$2:$A$9,0)),"Not Found")</f>
        <v>New Delhi</v>
      </c>
      <c r="O930" s="5" t="str">
        <f>IFERROR(INDEX(Branch_Master!$C$2:$C$9,MATCH($B930,Branch_Master!$A$2:$A$9,0)),"Not Found")</f>
        <v>Delhi</v>
      </c>
      <c r="P930" s="5">
        <f>IFERROR(INDEX(Targets!$B$2:$B$9,MATCH($B930,Targets!$A$2:$A$9,0)),0)</f>
        <v>2070000</v>
      </c>
      <c r="Q930" s="5" t="str">
        <f t="shared" si="28"/>
        <v>No</v>
      </c>
      <c r="R930" s="5" t="str">
        <f t="shared" si="29"/>
        <v>Dec</v>
      </c>
    </row>
    <row r="931" spans="1:18" ht="15" customHeight="1" x14ac:dyDescent="0.3">
      <c r="A931" s="5" t="str">
        <f>Sales_Data!A928</f>
        <v>2025-12-02</v>
      </c>
      <c r="B931" s="5" t="str">
        <f>Sales_Data!B928</f>
        <v>Mumbai Central</v>
      </c>
      <c r="C931" s="5" t="str">
        <f>Sales_Data!C928</f>
        <v>E025</v>
      </c>
      <c r="D931" s="5" t="str">
        <f>IFERROR(INDEX(Employee_Master!$B$2:$B$44,MATCH($C931,Employee_Master!$A$2:$A$44,0)),"Not Found")</f>
        <v>Jacqueline Chavez</v>
      </c>
      <c r="E931" s="5" t="str">
        <f>IFERROR(INDEX(Employee_Master!$C$2:$C$44,MATCH($C931,Employee_Master!$A$2:$A$44,0)),"Not Found")</f>
        <v>Sales</v>
      </c>
      <c r="F931" s="5" t="str">
        <f>IFERROR(INDEX(Employee_Master!$D$2:$D$44,MATCH($C931,Employee_Master!$A$2:$A$44,0)),"Not Found")</f>
        <v>Justin Glass</v>
      </c>
      <c r="G931" s="5" t="str">
        <f>IFERROR(INDEX(Employee_Master!$E$2:$E$44,MATCH($C931,Employee_Master!$A$2:$A$44,0)),"Not Found")</f>
        <v>West</v>
      </c>
      <c r="H931" s="5" t="str">
        <f>Sales_Data!D928</f>
        <v>P021 - Assorted Spices Kit</v>
      </c>
      <c r="I931" s="5" t="str">
        <f>IFERROR(INDEX(Product_Master!$B$2:$B$30,MATCH($H931,Product_Master!$A$2:$A$30,0)),"Invalid Product Code")</f>
        <v>Grocery</v>
      </c>
      <c r="J931" s="5">
        <f>IFERROR(INDEX(Product_Master!$C$2:$C$30,MATCH($H931,Product_Master!$A$2:$A$30,0)),0)</f>
        <v>1060.97</v>
      </c>
      <c r="K931" s="5">
        <f>Sales_Data!E928</f>
        <v>10</v>
      </c>
      <c r="L931" s="5">
        <f>Sales_Data!F928</f>
        <v>10142.209999999999</v>
      </c>
      <c r="M931" s="5">
        <f>Sales_Data!G928</f>
        <v>10045.780000000001</v>
      </c>
      <c r="N931" s="5" t="str">
        <f>IFERROR(INDEX(Branch_Master!$B$2:$B$9,MATCH($B931,Branch_Master!$A$2:$A$9,0)),"Not Found")</f>
        <v>Mumbai</v>
      </c>
      <c r="O931" s="5" t="str">
        <f>IFERROR(INDEX(Branch_Master!$C$2:$C$9,MATCH($B931,Branch_Master!$A$2:$A$9,0)),"Not Found")</f>
        <v>Maharashtra</v>
      </c>
      <c r="P931" s="5">
        <f>IFERROR(INDEX(Targets!$B$2:$B$9,MATCH($B931,Targets!$A$2:$A$9,0)),0)</f>
        <v>900000</v>
      </c>
      <c r="Q931" s="5" t="str">
        <f t="shared" si="28"/>
        <v>Yes</v>
      </c>
      <c r="R931" s="5" t="str">
        <f t="shared" si="29"/>
        <v>Dec</v>
      </c>
    </row>
    <row r="932" spans="1:18" ht="15" customHeight="1" x14ac:dyDescent="0.3">
      <c r="A932" s="5" t="str">
        <f>Sales_Data!A929</f>
        <v>2025-12-03</v>
      </c>
      <c r="B932" s="5" t="str">
        <f>Sales_Data!B929</f>
        <v>Chennai South</v>
      </c>
      <c r="C932" s="5" t="str">
        <f>Sales_Data!C929</f>
        <v>E019</v>
      </c>
      <c r="D932" s="5" t="str">
        <f>IFERROR(INDEX(Employee_Master!$B$2:$B$44,MATCH($C932,Employee_Master!$A$2:$A$44,0)),"Not Found")</f>
        <v>Regina Torres</v>
      </c>
      <c r="E932" s="5" t="str">
        <f>IFERROR(INDEX(Employee_Master!$C$2:$C$44,MATCH($C932,Employee_Master!$A$2:$A$44,0)),"Not Found")</f>
        <v>Operations</v>
      </c>
      <c r="F932" s="5" t="str">
        <f>IFERROR(INDEX(Employee_Master!$D$2:$D$44,MATCH($C932,Employee_Master!$A$2:$A$44,0)),"Not Found")</f>
        <v>Robert Steele</v>
      </c>
      <c r="G932" s="5" t="str">
        <f>IFERROR(INDEX(Employee_Master!$E$2:$E$44,MATCH($C932,Employee_Master!$A$2:$A$44,0)),"Not Found")</f>
        <v>South</v>
      </c>
      <c r="H932" s="5" t="str">
        <f>Sales_Data!D929</f>
        <v>P007 - Cotton T-Shirt</v>
      </c>
      <c r="I932" s="5" t="str">
        <f>IFERROR(INDEX(Product_Master!$B$2:$B$30,MATCH($H932,Product_Master!$A$2:$A$30,0)),"Invalid Product Code")</f>
        <v>Apparel</v>
      </c>
      <c r="J932" s="5">
        <f>IFERROR(INDEX(Product_Master!$C$2:$C$30,MATCH($H932,Product_Master!$A$2:$A$30,0)),0)</f>
        <v>338.44</v>
      </c>
      <c r="K932" s="5">
        <f>Sales_Data!E929</f>
        <v>8</v>
      </c>
      <c r="L932" s="5">
        <f>Sales_Data!F929</f>
        <v>2565.48</v>
      </c>
      <c r="M932" s="5">
        <f>Sales_Data!G929</f>
        <v>2566.59</v>
      </c>
      <c r="N932" s="5" t="str">
        <f>IFERROR(INDEX(Branch_Master!$B$2:$B$9,MATCH($B932,Branch_Master!$A$2:$A$9,0)),"Not Found")</f>
        <v>Chennai</v>
      </c>
      <c r="O932" s="5" t="str">
        <f>IFERROR(INDEX(Branch_Master!$C$2:$C$9,MATCH($B932,Branch_Master!$A$2:$A$9,0)),"Not Found")</f>
        <v>Tamil Nadu</v>
      </c>
      <c r="P932" s="5">
        <f>IFERROR(INDEX(Targets!$B$2:$B$9,MATCH($B932,Targets!$A$2:$A$9,0)),0)</f>
        <v>1910000</v>
      </c>
      <c r="Q932" s="5" t="str">
        <f t="shared" si="28"/>
        <v>No</v>
      </c>
      <c r="R932" s="5" t="str">
        <f t="shared" si="29"/>
        <v>Dec</v>
      </c>
    </row>
    <row r="933" spans="1:18" ht="15" customHeight="1" x14ac:dyDescent="0.3">
      <c r="A933" s="5" t="str">
        <f>Sales_Data!A930</f>
        <v>2025-12-03</v>
      </c>
      <c r="B933" s="5" t="str">
        <f>Sales_Data!B930</f>
        <v>Pune East</v>
      </c>
      <c r="C933" s="5" t="str">
        <f>Sales_Data!C930</f>
        <v>E022</v>
      </c>
      <c r="D933" s="5" t="str">
        <f>IFERROR(INDEX(Employee_Master!$B$2:$B$44,MATCH($C933,Employee_Master!$A$2:$A$44,0)),"Not Found")</f>
        <v>Cindy Green PhD</v>
      </c>
      <c r="E933" s="5" t="str">
        <f>IFERROR(INDEX(Employee_Master!$C$2:$C$44,MATCH($C933,Employee_Master!$A$2:$A$44,0)),"Not Found")</f>
        <v>Customer Support</v>
      </c>
      <c r="F933" s="5" t="str">
        <f>IFERROR(INDEX(Employee_Master!$D$2:$D$44,MATCH($C933,Employee_Master!$A$2:$A$44,0)),"Not Found")</f>
        <v>Jordan Matthews</v>
      </c>
      <c r="G933" s="5" t="str">
        <f>IFERROR(INDEX(Employee_Master!$E$2:$E$44,MATCH($C933,Employee_Master!$A$2:$A$44,0)),"Not Found")</f>
        <v>West</v>
      </c>
      <c r="H933" s="5" t="str">
        <f>Sales_Data!D930</f>
        <v>P002 - Smart Watch</v>
      </c>
      <c r="I933" s="5" t="str">
        <f>IFERROR(INDEX(Product_Master!$B$2:$B$30,MATCH($H933,Product_Master!$A$2:$A$30,0)),"Invalid Product Code")</f>
        <v>Electronics</v>
      </c>
      <c r="J933" s="5">
        <f>IFERROR(INDEX(Product_Master!$C$2:$C$30,MATCH($H933,Product_Master!$A$2:$A$30,0)),0)</f>
        <v>403.33</v>
      </c>
      <c r="K933" s="5">
        <f>Sales_Data!E930</f>
        <v>5</v>
      </c>
      <c r="L933" s="5">
        <f>Sales_Data!F930</f>
        <v>1867.38</v>
      </c>
      <c r="M933" s="5">
        <f>Sales_Data!G930</f>
        <v>1729.96</v>
      </c>
      <c r="N933" s="5" t="str">
        <f>IFERROR(INDEX(Branch_Master!$B$2:$B$9,MATCH($B933,Branch_Master!$A$2:$A$9,0)),"Not Found")</f>
        <v>Pune</v>
      </c>
      <c r="O933" s="5" t="str">
        <f>IFERROR(INDEX(Branch_Master!$C$2:$C$9,MATCH($B933,Branch_Master!$A$2:$A$9,0)),"Not Found")</f>
        <v>Maharashtra</v>
      </c>
      <c r="P933" s="5">
        <f>IFERROR(INDEX(Targets!$B$2:$B$9,MATCH($B933,Targets!$A$2:$A$9,0)),0)</f>
        <v>1250000</v>
      </c>
      <c r="Q933" s="5" t="str">
        <f t="shared" si="28"/>
        <v>Yes</v>
      </c>
      <c r="R933" s="5" t="str">
        <f t="shared" si="29"/>
        <v>Dec</v>
      </c>
    </row>
    <row r="934" spans="1:18" ht="15" customHeight="1" x14ac:dyDescent="0.3">
      <c r="A934" s="5" t="str">
        <f>Sales_Data!A931</f>
        <v>2025-12-03</v>
      </c>
      <c r="B934" s="5" t="str">
        <f>Sales_Data!B931</f>
        <v>Delhi NCR</v>
      </c>
      <c r="C934" s="5" t="str">
        <f>Sales_Data!C931</f>
        <v>E013</v>
      </c>
      <c r="D934" s="5" t="str">
        <f>IFERROR(INDEX(Employee_Master!$B$2:$B$44,MATCH($C934,Employee_Master!$A$2:$A$44,0)),"Not Found")</f>
        <v>Norma Wilson</v>
      </c>
      <c r="E934" s="5" t="str">
        <f>IFERROR(INDEX(Employee_Master!$C$2:$C$44,MATCH($C934,Employee_Master!$A$2:$A$44,0)),"Not Found")</f>
        <v>Customer Support</v>
      </c>
      <c r="F934" s="5" t="str">
        <f>IFERROR(INDEX(Employee_Master!$D$2:$D$44,MATCH($C934,Employee_Master!$A$2:$A$44,0)),"Not Found")</f>
        <v>William Oconnell</v>
      </c>
      <c r="G934" s="5" t="str">
        <f>IFERROR(INDEX(Employee_Master!$E$2:$E$44,MATCH($C934,Employee_Master!$A$2:$A$44,0)),"Not Found")</f>
        <v>North</v>
      </c>
      <c r="H934" s="5" t="str">
        <f>Sales_Data!D931</f>
        <v>P016 - Dinner Set</v>
      </c>
      <c r="I934" s="5" t="str">
        <f>IFERROR(INDEX(Product_Master!$B$2:$B$30,MATCH($H934,Product_Master!$A$2:$A$30,0)),"Invalid Product Code")</f>
        <v>Home &amp; Kitchen</v>
      </c>
      <c r="J934" s="5">
        <f>IFERROR(INDEX(Product_Master!$C$2:$C$30,MATCH($H934,Product_Master!$A$2:$A$30,0)),0)</f>
        <v>225.06</v>
      </c>
      <c r="K934" s="5">
        <f>Sales_Data!E931</f>
        <v>4</v>
      </c>
      <c r="L934" s="5">
        <f>Sales_Data!F931</f>
        <v>899.33</v>
      </c>
      <c r="M934" s="5">
        <f>Sales_Data!G931</f>
        <v>939.41</v>
      </c>
      <c r="N934" s="5" t="str">
        <f>IFERROR(INDEX(Branch_Master!$B$2:$B$9,MATCH($B934,Branch_Master!$A$2:$A$9,0)),"Not Found")</f>
        <v>New Delhi</v>
      </c>
      <c r="O934" s="5" t="str">
        <f>IFERROR(INDEX(Branch_Master!$C$2:$C$9,MATCH($B934,Branch_Master!$A$2:$A$9,0)),"Not Found")</f>
        <v>Delhi</v>
      </c>
      <c r="P934" s="5">
        <f>IFERROR(INDEX(Targets!$B$2:$B$9,MATCH($B934,Targets!$A$2:$A$9,0)),0)</f>
        <v>2070000</v>
      </c>
      <c r="Q934" s="5" t="str">
        <f t="shared" si="28"/>
        <v>No</v>
      </c>
      <c r="R934" s="5" t="str">
        <f t="shared" si="29"/>
        <v>Dec</v>
      </c>
    </row>
    <row r="935" spans="1:18" ht="15" customHeight="1" x14ac:dyDescent="0.3">
      <c r="A935" s="5" t="str">
        <f>Sales_Data!A932</f>
        <v>2025-12-03</v>
      </c>
      <c r="B935" s="5" t="str">
        <f>Sales_Data!B932</f>
        <v>Chennai South</v>
      </c>
      <c r="C935" s="5" t="str">
        <f>Sales_Data!C932</f>
        <v>E032</v>
      </c>
      <c r="D935" s="5" t="str">
        <f>IFERROR(INDEX(Employee_Master!$B$2:$B$44,MATCH($C935,Employee_Master!$A$2:$A$44,0)),"Not Found")</f>
        <v>Victor Allen</v>
      </c>
      <c r="E935" s="5" t="str">
        <f>IFERROR(INDEX(Employee_Master!$C$2:$C$44,MATCH($C935,Employee_Master!$A$2:$A$44,0)),"Not Found")</f>
        <v>Operations</v>
      </c>
      <c r="F935" s="5" t="str">
        <f>IFERROR(INDEX(Employee_Master!$D$2:$D$44,MATCH($C935,Employee_Master!$A$2:$A$44,0)),"Not Found")</f>
        <v>Robert Steele</v>
      </c>
      <c r="G935" s="5" t="str">
        <f>IFERROR(INDEX(Employee_Master!$E$2:$E$44,MATCH($C935,Employee_Master!$A$2:$A$44,0)),"Not Found")</f>
        <v>South</v>
      </c>
      <c r="H935" s="5" t="str">
        <f>Sales_Data!D932</f>
        <v>P022 - Face Wash</v>
      </c>
      <c r="I935" s="5" t="str">
        <f>IFERROR(INDEX(Product_Master!$B$2:$B$30,MATCH($H935,Product_Master!$A$2:$A$30,0)),"Invalid Product Code")</f>
        <v>Beauty</v>
      </c>
      <c r="J935" s="5">
        <f>IFERROR(INDEX(Product_Master!$C$2:$C$30,MATCH($H935,Product_Master!$A$2:$A$30,0)),0)</f>
        <v>396.75</v>
      </c>
      <c r="K935" s="5">
        <f>Sales_Data!E932</f>
        <v>1</v>
      </c>
      <c r="L935" s="5">
        <f>Sales_Data!F932</f>
        <v>435.94</v>
      </c>
      <c r="M935" s="5">
        <f>Sales_Data!G932</f>
        <v>418.34</v>
      </c>
      <c r="N935" s="5" t="str">
        <f>IFERROR(INDEX(Branch_Master!$B$2:$B$9,MATCH($B935,Branch_Master!$A$2:$A$9,0)),"Not Found")</f>
        <v>Chennai</v>
      </c>
      <c r="O935" s="5" t="str">
        <f>IFERROR(INDEX(Branch_Master!$C$2:$C$9,MATCH($B935,Branch_Master!$A$2:$A$9,0)),"Not Found")</f>
        <v>Tamil Nadu</v>
      </c>
      <c r="P935" s="5">
        <f>IFERROR(INDEX(Targets!$B$2:$B$9,MATCH($B935,Targets!$A$2:$A$9,0)),0)</f>
        <v>1910000</v>
      </c>
      <c r="Q935" s="5" t="str">
        <f t="shared" si="28"/>
        <v>Yes</v>
      </c>
      <c r="R935" s="5" t="str">
        <f t="shared" si="29"/>
        <v>Dec</v>
      </c>
    </row>
    <row r="936" spans="1:18" ht="15" customHeight="1" x14ac:dyDescent="0.3">
      <c r="A936" s="5" t="str">
        <f>Sales_Data!A933</f>
        <v>2025-12-03</v>
      </c>
      <c r="B936" s="5" t="str">
        <f>Sales_Data!B933</f>
        <v>Kolkata Central</v>
      </c>
      <c r="C936" s="5" t="str">
        <f>Sales_Data!C933</f>
        <v>E024</v>
      </c>
      <c r="D936" s="5" t="str">
        <f>IFERROR(INDEX(Employee_Master!$B$2:$B$44,MATCH($C936,Employee_Master!$A$2:$A$44,0)),"Not Found")</f>
        <v>Kevin Sanchez</v>
      </c>
      <c r="E936" s="5" t="str">
        <f>IFERROR(INDEX(Employee_Master!$C$2:$C$44,MATCH($C936,Employee_Master!$A$2:$A$44,0)),"Not Found")</f>
        <v>Sales</v>
      </c>
      <c r="F936" s="5" t="str">
        <f>IFERROR(INDEX(Employee_Master!$D$2:$D$44,MATCH($C936,Employee_Master!$A$2:$A$44,0)),"Not Found")</f>
        <v>Lisa Moore</v>
      </c>
      <c r="G936" s="5" t="str">
        <f>IFERROR(INDEX(Employee_Master!$E$2:$E$44,MATCH($C936,Employee_Master!$A$2:$A$44,0)),"Not Found")</f>
        <v>East</v>
      </c>
      <c r="H936" s="5" t="str">
        <f>Sales_Data!D933</f>
        <v>P029 - Dumbbell Set 10kg</v>
      </c>
      <c r="I936" s="5" t="str">
        <f>IFERROR(INDEX(Product_Master!$B$2:$B$30,MATCH($H936,Product_Master!$A$2:$A$30,0)),"Invalid Product Code")</f>
        <v>Sports</v>
      </c>
      <c r="J936" s="5">
        <f>IFERROR(INDEX(Product_Master!$C$2:$C$30,MATCH($H936,Product_Master!$A$2:$A$30,0)),0)</f>
        <v>435</v>
      </c>
      <c r="K936" s="5">
        <f>Sales_Data!E933</f>
        <v>2</v>
      </c>
      <c r="L936" s="5">
        <f>Sales_Data!F933</f>
        <v>956.87</v>
      </c>
      <c r="M936" s="5">
        <f>Sales_Data!G933</f>
        <v>930.24</v>
      </c>
      <c r="N936" s="5" t="str">
        <f>IFERROR(INDEX(Branch_Master!$B$2:$B$9,MATCH($B936,Branch_Master!$A$2:$A$9,0)),"Not Found")</f>
        <v>Kolkata</v>
      </c>
      <c r="O936" s="5" t="str">
        <f>IFERROR(INDEX(Branch_Master!$C$2:$C$9,MATCH($B936,Branch_Master!$A$2:$A$9,0)),"Not Found")</f>
        <v>West Bengal</v>
      </c>
      <c r="P936" s="5">
        <f>IFERROR(INDEX(Targets!$B$2:$B$9,MATCH($B936,Targets!$A$2:$A$9,0)),0)</f>
        <v>1910000</v>
      </c>
      <c r="Q936" s="5" t="str">
        <f t="shared" si="28"/>
        <v>Yes</v>
      </c>
      <c r="R936" s="5" t="str">
        <f t="shared" si="29"/>
        <v>Dec</v>
      </c>
    </row>
    <row r="937" spans="1:18" ht="15" customHeight="1" x14ac:dyDescent="0.3">
      <c r="A937" s="5" t="str">
        <f>Sales_Data!A934</f>
        <v>2025-12-03</v>
      </c>
      <c r="B937" s="5" t="str">
        <f>Sales_Data!B934</f>
        <v>Chennai South</v>
      </c>
      <c r="C937" s="5" t="str">
        <f>Sales_Data!C934</f>
        <v>E019</v>
      </c>
      <c r="D937" s="5" t="str">
        <f>IFERROR(INDEX(Employee_Master!$B$2:$B$44,MATCH($C937,Employee_Master!$A$2:$A$44,0)),"Not Found")</f>
        <v>Regina Torres</v>
      </c>
      <c r="E937" s="5" t="str">
        <f>IFERROR(INDEX(Employee_Master!$C$2:$C$44,MATCH($C937,Employee_Master!$A$2:$A$44,0)),"Not Found")</f>
        <v>Operations</v>
      </c>
      <c r="F937" s="5" t="str">
        <f>IFERROR(INDEX(Employee_Master!$D$2:$D$44,MATCH($C937,Employee_Master!$A$2:$A$44,0)),"Not Found")</f>
        <v>Robert Steele</v>
      </c>
      <c r="G937" s="5" t="str">
        <f>IFERROR(INDEX(Employee_Master!$E$2:$E$44,MATCH($C937,Employee_Master!$A$2:$A$44,0)),"Not Found")</f>
        <v>South</v>
      </c>
      <c r="H937" s="5" t="str">
        <f>Sales_Data!D934</f>
        <v>P023 - Sunscreen SPF50</v>
      </c>
      <c r="I937" s="5" t="str">
        <f>IFERROR(INDEX(Product_Master!$B$2:$B$30,MATCH($H937,Product_Master!$A$2:$A$30,0)),"Invalid Product Code")</f>
        <v>Beauty</v>
      </c>
      <c r="J937" s="5">
        <f>IFERROR(INDEX(Product_Master!$C$2:$C$30,MATCH($H937,Product_Master!$A$2:$A$30,0)),0)</f>
        <v>818.95</v>
      </c>
      <c r="K937" s="5">
        <f>Sales_Data!E934</f>
        <v>11</v>
      </c>
      <c r="L937" s="5">
        <f>Sales_Data!F934</f>
        <v>8441.4</v>
      </c>
      <c r="M937" s="5">
        <f>Sales_Data!G934</f>
        <v>8995.2099999999991</v>
      </c>
      <c r="N937" s="5" t="str">
        <f>IFERROR(INDEX(Branch_Master!$B$2:$B$9,MATCH($B937,Branch_Master!$A$2:$A$9,0)),"Not Found")</f>
        <v>Chennai</v>
      </c>
      <c r="O937" s="5" t="str">
        <f>IFERROR(INDEX(Branch_Master!$C$2:$C$9,MATCH($B937,Branch_Master!$A$2:$A$9,0)),"Not Found")</f>
        <v>Tamil Nadu</v>
      </c>
      <c r="P937" s="5">
        <f>IFERROR(INDEX(Targets!$B$2:$B$9,MATCH($B937,Targets!$A$2:$A$9,0)),0)</f>
        <v>1910000</v>
      </c>
      <c r="Q937" s="5" t="str">
        <f t="shared" si="28"/>
        <v>No</v>
      </c>
      <c r="R937" s="5" t="str">
        <f t="shared" si="29"/>
        <v>Dec</v>
      </c>
    </row>
    <row r="938" spans="1:18" ht="15" customHeight="1" x14ac:dyDescent="0.3">
      <c r="A938" s="5" t="str">
        <f>Sales_Data!A935</f>
        <v>2025-12-03</v>
      </c>
      <c r="B938" s="5" t="str">
        <f>Sales_Data!B935</f>
        <v>Kolkata Central</v>
      </c>
      <c r="C938" s="5" t="str">
        <f>Sales_Data!C935</f>
        <v>E029</v>
      </c>
      <c r="D938" s="5" t="str">
        <f>IFERROR(INDEX(Employee_Master!$B$2:$B$44,MATCH($C938,Employee_Master!$A$2:$A$44,0)),"Not Found")</f>
        <v>Patrick Shepard</v>
      </c>
      <c r="E938" s="5" t="str">
        <f>IFERROR(INDEX(Employee_Master!$C$2:$C$44,MATCH($C938,Employee_Master!$A$2:$A$44,0)),"Not Found")</f>
        <v>Sales</v>
      </c>
      <c r="F938" s="5" t="str">
        <f>IFERROR(INDEX(Employee_Master!$D$2:$D$44,MATCH($C938,Employee_Master!$A$2:$A$44,0)),"Not Found")</f>
        <v>Lisa Moore</v>
      </c>
      <c r="G938" s="5" t="str">
        <f>IFERROR(INDEX(Employee_Master!$E$2:$E$44,MATCH($C938,Employee_Master!$A$2:$A$44,0)),"Not Found")</f>
        <v>East</v>
      </c>
      <c r="H938" s="5" t="str">
        <f>Sales_Data!D935</f>
        <v>P013 - Mixer Grinder</v>
      </c>
      <c r="I938" s="5" t="str">
        <f>IFERROR(INDEX(Product_Master!$B$2:$B$30,MATCH($H938,Product_Master!$A$2:$A$30,0)),"Invalid Product Code")</f>
        <v>Home &amp; Kitchen</v>
      </c>
      <c r="J938" s="5">
        <f>IFERROR(INDEX(Product_Master!$C$2:$C$30,MATCH($H938,Product_Master!$A$2:$A$30,0)),0)</f>
        <v>798.53</v>
      </c>
      <c r="K938" s="5">
        <f>Sales_Data!E935</f>
        <v>12</v>
      </c>
      <c r="L938" s="5">
        <f>Sales_Data!F935</f>
        <v>8755.85</v>
      </c>
      <c r="M938" s="5">
        <f>Sales_Data!G935</f>
        <v>9785.2800000000007</v>
      </c>
      <c r="N938" s="5" t="str">
        <f>IFERROR(INDEX(Branch_Master!$B$2:$B$9,MATCH($B938,Branch_Master!$A$2:$A$9,0)),"Not Found")</f>
        <v>Kolkata</v>
      </c>
      <c r="O938" s="5" t="str">
        <f>IFERROR(INDEX(Branch_Master!$C$2:$C$9,MATCH($B938,Branch_Master!$A$2:$A$9,0)),"Not Found")</f>
        <v>West Bengal</v>
      </c>
      <c r="P938" s="5">
        <f>IFERROR(INDEX(Targets!$B$2:$B$9,MATCH($B938,Targets!$A$2:$A$9,0)),0)</f>
        <v>1910000</v>
      </c>
      <c r="Q938" s="5" t="str">
        <f t="shared" si="28"/>
        <v>No</v>
      </c>
      <c r="R938" s="5" t="str">
        <f t="shared" si="29"/>
        <v>Dec</v>
      </c>
    </row>
    <row r="939" spans="1:18" ht="15" customHeight="1" x14ac:dyDescent="0.3">
      <c r="A939" s="5" t="str">
        <f>Sales_Data!A936</f>
        <v>2025-12-04</v>
      </c>
      <c r="B939" s="5" t="str">
        <f>Sales_Data!B936</f>
        <v>Bangalore North</v>
      </c>
      <c r="C939" s="5" t="str">
        <f>Sales_Data!C936</f>
        <v>E006</v>
      </c>
      <c r="D939" s="5" t="str">
        <f>IFERROR(INDEX(Employee_Master!$B$2:$B$44,MATCH($C939,Employee_Master!$A$2:$A$44,0)),"Not Found")</f>
        <v>Dylan Jones</v>
      </c>
      <c r="E939" s="5" t="str">
        <f>IFERROR(INDEX(Employee_Master!$C$2:$C$44,MATCH($C939,Employee_Master!$A$2:$A$44,0)),"Not Found")</f>
        <v>Sales</v>
      </c>
      <c r="F939" s="5" t="str">
        <f>IFERROR(INDEX(Employee_Master!$D$2:$D$44,MATCH($C939,Employee_Master!$A$2:$A$44,0)),"Not Found")</f>
        <v>Jose Soto</v>
      </c>
      <c r="G939" s="5" t="str">
        <f>IFERROR(INDEX(Employee_Master!$E$2:$E$44,MATCH($C939,Employee_Master!$A$2:$A$44,0)),"Not Found")</f>
        <v>South</v>
      </c>
      <c r="H939" s="5" t="str">
        <f>Sales_Data!D936</f>
        <v>P025 - Lipstick Set</v>
      </c>
      <c r="I939" s="5" t="str">
        <f>IFERROR(INDEX(Product_Master!$B$2:$B$30,MATCH($H939,Product_Master!$A$2:$A$30,0)),"Invalid Product Code")</f>
        <v>Beauty</v>
      </c>
      <c r="J939" s="5">
        <f>IFERROR(INDEX(Product_Master!$C$2:$C$30,MATCH($H939,Product_Master!$A$2:$A$30,0)),0)</f>
        <v>765.9</v>
      </c>
      <c r="K939" s="5">
        <f>Sales_Data!E936</f>
        <v>11</v>
      </c>
      <c r="L939" s="5">
        <f>Sales_Data!F936</f>
        <v>9010.2000000000007</v>
      </c>
      <c r="M939" s="5">
        <f>Sales_Data!G936</f>
        <v>9452.18</v>
      </c>
      <c r="N939" s="5" t="str">
        <f>IFERROR(INDEX(Branch_Master!$B$2:$B$9,MATCH($B939,Branch_Master!$A$2:$A$9,0)),"Not Found")</f>
        <v>Bangalore</v>
      </c>
      <c r="O939" s="5" t="str">
        <f>IFERROR(INDEX(Branch_Master!$C$2:$C$9,MATCH($B939,Branch_Master!$A$2:$A$9,0)),"Not Found")</f>
        <v>Karnataka</v>
      </c>
      <c r="P939" s="5">
        <f>IFERROR(INDEX(Targets!$B$2:$B$9,MATCH($B939,Targets!$A$2:$A$9,0)),0)</f>
        <v>900000</v>
      </c>
      <c r="Q939" s="5" t="str">
        <f t="shared" si="28"/>
        <v>No</v>
      </c>
      <c r="R939" s="5" t="str">
        <f t="shared" si="29"/>
        <v>Dec</v>
      </c>
    </row>
    <row r="940" spans="1:18" ht="15" customHeight="1" x14ac:dyDescent="0.3">
      <c r="A940" s="5" t="str">
        <f>Sales_Data!A937</f>
        <v>2025-12-04</v>
      </c>
      <c r="B940" s="5" t="str">
        <f>Sales_Data!B937</f>
        <v>Pune East</v>
      </c>
      <c r="C940" s="5" t="str">
        <f>Sales_Data!C937</f>
        <v>E022</v>
      </c>
      <c r="D940" s="5" t="str">
        <f>IFERROR(INDEX(Employee_Master!$B$2:$B$44,MATCH($C940,Employee_Master!$A$2:$A$44,0)),"Not Found")</f>
        <v>Cindy Green PhD</v>
      </c>
      <c r="E940" s="5" t="str">
        <f>IFERROR(INDEX(Employee_Master!$C$2:$C$44,MATCH($C940,Employee_Master!$A$2:$A$44,0)),"Not Found")</f>
        <v>Customer Support</v>
      </c>
      <c r="F940" s="5" t="str">
        <f>IFERROR(INDEX(Employee_Master!$D$2:$D$44,MATCH($C940,Employee_Master!$A$2:$A$44,0)),"Not Found")</f>
        <v>Jordan Matthews</v>
      </c>
      <c r="G940" s="5" t="str">
        <f>IFERROR(INDEX(Employee_Master!$E$2:$E$44,MATCH($C940,Employee_Master!$A$2:$A$44,0)),"Not Found")</f>
        <v>West</v>
      </c>
      <c r="H940" s="5" t="str">
        <f>Sales_Data!D937</f>
        <v>P016 - Dinner Set</v>
      </c>
      <c r="I940" s="5" t="str">
        <f>IFERROR(INDEX(Product_Master!$B$2:$B$30,MATCH($H940,Product_Master!$A$2:$A$30,0)),"Invalid Product Code")</f>
        <v>Home &amp; Kitchen</v>
      </c>
      <c r="J940" s="5">
        <f>IFERROR(INDEX(Product_Master!$C$2:$C$30,MATCH($H940,Product_Master!$A$2:$A$30,0)),0)</f>
        <v>225.06</v>
      </c>
      <c r="K940" s="5">
        <f>Sales_Data!E937</f>
        <v>10</v>
      </c>
      <c r="L940" s="5">
        <f>Sales_Data!F937</f>
        <v>2216.15</v>
      </c>
      <c r="M940" s="5">
        <f>Sales_Data!G937</f>
        <v>2223.19</v>
      </c>
      <c r="N940" s="5" t="str">
        <f>IFERROR(INDEX(Branch_Master!$B$2:$B$9,MATCH($B940,Branch_Master!$A$2:$A$9,0)),"Not Found")</f>
        <v>Pune</v>
      </c>
      <c r="O940" s="5" t="str">
        <f>IFERROR(INDEX(Branch_Master!$C$2:$C$9,MATCH($B940,Branch_Master!$A$2:$A$9,0)),"Not Found")</f>
        <v>Maharashtra</v>
      </c>
      <c r="P940" s="5">
        <f>IFERROR(INDEX(Targets!$B$2:$B$9,MATCH($B940,Targets!$A$2:$A$9,0)),0)</f>
        <v>1250000</v>
      </c>
      <c r="Q940" s="5" t="str">
        <f t="shared" si="28"/>
        <v>No</v>
      </c>
      <c r="R940" s="5" t="str">
        <f t="shared" si="29"/>
        <v>Dec</v>
      </c>
    </row>
    <row r="941" spans="1:18" ht="15" customHeight="1" x14ac:dyDescent="0.3">
      <c r="A941" s="5" t="str">
        <f>Sales_Data!A938</f>
        <v>2025-12-05</v>
      </c>
      <c r="B941" s="5" t="str">
        <f>Sales_Data!B938</f>
        <v>Ahmedabad West</v>
      </c>
      <c r="C941" s="5" t="str">
        <f>Sales_Data!C938</f>
        <v>E002</v>
      </c>
      <c r="D941" s="5" t="str">
        <f>IFERROR(INDEX(Employee_Master!$B$2:$B$44,MATCH($C941,Employee_Master!$A$2:$A$44,0)),"Not Found")</f>
        <v>Jeremiah Kirby</v>
      </c>
      <c r="E941" s="5" t="str">
        <f>IFERROR(INDEX(Employee_Master!$C$2:$C$44,MATCH($C941,Employee_Master!$A$2:$A$44,0)),"Not Found")</f>
        <v>Marketing</v>
      </c>
      <c r="F941" s="5" t="str">
        <f>IFERROR(INDEX(Employee_Master!$D$2:$D$44,MATCH($C941,Employee_Master!$A$2:$A$44,0)),"Not Found")</f>
        <v>Joseph Brown</v>
      </c>
      <c r="G941" s="5" t="str">
        <f>IFERROR(INDEX(Employee_Master!$E$2:$E$44,MATCH($C941,Employee_Master!$A$2:$A$44,0)),"Not Found")</f>
        <v>West</v>
      </c>
      <c r="H941" s="5" t="str">
        <f>Sales_Data!D938</f>
        <v>P023 - Sunscreen SPF50</v>
      </c>
      <c r="I941" s="5" t="str">
        <f>IFERROR(INDEX(Product_Master!$B$2:$B$30,MATCH($H941,Product_Master!$A$2:$A$30,0)),"Invalid Product Code")</f>
        <v>Beauty</v>
      </c>
      <c r="J941" s="5">
        <f>IFERROR(INDEX(Product_Master!$C$2:$C$30,MATCH($H941,Product_Master!$A$2:$A$30,0)),0)</f>
        <v>818.95</v>
      </c>
      <c r="K941" s="5">
        <f>Sales_Data!E938</f>
        <v>8</v>
      </c>
      <c r="L941" s="5">
        <f>Sales_Data!F938</f>
        <v>7124.49</v>
      </c>
      <c r="M941" s="5">
        <f>Sales_Data!G938</f>
        <v>5978.91</v>
      </c>
      <c r="N941" s="5" t="str">
        <f>IFERROR(INDEX(Branch_Master!$B$2:$B$9,MATCH($B941,Branch_Master!$A$2:$A$9,0)),"Not Found")</f>
        <v>Ahmedabad</v>
      </c>
      <c r="O941" s="5" t="str">
        <f>IFERROR(INDEX(Branch_Master!$C$2:$C$9,MATCH($B941,Branch_Master!$A$2:$A$9,0)),"Not Found")</f>
        <v>Gujarat</v>
      </c>
      <c r="P941" s="5">
        <f>IFERROR(INDEX(Targets!$B$2:$B$9,MATCH($B941,Targets!$A$2:$A$9,0)),0)</f>
        <v>1590000</v>
      </c>
      <c r="Q941" s="5" t="str">
        <f t="shared" si="28"/>
        <v>Yes</v>
      </c>
      <c r="R941" s="5" t="str">
        <f t="shared" si="29"/>
        <v>Dec</v>
      </c>
    </row>
    <row r="942" spans="1:18" ht="15" customHeight="1" x14ac:dyDescent="0.3">
      <c r="A942" s="5" t="str">
        <f>Sales_Data!A939</f>
        <v>2025-12-06</v>
      </c>
      <c r="B942" s="5" t="str">
        <f>Sales_Data!B939</f>
        <v>Ahmedabad West</v>
      </c>
      <c r="C942" s="5" t="str">
        <f>Sales_Data!C939</f>
        <v>E008</v>
      </c>
      <c r="D942" s="5" t="str">
        <f>IFERROR(INDEX(Employee_Master!$B$2:$B$44,MATCH($C942,Employee_Master!$A$2:$A$44,0)),"Not Found")</f>
        <v>Tyler Boone</v>
      </c>
      <c r="E942" s="5" t="str">
        <f>IFERROR(INDEX(Employee_Master!$C$2:$C$44,MATCH($C942,Employee_Master!$A$2:$A$44,0)),"Not Found")</f>
        <v>Marketing</v>
      </c>
      <c r="F942" s="5" t="str">
        <f>IFERROR(INDEX(Employee_Master!$D$2:$D$44,MATCH($C942,Employee_Master!$A$2:$A$44,0)),"Not Found")</f>
        <v>Joseph Brown</v>
      </c>
      <c r="G942" s="5" t="str">
        <f>IFERROR(INDEX(Employee_Master!$E$2:$E$44,MATCH($C942,Employee_Master!$A$2:$A$44,0)),"Not Found")</f>
        <v>West</v>
      </c>
      <c r="H942" s="5" t="str">
        <f>Sales_Data!D939</f>
        <v>P009 - Formal Shirt</v>
      </c>
      <c r="I942" s="5" t="str">
        <f>IFERROR(INDEX(Product_Master!$B$2:$B$30,MATCH($H942,Product_Master!$A$2:$A$30,0)),"Invalid Product Code")</f>
        <v>Apparel</v>
      </c>
      <c r="J942" s="5">
        <f>IFERROR(INDEX(Product_Master!$C$2:$C$30,MATCH($H942,Product_Master!$A$2:$A$30,0)),0)</f>
        <v>661.65</v>
      </c>
      <c r="K942" s="5">
        <f>Sales_Data!E939</f>
        <v>8</v>
      </c>
      <c r="L942" s="5">
        <f>Sales_Data!F939</f>
        <v>5371.76</v>
      </c>
      <c r="M942" s="5">
        <f>Sales_Data!G939</f>
        <v>5502.63</v>
      </c>
      <c r="N942" s="5" t="str">
        <f>IFERROR(INDEX(Branch_Master!$B$2:$B$9,MATCH($B942,Branch_Master!$A$2:$A$9,0)),"Not Found")</f>
        <v>Ahmedabad</v>
      </c>
      <c r="O942" s="5" t="str">
        <f>IFERROR(INDEX(Branch_Master!$C$2:$C$9,MATCH($B942,Branch_Master!$A$2:$A$9,0)),"Not Found")</f>
        <v>Gujarat</v>
      </c>
      <c r="P942" s="5">
        <f>IFERROR(INDEX(Targets!$B$2:$B$9,MATCH($B942,Targets!$A$2:$A$9,0)),0)</f>
        <v>1590000</v>
      </c>
      <c r="Q942" s="5" t="str">
        <f t="shared" si="28"/>
        <v>No</v>
      </c>
      <c r="R942" s="5" t="str">
        <f t="shared" si="29"/>
        <v>Dec</v>
      </c>
    </row>
    <row r="943" spans="1:18" ht="15" customHeight="1" x14ac:dyDescent="0.3">
      <c r="A943" s="5" t="str">
        <f>Sales_Data!A940</f>
        <v>2025-12-06</v>
      </c>
      <c r="B943" s="5" t="str">
        <f>Sales_Data!B940</f>
        <v>Chennai South</v>
      </c>
      <c r="C943" s="5" t="str">
        <f>Sales_Data!C940</f>
        <v>E015</v>
      </c>
      <c r="D943" s="5" t="str">
        <f>IFERROR(INDEX(Employee_Master!$B$2:$B$44,MATCH($C943,Employee_Master!$A$2:$A$44,0)),"Not Found")</f>
        <v>Cassandra Hansen</v>
      </c>
      <c r="E943" s="5" t="str">
        <f>IFERROR(INDEX(Employee_Master!$C$2:$C$44,MATCH($C943,Employee_Master!$A$2:$A$44,0)),"Not Found")</f>
        <v>Customer Support</v>
      </c>
      <c r="F943" s="5" t="str">
        <f>IFERROR(INDEX(Employee_Master!$D$2:$D$44,MATCH($C943,Employee_Master!$A$2:$A$44,0)),"Not Found")</f>
        <v>Robert Steele</v>
      </c>
      <c r="G943" s="5" t="str">
        <f>IFERROR(INDEX(Employee_Master!$E$2:$E$44,MATCH($C943,Employee_Master!$A$2:$A$44,0)),"Not Found")</f>
        <v>South</v>
      </c>
      <c r="H943" s="5" t="str">
        <f>Sales_Data!D940</f>
        <v>P001 - Wireless Earbuds</v>
      </c>
      <c r="I943" s="5" t="str">
        <f>IFERROR(INDEX(Product_Master!$B$2:$B$30,MATCH($H943,Product_Master!$A$2:$A$30,0)),"Invalid Product Code")</f>
        <v>Electronics</v>
      </c>
      <c r="J943" s="5">
        <f>IFERROR(INDEX(Product_Master!$C$2:$C$30,MATCH($H943,Product_Master!$A$2:$A$30,0)),0)</f>
        <v>1676.76</v>
      </c>
      <c r="K943" s="5">
        <f>Sales_Data!E940</f>
        <v>4</v>
      </c>
      <c r="L943" s="5">
        <f>Sales_Data!F940</f>
        <v>6822.14</v>
      </c>
      <c r="M943" s="5">
        <f>Sales_Data!G940</f>
        <v>6974.64</v>
      </c>
      <c r="N943" s="5" t="str">
        <f>IFERROR(INDEX(Branch_Master!$B$2:$B$9,MATCH($B943,Branch_Master!$A$2:$A$9,0)),"Not Found")</f>
        <v>Chennai</v>
      </c>
      <c r="O943" s="5" t="str">
        <f>IFERROR(INDEX(Branch_Master!$C$2:$C$9,MATCH($B943,Branch_Master!$A$2:$A$9,0)),"Not Found")</f>
        <v>Tamil Nadu</v>
      </c>
      <c r="P943" s="5">
        <f>IFERROR(INDEX(Targets!$B$2:$B$9,MATCH($B943,Targets!$A$2:$A$9,0)),0)</f>
        <v>1910000</v>
      </c>
      <c r="Q943" s="5" t="str">
        <f t="shared" si="28"/>
        <v>No</v>
      </c>
      <c r="R943" s="5" t="str">
        <f t="shared" si="29"/>
        <v>Dec</v>
      </c>
    </row>
    <row r="944" spans="1:18" ht="15" customHeight="1" x14ac:dyDescent="0.3">
      <c r="A944" s="5" t="str">
        <f>Sales_Data!A941</f>
        <v>2025-12-07</v>
      </c>
      <c r="B944" s="5" t="str">
        <f>Sales_Data!B941</f>
        <v>Ahmedabad West</v>
      </c>
      <c r="C944" s="5" t="str">
        <f>Sales_Data!C941</f>
        <v>E008</v>
      </c>
      <c r="D944" s="5" t="str">
        <f>IFERROR(INDEX(Employee_Master!$B$2:$B$44,MATCH($C944,Employee_Master!$A$2:$A$44,0)),"Not Found")</f>
        <v>Tyler Boone</v>
      </c>
      <c r="E944" s="5" t="str">
        <f>IFERROR(INDEX(Employee_Master!$C$2:$C$44,MATCH($C944,Employee_Master!$A$2:$A$44,0)),"Not Found")</f>
        <v>Marketing</v>
      </c>
      <c r="F944" s="5" t="str">
        <f>IFERROR(INDEX(Employee_Master!$D$2:$D$44,MATCH($C944,Employee_Master!$A$2:$A$44,0)),"Not Found")</f>
        <v>Joseph Brown</v>
      </c>
      <c r="G944" s="5" t="str">
        <f>IFERROR(INDEX(Employee_Master!$E$2:$E$44,MATCH($C944,Employee_Master!$A$2:$A$44,0)),"Not Found")</f>
        <v>West</v>
      </c>
      <c r="H944" s="5" t="str">
        <f>Sales_Data!D941</f>
        <v>P027 - Cricket Bat</v>
      </c>
      <c r="I944" s="5" t="str">
        <f>IFERROR(INDEX(Product_Master!$B$2:$B$30,MATCH($H944,Product_Master!$A$2:$A$30,0)),"Invalid Product Code")</f>
        <v>Sports</v>
      </c>
      <c r="J944" s="5">
        <f>IFERROR(INDEX(Product_Master!$C$2:$C$30,MATCH($H944,Product_Master!$A$2:$A$30,0)),0)</f>
        <v>822.7</v>
      </c>
      <c r="K944" s="5">
        <f>Sales_Data!E941</f>
        <v>7</v>
      </c>
      <c r="L944" s="5">
        <f>Sales_Data!F941</f>
        <v>5760.64</v>
      </c>
      <c r="M944" s="5">
        <f>Sales_Data!G941</f>
        <v>5543.73</v>
      </c>
      <c r="N944" s="5" t="str">
        <f>IFERROR(INDEX(Branch_Master!$B$2:$B$9,MATCH($B944,Branch_Master!$A$2:$A$9,0)),"Not Found")</f>
        <v>Ahmedabad</v>
      </c>
      <c r="O944" s="5" t="str">
        <f>IFERROR(INDEX(Branch_Master!$C$2:$C$9,MATCH($B944,Branch_Master!$A$2:$A$9,0)),"Not Found")</f>
        <v>Gujarat</v>
      </c>
      <c r="P944" s="5">
        <f>IFERROR(INDEX(Targets!$B$2:$B$9,MATCH($B944,Targets!$A$2:$A$9,0)),0)</f>
        <v>1590000</v>
      </c>
      <c r="Q944" s="5" t="str">
        <f t="shared" si="28"/>
        <v>Yes</v>
      </c>
      <c r="R944" s="5" t="str">
        <f t="shared" si="29"/>
        <v>Dec</v>
      </c>
    </row>
    <row r="945" spans="1:18" ht="15" customHeight="1" x14ac:dyDescent="0.3">
      <c r="A945" s="5" t="str">
        <f>Sales_Data!A942</f>
        <v>2025-12-07</v>
      </c>
      <c r="B945" s="5" t="str">
        <f>Sales_Data!B942</f>
        <v>Chennai South</v>
      </c>
      <c r="C945" s="5" t="str">
        <f>Sales_Data!C942</f>
        <v>E019</v>
      </c>
      <c r="D945" s="5" t="str">
        <f>IFERROR(INDEX(Employee_Master!$B$2:$B$44,MATCH($C945,Employee_Master!$A$2:$A$44,0)),"Not Found")</f>
        <v>Regina Torres</v>
      </c>
      <c r="E945" s="5" t="str">
        <f>IFERROR(INDEX(Employee_Master!$C$2:$C$44,MATCH($C945,Employee_Master!$A$2:$A$44,0)),"Not Found")</f>
        <v>Operations</v>
      </c>
      <c r="F945" s="5" t="str">
        <f>IFERROR(INDEX(Employee_Master!$D$2:$D$44,MATCH($C945,Employee_Master!$A$2:$A$44,0)),"Not Found")</f>
        <v>Robert Steele</v>
      </c>
      <c r="G945" s="5" t="str">
        <f>IFERROR(INDEX(Employee_Master!$E$2:$E$44,MATCH($C945,Employee_Master!$A$2:$A$44,0)),"Not Found")</f>
        <v>South</v>
      </c>
      <c r="H945" s="5" t="str">
        <f>Sales_Data!D942</f>
        <v>P007 - Cotton T-Shirt</v>
      </c>
      <c r="I945" s="5" t="str">
        <f>IFERROR(INDEX(Product_Master!$B$2:$B$30,MATCH($H945,Product_Master!$A$2:$A$30,0)),"Invalid Product Code")</f>
        <v>Apparel</v>
      </c>
      <c r="J945" s="5">
        <f>IFERROR(INDEX(Product_Master!$C$2:$C$30,MATCH($H945,Product_Master!$A$2:$A$30,0)),0)</f>
        <v>338.44</v>
      </c>
      <c r="K945" s="5">
        <f>Sales_Data!E942</f>
        <v>10</v>
      </c>
      <c r="L945" s="5">
        <f>Sales_Data!F942</f>
        <v>3522.11</v>
      </c>
      <c r="M945" s="5">
        <f>Sales_Data!G942</f>
        <v>3586.74</v>
      </c>
      <c r="N945" s="5" t="str">
        <f>IFERROR(INDEX(Branch_Master!$B$2:$B$9,MATCH($B945,Branch_Master!$A$2:$A$9,0)),"Not Found")</f>
        <v>Chennai</v>
      </c>
      <c r="O945" s="5" t="str">
        <f>IFERROR(INDEX(Branch_Master!$C$2:$C$9,MATCH($B945,Branch_Master!$A$2:$A$9,0)),"Not Found")</f>
        <v>Tamil Nadu</v>
      </c>
      <c r="P945" s="5">
        <f>IFERROR(INDEX(Targets!$B$2:$B$9,MATCH($B945,Targets!$A$2:$A$9,0)),0)</f>
        <v>1910000</v>
      </c>
      <c r="Q945" s="5" t="str">
        <f t="shared" si="28"/>
        <v>No</v>
      </c>
      <c r="R945" s="5" t="str">
        <f t="shared" si="29"/>
        <v>Dec</v>
      </c>
    </row>
    <row r="946" spans="1:18" ht="15" customHeight="1" x14ac:dyDescent="0.3">
      <c r="A946" s="5" t="str">
        <f>Sales_Data!A943</f>
        <v>2025-12-07</v>
      </c>
      <c r="B946" s="5" t="str">
        <f>Sales_Data!B943</f>
        <v>Pune East</v>
      </c>
      <c r="C946" s="5" t="str">
        <f>Sales_Data!C943</f>
        <v>E034</v>
      </c>
      <c r="D946" s="5" t="str">
        <f>IFERROR(INDEX(Employee_Master!$B$2:$B$44,MATCH($C946,Employee_Master!$A$2:$A$44,0)),"Not Found")</f>
        <v>Elaine Thompson</v>
      </c>
      <c r="E946" s="5" t="str">
        <f>IFERROR(INDEX(Employee_Master!$C$2:$C$44,MATCH($C946,Employee_Master!$A$2:$A$44,0)),"Not Found")</f>
        <v>Marketing</v>
      </c>
      <c r="F946" s="5" t="str">
        <f>IFERROR(INDEX(Employee_Master!$D$2:$D$44,MATCH($C946,Employee_Master!$A$2:$A$44,0)),"Not Found")</f>
        <v>Jordan Matthews</v>
      </c>
      <c r="G946" s="5" t="str">
        <f>IFERROR(INDEX(Employee_Master!$E$2:$E$44,MATCH($C946,Employee_Master!$A$2:$A$44,0)),"Not Found")</f>
        <v>West</v>
      </c>
      <c r="H946" s="5" t="str">
        <f>Sales_Data!D943</f>
        <v>P022 - Face Wash</v>
      </c>
      <c r="I946" s="5" t="str">
        <f>IFERROR(INDEX(Product_Master!$B$2:$B$30,MATCH($H946,Product_Master!$A$2:$A$30,0)),"Invalid Product Code")</f>
        <v>Beauty</v>
      </c>
      <c r="J946" s="5">
        <f>IFERROR(INDEX(Product_Master!$C$2:$C$30,MATCH($H946,Product_Master!$A$2:$A$30,0)),0)</f>
        <v>396.75</v>
      </c>
      <c r="K946" s="5">
        <f>Sales_Data!E943</f>
        <v>11</v>
      </c>
      <c r="L946" s="5">
        <f>Sales_Data!F943</f>
        <v>4475.8500000000004</v>
      </c>
      <c r="M946" s="5">
        <f>Sales_Data!G943</f>
        <v>4211.22</v>
      </c>
      <c r="N946" s="5" t="str">
        <f>IFERROR(INDEX(Branch_Master!$B$2:$B$9,MATCH($B946,Branch_Master!$A$2:$A$9,0)),"Not Found")</f>
        <v>Pune</v>
      </c>
      <c r="O946" s="5" t="str">
        <f>IFERROR(INDEX(Branch_Master!$C$2:$C$9,MATCH($B946,Branch_Master!$A$2:$A$9,0)),"Not Found")</f>
        <v>Maharashtra</v>
      </c>
      <c r="P946" s="5">
        <f>IFERROR(INDEX(Targets!$B$2:$B$9,MATCH($B946,Targets!$A$2:$A$9,0)),0)</f>
        <v>1250000</v>
      </c>
      <c r="Q946" s="5" t="str">
        <f t="shared" si="28"/>
        <v>Yes</v>
      </c>
      <c r="R946" s="5" t="str">
        <f t="shared" si="29"/>
        <v>Dec</v>
      </c>
    </row>
    <row r="947" spans="1:18" ht="15" customHeight="1" x14ac:dyDescent="0.3">
      <c r="A947" s="5" t="str">
        <f>Sales_Data!A944</f>
        <v>2025-12-07</v>
      </c>
      <c r="B947" s="5" t="str">
        <f>Sales_Data!B944</f>
        <v>Delhi NCR</v>
      </c>
      <c r="C947" s="5" t="str">
        <f>Sales_Data!C944</f>
        <v>E031</v>
      </c>
      <c r="D947" s="5" t="str">
        <f>IFERROR(INDEX(Employee_Master!$B$2:$B$44,MATCH($C947,Employee_Master!$A$2:$A$44,0)),"Not Found")</f>
        <v>Jennifer Garcia</v>
      </c>
      <c r="E947" s="5" t="str">
        <f>IFERROR(INDEX(Employee_Master!$C$2:$C$44,MATCH($C947,Employee_Master!$A$2:$A$44,0)),"Not Found")</f>
        <v>Sales</v>
      </c>
      <c r="F947" s="5" t="str">
        <f>IFERROR(INDEX(Employee_Master!$D$2:$D$44,MATCH($C947,Employee_Master!$A$2:$A$44,0)),"Not Found")</f>
        <v>William Oconnell</v>
      </c>
      <c r="G947" s="5" t="str">
        <f>IFERROR(INDEX(Employee_Master!$E$2:$E$44,MATCH($C947,Employee_Master!$A$2:$A$44,0)),"Not Found")</f>
        <v>North</v>
      </c>
      <c r="H947" s="5" t="str">
        <f>Sales_Data!D944</f>
        <v>P019 - Organic Honey</v>
      </c>
      <c r="I947" s="5" t="str">
        <f>IFERROR(INDEX(Product_Master!$B$2:$B$30,MATCH($H947,Product_Master!$A$2:$A$30,0)),"Invalid Product Code")</f>
        <v>Grocery</v>
      </c>
      <c r="J947" s="5">
        <f>IFERROR(INDEX(Product_Master!$C$2:$C$30,MATCH($H947,Product_Master!$A$2:$A$30,0)),0)</f>
        <v>482.15</v>
      </c>
      <c r="K947" s="5">
        <f>Sales_Data!E944</f>
        <v>3</v>
      </c>
      <c r="L947" s="5">
        <f>Sales_Data!F944</f>
        <v>1365.96</v>
      </c>
      <c r="M947" s="5">
        <f>Sales_Data!G944</f>
        <v>1553.47</v>
      </c>
      <c r="N947" s="5" t="str">
        <f>IFERROR(INDEX(Branch_Master!$B$2:$B$9,MATCH($B947,Branch_Master!$A$2:$A$9,0)),"Not Found")</f>
        <v>New Delhi</v>
      </c>
      <c r="O947" s="5" t="str">
        <f>IFERROR(INDEX(Branch_Master!$C$2:$C$9,MATCH($B947,Branch_Master!$A$2:$A$9,0)),"Not Found")</f>
        <v>Delhi</v>
      </c>
      <c r="P947" s="5">
        <f>IFERROR(INDEX(Targets!$B$2:$B$9,MATCH($B947,Targets!$A$2:$A$9,0)),0)</f>
        <v>2070000</v>
      </c>
      <c r="Q947" s="5" t="str">
        <f t="shared" si="28"/>
        <v>No</v>
      </c>
      <c r="R947" s="5" t="str">
        <f t="shared" si="29"/>
        <v>Dec</v>
      </c>
    </row>
    <row r="948" spans="1:18" ht="15" customHeight="1" x14ac:dyDescent="0.3">
      <c r="A948" s="5" t="str">
        <f>Sales_Data!A945</f>
        <v>2025-12-08</v>
      </c>
      <c r="B948" s="5" t="str">
        <f>Sales_Data!B945</f>
        <v>Pune East</v>
      </c>
      <c r="C948" s="5" t="str">
        <f>Sales_Data!C945</f>
        <v>E022</v>
      </c>
      <c r="D948" s="5" t="str">
        <f>IFERROR(INDEX(Employee_Master!$B$2:$B$44,MATCH($C948,Employee_Master!$A$2:$A$44,0)),"Not Found")</f>
        <v>Cindy Green PhD</v>
      </c>
      <c r="E948" s="5" t="str">
        <f>IFERROR(INDEX(Employee_Master!$C$2:$C$44,MATCH($C948,Employee_Master!$A$2:$A$44,0)),"Not Found")</f>
        <v>Customer Support</v>
      </c>
      <c r="F948" s="5" t="str">
        <f>IFERROR(INDEX(Employee_Master!$D$2:$D$44,MATCH($C948,Employee_Master!$A$2:$A$44,0)),"Not Found")</f>
        <v>Jordan Matthews</v>
      </c>
      <c r="G948" s="5" t="str">
        <f>IFERROR(INDEX(Employee_Master!$E$2:$E$44,MATCH($C948,Employee_Master!$A$2:$A$44,0)),"Not Found")</f>
        <v>West</v>
      </c>
      <c r="H948" s="5" t="str">
        <f>Sales_Data!D945</f>
        <v>P001 - Wireless Earbuds</v>
      </c>
      <c r="I948" s="5" t="str">
        <f>IFERROR(INDEX(Product_Master!$B$2:$B$30,MATCH($H948,Product_Master!$A$2:$A$30,0)),"Invalid Product Code")</f>
        <v>Electronics</v>
      </c>
      <c r="J948" s="5">
        <f>IFERROR(INDEX(Product_Master!$C$2:$C$30,MATCH($H948,Product_Master!$A$2:$A$30,0)),0)</f>
        <v>1676.76</v>
      </c>
      <c r="K948" s="5">
        <f>Sales_Data!E945</f>
        <v>7</v>
      </c>
      <c r="L948" s="5">
        <f>Sales_Data!F945</f>
        <v>11903.81</v>
      </c>
      <c r="M948" s="5">
        <f>Sales_Data!G945</f>
        <v>13437.39</v>
      </c>
      <c r="N948" s="5" t="str">
        <f>IFERROR(INDEX(Branch_Master!$B$2:$B$9,MATCH($B948,Branch_Master!$A$2:$A$9,0)),"Not Found")</f>
        <v>Pune</v>
      </c>
      <c r="O948" s="5" t="str">
        <f>IFERROR(INDEX(Branch_Master!$C$2:$C$9,MATCH($B948,Branch_Master!$A$2:$A$9,0)),"Not Found")</f>
        <v>Maharashtra</v>
      </c>
      <c r="P948" s="5">
        <f>IFERROR(INDEX(Targets!$B$2:$B$9,MATCH($B948,Targets!$A$2:$A$9,0)),0)</f>
        <v>1250000</v>
      </c>
      <c r="Q948" s="5" t="str">
        <f t="shared" si="28"/>
        <v>No</v>
      </c>
      <c r="R948" s="5" t="str">
        <f t="shared" si="29"/>
        <v>Dec</v>
      </c>
    </row>
    <row r="949" spans="1:18" ht="15" customHeight="1" x14ac:dyDescent="0.3">
      <c r="A949" s="5" t="str">
        <f>Sales_Data!A946</f>
        <v>2025-12-08</v>
      </c>
      <c r="B949" s="5" t="str">
        <f>Sales_Data!B946</f>
        <v>Pune East</v>
      </c>
      <c r="C949" s="5" t="str">
        <f>Sales_Data!C946</f>
        <v>E022</v>
      </c>
      <c r="D949" s="5" t="str">
        <f>IFERROR(INDEX(Employee_Master!$B$2:$B$44,MATCH($C949,Employee_Master!$A$2:$A$44,0)),"Not Found")</f>
        <v>Cindy Green PhD</v>
      </c>
      <c r="E949" s="5" t="str">
        <f>IFERROR(INDEX(Employee_Master!$C$2:$C$44,MATCH($C949,Employee_Master!$A$2:$A$44,0)),"Not Found")</f>
        <v>Customer Support</v>
      </c>
      <c r="F949" s="5" t="str">
        <f>IFERROR(INDEX(Employee_Master!$D$2:$D$44,MATCH($C949,Employee_Master!$A$2:$A$44,0)),"Not Found")</f>
        <v>Jordan Matthews</v>
      </c>
      <c r="G949" s="5" t="str">
        <f>IFERROR(INDEX(Employee_Master!$E$2:$E$44,MATCH($C949,Employee_Master!$A$2:$A$44,0)),"Not Found")</f>
        <v>West</v>
      </c>
      <c r="H949" s="5" t="str">
        <f>Sales_Data!D946</f>
        <v>P018 - Cooking Oil 1L</v>
      </c>
      <c r="I949" s="5" t="str">
        <f>IFERROR(INDEX(Product_Master!$B$2:$B$30,MATCH($H949,Product_Master!$A$2:$A$30,0)),"Invalid Product Code")</f>
        <v>Grocery</v>
      </c>
      <c r="J949" s="5">
        <f>IFERROR(INDEX(Product_Master!$C$2:$C$30,MATCH($H949,Product_Master!$A$2:$A$30,0)),0)</f>
        <v>1483.63</v>
      </c>
      <c r="K949" s="5">
        <f>Sales_Data!E946</f>
        <v>9</v>
      </c>
      <c r="L949" s="5">
        <f>Sales_Data!F946</f>
        <v>13956.23</v>
      </c>
      <c r="M949" s="5">
        <f>Sales_Data!G946</f>
        <v>13021.96</v>
      </c>
      <c r="N949" s="5" t="str">
        <f>IFERROR(INDEX(Branch_Master!$B$2:$B$9,MATCH($B949,Branch_Master!$A$2:$A$9,0)),"Not Found")</f>
        <v>Pune</v>
      </c>
      <c r="O949" s="5" t="str">
        <f>IFERROR(INDEX(Branch_Master!$C$2:$C$9,MATCH($B949,Branch_Master!$A$2:$A$9,0)),"Not Found")</f>
        <v>Maharashtra</v>
      </c>
      <c r="P949" s="5">
        <f>IFERROR(INDEX(Targets!$B$2:$B$9,MATCH($B949,Targets!$A$2:$A$9,0)),0)</f>
        <v>1250000</v>
      </c>
      <c r="Q949" s="5" t="str">
        <f t="shared" si="28"/>
        <v>Yes</v>
      </c>
      <c r="R949" s="5" t="str">
        <f t="shared" si="29"/>
        <v>Dec</v>
      </c>
    </row>
    <row r="950" spans="1:18" ht="15" customHeight="1" x14ac:dyDescent="0.3">
      <c r="A950" s="5" t="str">
        <f>Sales_Data!A947</f>
        <v>2025-12-08</v>
      </c>
      <c r="B950" s="5" t="str">
        <f>Sales_Data!B947</f>
        <v>Chennai South</v>
      </c>
      <c r="C950" s="5" t="str">
        <f>Sales_Data!C947</f>
        <v>E019</v>
      </c>
      <c r="D950" s="5" t="str">
        <f>IFERROR(INDEX(Employee_Master!$B$2:$B$44,MATCH($C950,Employee_Master!$A$2:$A$44,0)),"Not Found")</f>
        <v>Regina Torres</v>
      </c>
      <c r="E950" s="5" t="str">
        <f>IFERROR(INDEX(Employee_Master!$C$2:$C$44,MATCH($C950,Employee_Master!$A$2:$A$44,0)),"Not Found")</f>
        <v>Operations</v>
      </c>
      <c r="F950" s="5" t="str">
        <f>IFERROR(INDEX(Employee_Master!$D$2:$D$44,MATCH($C950,Employee_Master!$A$2:$A$44,0)),"Not Found")</f>
        <v>Robert Steele</v>
      </c>
      <c r="G950" s="5" t="str">
        <f>IFERROR(INDEX(Employee_Master!$E$2:$E$44,MATCH($C950,Employee_Master!$A$2:$A$44,0)),"Not Found")</f>
        <v>South</v>
      </c>
      <c r="H950" s="5" t="str">
        <f>Sales_Data!D947</f>
        <v>P009 - Formal Shirt</v>
      </c>
      <c r="I950" s="5" t="str">
        <f>IFERROR(INDEX(Product_Master!$B$2:$B$30,MATCH($H950,Product_Master!$A$2:$A$30,0)),"Invalid Product Code")</f>
        <v>Apparel</v>
      </c>
      <c r="J950" s="5">
        <f>IFERROR(INDEX(Product_Master!$C$2:$C$30,MATCH($H950,Product_Master!$A$2:$A$30,0)),0)</f>
        <v>661.65</v>
      </c>
      <c r="K950" s="5">
        <f>Sales_Data!E947</f>
        <v>9</v>
      </c>
      <c r="L950" s="5">
        <f>Sales_Data!F947</f>
        <v>5516.04</v>
      </c>
      <c r="M950" s="5">
        <f>Sales_Data!G947</f>
        <v>5927.82</v>
      </c>
      <c r="N950" s="5" t="str">
        <f>IFERROR(INDEX(Branch_Master!$B$2:$B$9,MATCH($B950,Branch_Master!$A$2:$A$9,0)),"Not Found")</f>
        <v>Chennai</v>
      </c>
      <c r="O950" s="5" t="str">
        <f>IFERROR(INDEX(Branch_Master!$C$2:$C$9,MATCH($B950,Branch_Master!$A$2:$A$9,0)),"Not Found")</f>
        <v>Tamil Nadu</v>
      </c>
      <c r="P950" s="5">
        <f>IFERROR(INDEX(Targets!$B$2:$B$9,MATCH($B950,Targets!$A$2:$A$9,0)),0)</f>
        <v>1910000</v>
      </c>
      <c r="Q950" s="5" t="str">
        <f t="shared" si="28"/>
        <v>No</v>
      </c>
      <c r="R950" s="5" t="str">
        <f t="shared" si="29"/>
        <v>Dec</v>
      </c>
    </row>
    <row r="951" spans="1:18" ht="15" customHeight="1" x14ac:dyDescent="0.3">
      <c r="A951" s="5" t="str">
        <f>Sales_Data!A948</f>
        <v>2025-12-08</v>
      </c>
      <c r="B951" s="5" t="str">
        <f>Sales_Data!B948</f>
        <v>Pune East</v>
      </c>
      <c r="C951" s="5" t="str">
        <f>Sales_Data!C948</f>
        <v>E023</v>
      </c>
      <c r="D951" s="5" t="str">
        <f>IFERROR(INDEX(Employee_Master!$B$2:$B$44,MATCH($C951,Employee_Master!$A$2:$A$44,0)),"Not Found")</f>
        <v>Edward Jones</v>
      </c>
      <c r="E951" s="5" t="str">
        <f>IFERROR(INDEX(Employee_Master!$C$2:$C$44,MATCH($C951,Employee_Master!$A$2:$A$44,0)),"Not Found")</f>
        <v>Operations</v>
      </c>
      <c r="F951" s="5" t="str">
        <f>IFERROR(INDEX(Employee_Master!$D$2:$D$44,MATCH($C951,Employee_Master!$A$2:$A$44,0)),"Not Found")</f>
        <v>Jordan Matthews</v>
      </c>
      <c r="G951" s="5" t="str">
        <f>IFERROR(INDEX(Employee_Master!$E$2:$E$44,MATCH($C951,Employee_Master!$A$2:$A$44,0)),"Not Found")</f>
        <v>West</v>
      </c>
      <c r="H951" s="5" t="str">
        <f>Sales_Data!D948</f>
        <v>P003 - Bluetooth Speaker</v>
      </c>
      <c r="I951" s="5" t="str">
        <f>IFERROR(INDEX(Product_Master!$B$2:$B$30,MATCH($H951,Product_Master!$A$2:$A$30,0)),"Invalid Product Code")</f>
        <v>Electronics</v>
      </c>
      <c r="J951" s="5">
        <f>IFERROR(INDEX(Product_Master!$C$2:$C$30,MATCH($H951,Product_Master!$A$2:$A$30,0)),0)</f>
        <v>351.01</v>
      </c>
      <c r="K951" s="5">
        <f>Sales_Data!E948</f>
        <v>11</v>
      </c>
      <c r="L951" s="5">
        <f>Sales_Data!F948</f>
        <v>3583.54</v>
      </c>
      <c r="M951" s="5">
        <f>Sales_Data!G948</f>
        <v>4055.32</v>
      </c>
      <c r="N951" s="5" t="str">
        <f>IFERROR(INDEX(Branch_Master!$B$2:$B$9,MATCH($B951,Branch_Master!$A$2:$A$9,0)),"Not Found")</f>
        <v>Pune</v>
      </c>
      <c r="O951" s="5" t="str">
        <f>IFERROR(INDEX(Branch_Master!$C$2:$C$9,MATCH($B951,Branch_Master!$A$2:$A$9,0)),"Not Found")</f>
        <v>Maharashtra</v>
      </c>
      <c r="P951" s="5">
        <f>IFERROR(INDEX(Targets!$B$2:$B$9,MATCH($B951,Targets!$A$2:$A$9,0)),0)</f>
        <v>1250000</v>
      </c>
      <c r="Q951" s="5" t="str">
        <f t="shared" si="28"/>
        <v>No</v>
      </c>
      <c r="R951" s="5" t="str">
        <f t="shared" si="29"/>
        <v>Dec</v>
      </c>
    </row>
    <row r="952" spans="1:18" ht="15" customHeight="1" x14ac:dyDescent="0.3">
      <c r="A952" s="5" t="str">
        <f>Sales_Data!A949</f>
        <v>2025-12-08</v>
      </c>
      <c r="B952" s="5" t="str">
        <f>Sales_Data!B949</f>
        <v>Bangalore North</v>
      </c>
      <c r="C952" s="5" t="str">
        <f>Sales_Data!C949</f>
        <v>E003</v>
      </c>
      <c r="D952" s="5" t="str">
        <f>IFERROR(INDEX(Employee_Master!$B$2:$B$44,MATCH($C952,Employee_Master!$A$2:$A$44,0)),"Not Found")</f>
        <v>Margaret Porter</v>
      </c>
      <c r="E952" s="5" t="str">
        <f>IFERROR(INDEX(Employee_Master!$C$2:$C$44,MATCH($C952,Employee_Master!$A$2:$A$44,0)),"Not Found")</f>
        <v>Customer Support</v>
      </c>
      <c r="F952" s="5" t="str">
        <f>IFERROR(INDEX(Employee_Master!$D$2:$D$44,MATCH($C952,Employee_Master!$A$2:$A$44,0)),"Not Found")</f>
        <v>Jose Soto</v>
      </c>
      <c r="G952" s="5" t="str">
        <f>IFERROR(INDEX(Employee_Master!$E$2:$E$44,MATCH($C952,Employee_Master!$A$2:$A$44,0)),"Not Found")</f>
        <v>South</v>
      </c>
      <c r="H952" s="5" t="str">
        <f>Sales_Data!D949</f>
        <v>P021 - Assorted Spices Kit</v>
      </c>
      <c r="I952" s="5" t="str">
        <f>IFERROR(INDEX(Product_Master!$B$2:$B$30,MATCH($H952,Product_Master!$A$2:$A$30,0)),"Invalid Product Code")</f>
        <v>Grocery</v>
      </c>
      <c r="J952" s="5">
        <f>IFERROR(INDEX(Product_Master!$C$2:$C$30,MATCH($H952,Product_Master!$A$2:$A$30,0)),0)</f>
        <v>1060.97</v>
      </c>
      <c r="K952" s="5">
        <f>Sales_Data!E949</f>
        <v>5</v>
      </c>
      <c r="L952" s="5">
        <f>Sales_Data!F949</f>
        <v>5789.53</v>
      </c>
      <c r="M952" s="5">
        <f>Sales_Data!G949</f>
        <v>4547.3500000000004</v>
      </c>
      <c r="N952" s="5" t="str">
        <f>IFERROR(INDEX(Branch_Master!$B$2:$B$9,MATCH($B952,Branch_Master!$A$2:$A$9,0)),"Not Found")</f>
        <v>Bangalore</v>
      </c>
      <c r="O952" s="5" t="str">
        <f>IFERROR(INDEX(Branch_Master!$C$2:$C$9,MATCH($B952,Branch_Master!$A$2:$A$9,0)),"Not Found")</f>
        <v>Karnataka</v>
      </c>
      <c r="P952" s="5">
        <f>IFERROR(INDEX(Targets!$B$2:$B$9,MATCH($B952,Targets!$A$2:$A$9,0)),0)</f>
        <v>900000</v>
      </c>
      <c r="Q952" s="5" t="str">
        <f t="shared" si="28"/>
        <v>Yes</v>
      </c>
      <c r="R952" s="5" t="str">
        <f t="shared" si="29"/>
        <v>Dec</v>
      </c>
    </row>
    <row r="953" spans="1:18" ht="15" customHeight="1" x14ac:dyDescent="0.3">
      <c r="A953" s="5" t="str">
        <f>Sales_Data!A950</f>
        <v>2025-12-08</v>
      </c>
      <c r="B953" s="5" t="str">
        <f>Sales_Data!B950</f>
        <v>Bangalore North</v>
      </c>
      <c r="C953" s="5" t="str">
        <f>Sales_Data!C950</f>
        <v>E038</v>
      </c>
      <c r="D953" s="5" t="str">
        <f>IFERROR(INDEX(Employee_Master!$B$2:$B$44,MATCH($C953,Employee_Master!$A$2:$A$44,0)),"Not Found")</f>
        <v>Derrick Griffin</v>
      </c>
      <c r="E953" s="5" t="str">
        <f>IFERROR(INDEX(Employee_Master!$C$2:$C$44,MATCH($C953,Employee_Master!$A$2:$A$44,0)),"Not Found")</f>
        <v>Marketing</v>
      </c>
      <c r="F953" s="5" t="str">
        <f>IFERROR(INDEX(Employee_Master!$D$2:$D$44,MATCH($C953,Employee_Master!$A$2:$A$44,0)),"Not Found")</f>
        <v>Jose Soto</v>
      </c>
      <c r="G953" s="5" t="str">
        <f>IFERROR(INDEX(Employee_Master!$E$2:$E$44,MATCH($C953,Employee_Master!$A$2:$A$44,0)),"Not Found")</f>
        <v>South</v>
      </c>
      <c r="H953" s="5" t="str">
        <f>Sales_Data!D950</f>
        <v>P011 - Winter Jacket</v>
      </c>
      <c r="I953" s="5" t="str">
        <f>IFERROR(INDEX(Product_Master!$B$2:$B$30,MATCH($H953,Product_Master!$A$2:$A$30,0)),"Invalid Product Code")</f>
        <v>Apparel</v>
      </c>
      <c r="J953" s="5">
        <f>IFERROR(INDEX(Product_Master!$C$2:$C$30,MATCH($H953,Product_Master!$A$2:$A$30,0)),0)</f>
        <v>264.97000000000003</v>
      </c>
      <c r="K953" s="5">
        <f>Sales_Data!E950</f>
        <v>9</v>
      </c>
      <c r="L953" s="5">
        <f>Sales_Data!F950</f>
        <v>2458.3200000000002</v>
      </c>
      <c r="M953" s="5">
        <f>Sales_Data!G950</f>
        <v>2333.2199999999998</v>
      </c>
      <c r="N953" s="5" t="str">
        <f>IFERROR(INDEX(Branch_Master!$B$2:$B$9,MATCH($B953,Branch_Master!$A$2:$A$9,0)),"Not Found")</f>
        <v>Bangalore</v>
      </c>
      <c r="O953" s="5" t="str">
        <f>IFERROR(INDEX(Branch_Master!$C$2:$C$9,MATCH($B953,Branch_Master!$A$2:$A$9,0)),"Not Found")</f>
        <v>Karnataka</v>
      </c>
      <c r="P953" s="5">
        <f>IFERROR(INDEX(Targets!$B$2:$B$9,MATCH($B953,Targets!$A$2:$A$9,0)),0)</f>
        <v>900000</v>
      </c>
      <c r="Q953" s="5" t="str">
        <f t="shared" si="28"/>
        <v>Yes</v>
      </c>
      <c r="R953" s="5" t="str">
        <f t="shared" si="29"/>
        <v>Dec</v>
      </c>
    </row>
    <row r="954" spans="1:18" ht="15" customHeight="1" x14ac:dyDescent="0.3">
      <c r="A954" s="5" t="str">
        <f>Sales_Data!A951</f>
        <v>2025-12-08</v>
      </c>
      <c r="B954" s="5" t="str">
        <f>Sales_Data!B951</f>
        <v>Kolkata Central</v>
      </c>
      <c r="C954" s="5" t="str">
        <f>Sales_Data!C951</f>
        <v>E024</v>
      </c>
      <c r="D954" s="5" t="str">
        <f>IFERROR(INDEX(Employee_Master!$B$2:$B$44,MATCH($C954,Employee_Master!$A$2:$A$44,0)),"Not Found")</f>
        <v>Kevin Sanchez</v>
      </c>
      <c r="E954" s="5" t="str">
        <f>IFERROR(INDEX(Employee_Master!$C$2:$C$44,MATCH($C954,Employee_Master!$A$2:$A$44,0)),"Not Found")</f>
        <v>Sales</v>
      </c>
      <c r="F954" s="5" t="str">
        <f>IFERROR(INDEX(Employee_Master!$D$2:$D$44,MATCH($C954,Employee_Master!$A$2:$A$44,0)),"Not Found")</f>
        <v>Lisa Moore</v>
      </c>
      <c r="G954" s="5" t="str">
        <f>IFERROR(INDEX(Employee_Master!$E$2:$E$44,MATCH($C954,Employee_Master!$A$2:$A$44,0)),"Not Found")</f>
        <v>East</v>
      </c>
      <c r="H954" s="5" t="str">
        <f>Sales_Data!D951</f>
        <v>P029 - Dumbbell Set 10kg</v>
      </c>
      <c r="I954" s="5" t="str">
        <f>IFERROR(INDEX(Product_Master!$B$2:$B$30,MATCH($H954,Product_Master!$A$2:$A$30,0)),"Invalid Product Code")</f>
        <v>Sports</v>
      </c>
      <c r="J954" s="5">
        <f>IFERROR(INDEX(Product_Master!$C$2:$C$30,MATCH($H954,Product_Master!$A$2:$A$30,0)),0)</f>
        <v>435</v>
      </c>
      <c r="K954" s="5">
        <f>Sales_Data!E951</f>
        <v>4</v>
      </c>
      <c r="L954" s="5">
        <f>Sales_Data!F951</f>
        <v>1856.44</v>
      </c>
      <c r="M954" s="5">
        <f>Sales_Data!G951</f>
        <v>1758.26</v>
      </c>
      <c r="N954" s="5" t="str">
        <f>IFERROR(INDEX(Branch_Master!$B$2:$B$9,MATCH($B954,Branch_Master!$A$2:$A$9,0)),"Not Found")</f>
        <v>Kolkata</v>
      </c>
      <c r="O954" s="5" t="str">
        <f>IFERROR(INDEX(Branch_Master!$C$2:$C$9,MATCH($B954,Branch_Master!$A$2:$A$9,0)),"Not Found")</f>
        <v>West Bengal</v>
      </c>
      <c r="P954" s="5">
        <f>IFERROR(INDEX(Targets!$B$2:$B$9,MATCH($B954,Targets!$A$2:$A$9,0)),0)</f>
        <v>1910000</v>
      </c>
      <c r="Q954" s="5" t="str">
        <f t="shared" si="28"/>
        <v>Yes</v>
      </c>
      <c r="R954" s="5" t="str">
        <f t="shared" si="29"/>
        <v>Dec</v>
      </c>
    </row>
    <row r="955" spans="1:18" ht="15" customHeight="1" x14ac:dyDescent="0.3">
      <c r="A955" s="5" t="str">
        <f>Sales_Data!A952</f>
        <v>2025-12-09</v>
      </c>
      <c r="B955" s="5" t="str">
        <f>Sales_Data!B952</f>
        <v>Ahmedabad West</v>
      </c>
      <c r="C955" s="5" t="str">
        <f>Sales_Data!C952</f>
        <v>E017</v>
      </c>
      <c r="D955" s="5" t="str">
        <f>IFERROR(INDEX(Employee_Master!$B$2:$B$44,MATCH($C955,Employee_Master!$A$2:$A$44,0)),"Not Found")</f>
        <v>Mathew Wilson</v>
      </c>
      <c r="E955" s="5" t="str">
        <f>IFERROR(INDEX(Employee_Master!$C$2:$C$44,MATCH($C955,Employee_Master!$A$2:$A$44,0)),"Not Found")</f>
        <v>Operations</v>
      </c>
      <c r="F955" s="5" t="str">
        <f>IFERROR(INDEX(Employee_Master!$D$2:$D$44,MATCH($C955,Employee_Master!$A$2:$A$44,0)),"Not Found")</f>
        <v>Joseph Brown</v>
      </c>
      <c r="G955" s="5" t="str">
        <f>IFERROR(INDEX(Employee_Master!$E$2:$E$44,MATCH($C955,Employee_Master!$A$2:$A$44,0)),"Not Found")</f>
        <v>West</v>
      </c>
      <c r="H955" s="5" t="str">
        <f>Sales_Data!D952</f>
        <v>P025 - Lipstick Set</v>
      </c>
      <c r="I955" s="5" t="str">
        <f>IFERROR(INDEX(Product_Master!$B$2:$B$30,MATCH($H955,Product_Master!$A$2:$A$30,0)),"Invalid Product Code")</f>
        <v>Beauty</v>
      </c>
      <c r="J955" s="5">
        <f>IFERROR(INDEX(Product_Master!$C$2:$C$30,MATCH($H955,Product_Master!$A$2:$A$30,0)),0)</f>
        <v>765.9</v>
      </c>
      <c r="K955" s="5">
        <f>Sales_Data!E952</f>
        <v>5</v>
      </c>
      <c r="L955" s="5">
        <f>Sales_Data!F952</f>
        <v>4048.98</v>
      </c>
      <c r="M955" s="5">
        <f>Sales_Data!G952</f>
        <v>4163.97</v>
      </c>
      <c r="N955" s="5" t="str">
        <f>IFERROR(INDEX(Branch_Master!$B$2:$B$9,MATCH($B955,Branch_Master!$A$2:$A$9,0)),"Not Found")</f>
        <v>Ahmedabad</v>
      </c>
      <c r="O955" s="5" t="str">
        <f>IFERROR(INDEX(Branch_Master!$C$2:$C$9,MATCH($B955,Branch_Master!$A$2:$A$9,0)),"Not Found")</f>
        <v>Gujarat</v>
      </c>
      <c r="P955" s="5">
        <f>IFERROR(INDEX(Targets!$B$2:$B$9,MATCH($B955,Targets!$A$2:$A$9,0)),0)</f>
        <v>1590000</v>
      </c>
      <c r="Q955" s="5" t="str">
        <f t="shared" si="28"/>
        <v>No</v>
      </c>
      <c r="R955" s="5" t="str">
        <f t="shared" si="29"/>
        <v>Dec</v>
      </c>
    </row>
    <row r="956" spans="1:18" ht="15" customHeight="1" x14ac:dyDescent="0.3">
      <c r="A956" s="5" t="str">
        <f>Sales_Data!A953</f>
        <v>2025-12-09</v>
      </c>
      <c r="B956" s="5" t="str">
        <f>Sales_Data!B953</f>
        <v>Delhi NCR</v>
      </c>
      <c r="C956" s="5" t="str">
        <f>Sales_Data!C953</f>
        <v>E031</v>
      </c>
      <c r="D956" s="5" t="str">
        <f>IFERROR(INDEX(Employee_Master!$B$2:$B$44,MATCH($C956,Employee_Master!$A$2:$A$44,0)),"Not Found")</f>
        <v>Jennifer Garcia</v>
      </c>
      <c r="E956" s="5" t="str">
        <f>IFERROR(INDEX(Employee_Master!$C$2:$C$44,MATCH($C956,Employee_Master!$A$2:$A$44,0)),"Not Found")</f>
        <v>Sales</v>
      </c>
      <c r="F956" s="5" t="str">
        <f>IFERROR(INDEX(Employee_Master!$D$2:$D$44,MATCH($C956,Employee_Master!$A$2:$A$44,0)),"Not Found")</f>
        <v>William Oconnell</v>
      </c>
      <c r="G956" s="5" t="str">
        <f>IFERROR(INDEX(Employee_Master!$E$2:$E$44,MATCH($C956,Employee_Master!$A$2:$A$44,0)),"Not Found")</f>
        <v>North</v>
      </c>
      <c r="H956" s="5" t="str">
        <f>Sales_Data!D953</f>
        <v>P026 - Yoga Mat</v>
      </c>
      <c r="I956" s="5" t="str">
        <f>IFERROR(INDEX(Product_Master!$B$2:$B$30,MATCH($H956,Product_Master!$A$2:$A$30,0)),"Invalid Product Code")</f>
        <v>Sports</v>
      </c>
      <c r="J956" s="5">
        <f>IFERROR(INDEX(Product_Master!$C$2:$C$30,MATCH($H956,Product_Master!$A$2:$A$30,0)),0)</f>
        <v>518.76</v>
      </c>
      <c r="K956" s="5">
        <f>Sales_Data!E953</f>
        <v>8</v>
      </c>
      <c r="L956" s="5">
        <f>Sales_Data!F953</f>
        <v>4332.92</v>
      </c>
      <c r="M956" s="5">
        <f>Sales_Data!G953</f>
        <v>4233.33</v>
      </c>
      <c r="N956" s="5" t="str">
        <f>IFERROR(INDEX(Branch_Master!$B$2:$B$9,MATCH($B956,Branch_Master!$A$2:$A$9,0)),"Not Found")</f>
        <v>New Delhi</v>
      </c>
      <c r="O956" s="5" t="str">
        <f>IFERROR(INDEX(Branch_Master!$C$2:$C$9,MATCH($B956,Branch_Master!$A$2:$A$9,0)),"Not Found")</f>
        <v>Delhi</v>
      </c>
      <c r="P956" s="5">
        <f>IFERROR(INDEX(Targets!$B$2:$B$9,MATCH($B956,Targets!$A$2:$A$9,0)),0)</f>
        <v>2070000</v>
      </c>
      <c r="Q956" s="5" t="str">
        <f t="shared" si="28"/>
        <v>Yes</v>
      </c>
      <c r="R956" s="5" t="str">
        <f t="shared" si="29"/>
        <v>Dec</v>
      </c>
    </row>
    <row r="957" spans="1:18" ht="15" customHeight="1" x14ac:dyDescent="0.3">
      <c r="A957" s="5" t="str">
        <f>Sales_Data!A954</f>
        <v>2025-12-09</v>
      </c>
      <c r="B957" s="5" t="str">
        <f>Sales_Data!B954</f>
        <v>Ahmedabad West</v>
      </c>
      <c r="C957" s="5" t="str">
        <f>Sales_Data!C954</f>
        <v>E005</v>
      </c>
      <c r="D957" s="5" t="str">
        <f>IFERROR(INDEX(Employee_Master!$B$2:$B$44,MATCH($C957,Employee_Master!$A$2:$A$44,0)),"Not Found")</f>
        <v>Dr. Sara Zimmerman MD</v>
      </c>
      <c r="E957" s="5" t="str">
        <f>IFERROR(INDEX(Employee_Master!$C$2:$C$44,MATCH($C957,Employee_Master!$A$2:$A$44,0)),"Not Found")</f>
        <v>Operations</v>
      </c>
      <c r="F957" s="5" t="str">
        <f>IFERROR(INDEX(Employee_Master!$D$2:$D$44,MATCH($C957,Employee_Master!$A$2:$A$44,0)),"Not Found")</f>
        <v>Joseph Brown</v>
      </c>
      <c r="G957" s="5" t="str">
        <f>IFERROR(INDEX(Employee_Master!$E$2:$E$44,MATCH($C957,Employee_Master!$A$2:$A$44,0)),"Not Found")</f>
        <v>West</v>
      </c>
      <c r="H957" s="5" t="str">
        <f>Sales_Data!D954</f>
        <v>P012 - Non-Stick Pan</v>
      </c>
      <c r="I957" s="5" t="str">
        <f>IFERROR(INDEX(Product_Master!$B$2:$B$30,MATCH($H957,Product_Master!$A$2:$A$30,0)),"Invalid Product Code")</f>
        <v>Home &amp; Kitchen</v>
      </c>
      <c r="J957" s="5">
        <f>IFERROR(INDEX(Product_Master!$C$2:$C$30,MATCH($H957,Product_Master!$A$2:$A$30,0)),0)</f>
        <v>353.18</v>
      </c>
      <c r="K957" s="5">
        <f>Sales_Data!E954</f>
        <v>12</v>
      </c>
      <c r="L957" s="5">
        <f>Sales_Data!F954</f>
        <v>3916.18</v>
      </c>
      <c r="M957" s="5">
        <f>Sales_Data!G954</f>
        <v>3949.55</v>
      </c>
      <c r="N957" s="5" t="str">
        <f>IFERROR(INDEX(Branch_Master!$B$2:$B$9,MATCH($B957,Branch_Master!$A$2:$A$9,0)),"Not Found")</f>
        <v>Ahmedabad</v>
      </c>
      <c r="O957" s="5" t="str">
        <f>IFERROR(INDEX(Branch_Master!$C$2:$C$9,MATCH($B957,Branch_Master!$A$2:$A$9,0)),"Not Found")</f>
        <v>Gujarat</v>
      </c>
      <c r="P957" s="5">
        <f>IFERROR(INDEX(Targets!$B$2:$B$9,MATCH($B957,Targets!$A$2:$A$9,0)),0)</f>
        <v>1590000</v>
      </c>
      <c r="Q957" s="5" t="str">
        <f t="shared" si="28"/>
        <v>No</v>
      </c>
      <c r="R957" s="5" t="str">
        <f t="shared" si="29"/>
        <v>Dec</v>
      </c>
    </row>
    <row r="958" spans="1:18" ht="15" customHeight="1" x14ac:dyDescent="0.3">
      <c r="A958" s="5" t="str">
        <f>Sales_Data!A955</f>
        <v>2025-12-09</v>
      </c>
      <c r="B958" s="5" t="str">
        <f>Sales_Data!B955</f>
        <v>Mumbai Central</v>
      </c>
      <c r="C958" s="5" t="str">
        <f>Sales_Data!C955</f>
        <v>E016</v>
      </c>
      <c r="D958" s="5" t="str">
        <f>IFERROR(INDEX(Employee_Master!$B$2:$B$44,MATCH($C958,Employee_Master!$A$2:$A$44,0)),"Not Found")</f>
        <v>Connor Dennis</v>
      </c>
      <c r="E958" s="5" t="str">
        <f>IFERROR(INDEX(Employee_Master!$C$2:$C$44,MATCH($C958,Employee_Master!$A$2:$A$44,0)),"Not Found")</f>
        <v>Sales</v>
      </c>
      <c r="F958" s="5" t="str">
        <f>IFERROR(INDEX(Employee_Master!$D$2:$D$44,MATCH($C958,Employee_Master!$A$2:$A$44,0)),"Not Found")</f>
        <v>Justin Glass</v>
      </c>
      <c r="G958" s="5" t="str">
        <f>IFERROR(INDEX(Employee_Master!$E$2:$E$44,MATCH($C958,Employee_Master!$A$2:$A$44,0)),"Not Found")</f>
        <v>West</v>
      </c>
      <c r="H958" s="5" t="str">
        <f>Sales_Data!D955</f>
        <v>P004 - Power Bank</v>
      </c>
      <c r="I958" s="5" t="str">
        <f>IFERROR(INDEX(Product_Master!$B$2:$B$30,MATCH($H958,Product_Master!$A$2:$A$30,0)),"Invalid Product Code")</f>
        <v>Electronics</v>
      </c>
      <c r="J958" s="5">
        <f>IFERROR(INDEX(Product_Master!$C$2:$C$30,MATCH($H958,Product_Master!$A$2:$A$30,0)),0)</f>
        <v>76.91</v>
      </c>
      <c r="K958" s="5">
        <f>Sales_Data!E955</f>
        <v>4</v>
      </c>
      <c r="L958" s="5">
        <f>Sales_Data!F955</f>
        <v>287.37</v>
      </c>
      <c r="M958" s="5">
        <f>Sales_Data!G955</f>
        <v>303.39</v>
      </c>
      <c r="N958" s="5" t="str">
        <f>IFERROR(INDEX(Branch_Master!$B$2:$B$9,MATCH($B958,Branch_Master!$A$2:$A$9,0)),"Not Found")</f>
        <v>Mumbai</v>
      </c>
      <c r="O958" s="5" t="str">
        <f>IFERROR(INDEX(Branch_Master!$C$2:$C$9,MATCH($B958,Branch_Master!$A$2:$A$9,0)),"Not Found")</f>
        <v>Maharashtra</v>
      </c>
      <c r="P958" s="5">
        <f>IFERROR(INDEX(Targets!$B$2:$B$9,MATCH($B958,Targets!$A$2:$A$9,0)),0)</f>
        <v>900000</v>
      </c>
      <c r="Q958" s="5" t="str">
        <f t="shared" si="28"/>
        <v>No</v>
      </c>
      <c r="R958" s="5" t="str">
        <f t="shared" si="29"/>
        <v>Dec</v>
      </c>
    </row>
    <row r="959" spans="1:18" ht="15" customHeight="1" x14ac:dyDescent="0.3">
      <c r="A959" s="5" t="str">
        <f>Sales_Data!A956</f>
        <v>2025-12-10</v>
      </c>
      <c r="B959" s="5" t="str">
        <f>Sales_Data!B956</f>
        <v>Hyderabad Hitech</v>
      </c>
      <c r="C959" s="5" t="str">
        <f>Sales_Data!C956</f>
        <v>E020</v>
      </c>
      <c r="D959" s="5" t="str">
        <f>IFERROR(INDEX(Employee_Master!$B$2:$B$44,MATCH($C959,Employee_Master!$A$2:$A$44,0)),"Not Found")</f>
        <v>Christine Long</v>
      </c>
      <c r="E959" s="5" t="str">
        <f>IFERROR(INDEX(Employee_Master!$C$2:$C$44,MATCH($C959,Employee_Master!$A$2:$A$44,0)),"Not Found")</f>
        <v>Operations</v>
      </c>
      <c r="F959" s="5" t="str">
        <f>IFERROR(INDEX(Employee_Master!$D$2:$D$44,MATCH($C959,Employee_Master!$A$2:$A$44,0)),"Not Found")</f>
        <v>Anna Turner</v>
      </c>
      <c r="G959" s="5" t="str">
        <f>IFERROR(INDEX(Employee_Master!$E$2:$E$44,MATCH($C959,Employee_Master!$A$2:$A$44,0)),"Not Found")</f>
        <v>South</v>
      </c>
      <c r="H959" s="5" t="str">
        <f>Sales_Data!D956</f>
        <v>P026 - Yoga Mat</v>
      </c>
      <c r="I959" s="5" t="str">
        <f>IFERROR(INDEX(Product_Master!$B$2:$B$30,MATCH($H959,Product_Master!$A$2:$A$30,0)),"Invalid Product Code")</f>
        <v>Sports</v>
      </c>
      <c r="J959" s="5">
        <f>IFERROR(INDEX(Product_Master!$C$2:$C$30,MATCH($H959,Product_Master!$A$2:$A$30,0)),0)</f>
        <v>518.76</v>
      </c>
      <c r="K959" s="5">
        <f>Sales_Data!E956</f>
        <v>4</v>
      </c>
      <c r="L959" s="5">
        <f>Sales_Data!F956</f>
        <v>2025.02</v>
      </c>
      <c r="M959" s="5">
        <f>Sales_Data!G956</f>
        <v>1942.49</v>
      </c>
      <c r="N959" s="5" t="str">
        <f>IFERROR(INDEX(Branch_Master!$B$2:$B$9,MATCH($B959,Branch_Master!$A$2:$A$9,0)),"Not Found")</f>
        <v>Hyderabad</v>
      </c>
      <c r="O959" s="5" t="str">
        <f>IFERROR(INDEX(Branch_Master!$C$2:$C$9,MATCH($B959,Branch_Master!$A$2:$A$9,0)),"Not Found")</f>
        <v>Telangana</v>
      </c>
      <c r="P959" s="5">
        <f>IFERROR(INDEX(Targets!$B$2:$B$9,MATCH($B959,Targets!$A$2:$A$9,0)),0)</f>
        <v>1210000</v>
      </c>
      <c r="Q959" s="5" t="str">
        <f t="shared" si="28"/>
        <v>Yes</v>
      </c>
      <c r="R959" s="5" t="str">
        <f t="shared" si="29"/>
        <v>Dec</v>
      </c>
    </row>
    <row r="960" spans="1:18" ht="15" customHeight="1" x14ac:dyDescent="0.3">
      <c r="A960" s="5" t="str">
        <f>Sales_Data!A957</f>
        <v>2025-12-10</v>
      </c>
      <c r="B960" s="5" t="str">
        <f>Sales_Data!B957</f>
        <v>Pune East</v>
      </c>
      <c r="C960" s="5" t="str">
        <f>Sales_Data!C957</f>
        <v>E022</v>
      </c>
      <c r="D960" s="5" t="str">
        <f>IFERROR(INDEX(Employee_Master!$B$2:$B$44,MATCH($C960,Employee_Master!$A$2:$A$44,0)),"Not Found")</f>
        <v>Cindy Green PhD</v>
      </c>
      <c r="E960" s="5" t="str">
        <f>IFERROR(INDEX(Employee_Master!$C$2:$C$44,MATCH($C960,Employee_Master!$A$2:$A$44,0)),"Not Found")</f>
        <v>Customer Support</v>
      </c>
      <c r="F960" s="5" t="str">
        <f>IFERROR(INDEX(Employee_Master!$D$2:$D$44,MATCH($C960,Employee_Master!$A$2:$A$44,0)),"Not Found")</f>
        <v>Jordan Matthews</v>
      </c>
      <c r="G960" s="5" t="str">
        <f>IFERROR(INDEX(Employee_Master!$E$2:$E$44,MATCH($C960,Employee_Master!$A$2:$A$44,0)),"Not Found")</f>
        <v>West</v>
      </c>
      <c r="H960" s="5" t="str">
        <f>Sales_Data!D957</f>
        <v>P012 - Non-Stick Pan</v>
      </c>
      <c r="I960" s="5" t="str">
        <f>IFERROR(INDEX(Product_Master!$B$2:$B$30,MATCH($H960,Product_Master!$A$2:$A$30,0)),"Invalid Product Code")</f>
        <v>Home &amp; Kitchen</v>
      </c>
      <c r="J960" s="5">
        <f>IFERROR(INDEX(Product_Master!$C$2:$C$30,MATCH($H960,Product_Master!$A$2:$A$30,0)),0)</f>
        <v>353.18</v>
      </c>
      <c r="K960" s="5">
        <f>Sales_Data!E957</f>
        <v>2</v>
      </c>
      <c r="L960" s="5">
        <f>Sales_Data!F957</f>
        <v>771.09</v>
      </c>
      <c r="M960" s="5">
        <f>Sales_Data!G957</f>
        <v>646.22</v>
      </c>
      <c r="N960" s="5" t="str">
        <f>IFERROR(INDEX(Branch_Master!$B$2:$B$9,MATCH($B960,Branch_Master!$A$2:$A$9,0)),"Not Found")</f>
        <v>Pune</v>
      </c>
      <c r="O960" s="5" t="str">
        <f>IFERROR(INDEX(Branch_Master!$C$2:$C$9,MATCH($B960,Branch_Master!$A$2:$A$9,0)),"Not Found")</f>
        <v>Maharashtra</v>
      </c>
      <c r="P960" s="5">
        <f>IFERROR(INDEX(Targets!$B$2:$B$9,MATCH($B960,Targets!$A$2:$A$9,0)),0)</f>
        <v>1250000</v>
      </c>
      <c r="Q960" s="5" t="str">
        <f t="shared" si="28"/>
        <v>Yes</v>
      </c>
      <c r="R960" s="5" t="str">
        <f t="shared" si="29"/>
        <v>Dec</v>
      </c>
    </row>
    <row r="961" spans="1:18" ht="15" customHeight="1" x14ac:dyDescent="0.3">
      <c r="A961" s="5" t="str">
        <f>Sales_Data!A958</f>
        <v>2025-12-11</v>
      </c>
      <c r="B961" s="5" t="str">
        <f>Sales_Data!B958</f>
        <v>Bangalore North</v>
      </c>
      <c r="C961" s="5" t="str">
        <f>Sales_Data!C958</f>
        <v>E038</v>
      </c>
      <c r="D961" s="5" t="str">
        <f>IFERROR(INDEX(Employee_Master!$B$2:$B$44,MATCH($C961,Employee_Master!$A$2:$A$44,0)),"Not Found")</f>
        <v>Derrick Griffin</v>
      </c>
      <c r="E961" s="5" t="str">
        <f>IFERROR(INDEX(Employee_Master!$C$2:$C$44,MATCH($C961,Employee_Master!$A$2:$A$44,0)),"Not Found")</f>
        <v>Marketing</v>
      </c>
      <c r="F961" s="5" t="str">
        <f>IFERROR(INDEX(Employee_Master!$D$2:$D$44,MATCH($C961,Employee_Master!$A$2:$A$44,0)),"Not Found")</f>
        <v>Jose Soto</v>
      </c>
      <c r="G961" s="5" t="str">
        <f>IFERROR(INDEX(Employee_Master!$E$2:$E$44,MATCH($C961,Employee_Master!$A$2:$A$44,0)),"Not Found")</f>
        <v>South</v>
      </c>
      <c r="H961" s="5" t="str">
        <f>Sales_Data!D958</f>
        <v>P016 - Dinner Set</v>
      </c>
      <c r="I961" s="5" t="str">
        <f>IFERROR(INDEX(Product_Master!$B$2:$B$30,MATCH($H961,Product_Master!$A$2:$A$30,0)),"Invalid Product Code")</f>
        <v>Home &amp; Kitchen</v>
      </c>
      <c r="J961" s="5">
        <f>IFERROR(INDEX(Product_Master!$C$2:$C$30,MATCH($H961,Product_Master!$A$2:$A$30,0)),0)</f>
        <v>225.06</v>
      </c>
      <c r="K961" s="5">
        <f>Sales_Data!E958</f>
        <v>9</v>
      </c>
      <c r="L961" s="5">
        <f>Sales_Data!F958</f>
        <v>2149.0100000000002</v>
      </c>
      <c r="M961" s="5">
        <f>Sales_Data!G958</f>
        <v>1765.75</v>
      </c>
      <c r="N961" s="5" t="str">
        <f>IFERROR(INDEX(Branch_Master!$B$2:$B$9,MATCH($B961,Branch_Master!$A$2:$A$9,0)),"Not Found")</f>
        <v>Bangalore</v>
      </c>
      <c r="O961" s="5" t="str">
        <f>IFERROR(INDEX(Branch_Master!$C$2:$C$9,MATCH($B961,Branch_Master!$A$2:$A$9,0)),"Not Found")</f>
        <v>Karnataka</v>
      </c>
      <c r="P961" s="5">
        <f>IFERROR(INDEX(Targets!$B$2:$B$9,MATCH($B961,Targets!$A$2:$A$9,0)),0)</f>
        <v>900000</v>
      </c>
      <c r="Q961" s="5" t="str">
        <f t="shared" si="28"/>
        <v>Yes</v>
      </c>
      <c r="R961" s="5" t="str">
        <f t="shared" si="29"/>
        <v>Dec</v>
      </c>
    </row>
    <row r="962" spans="1:18" ht="15" customHeight="1" x14ac:dyDescent="0.3">
      <c r="A962" s="5" t="str">
        <f>Sales_Data!A959</f>
        <v>2025-12-12</v>
      </c>
      <c r="B962" s="5" t="str">
        <f>Sales_Data!B959</f>
        <v>Mumbai Central</v>
      </c>
      <c r="C962" s="5" t="str">
        <f>Sales_Data!C959</f>
        <v>E025</v>
      </c>
      <c r="D962" s="5" t="str">
        <f>IFERROR(INDEX(Employee_Master!$B$2:$B$44,MATCH($C962,Employee_Master!$A$2:$A$44,0)),"Not Found")</f>
        <v>Jacqueline Chavez</v>
      </c>
      <c r="E962" s="5" t="str">
        <f>IFERROR(INDEX(Employee_Master!$C$2:$C$44,MATCH($C962,Employee_Master!$A$2:$A$44,0)),"Not Found")</f>
        <v>Sales</v>
      </c>
      <c r="F962" s="5" t="str">
        <f>IFERROR(INDEX(Employee_Master!$D$2:$D$44,MATCH($C962,Employee_Master!$A$2:$A$44,0)),"Not Found")</f>
        <v>Justin Glass</v>
      </c>
      <c r="G962" s="5" t="str">
        <f>IFERROR(INDEX(Employee_Master!$E$2:$E$44,MATCH($C962,Employee_Master!$A$2:$A$44,0)),"Not Found")</f>
        <v>West</v>
      </c>
      <c r="H962" s="5" t="str">
        <f>Sales_Data!D959</f>
        <v>P004 - Power Bank</v>
      </c>
      <c r="I962" s="5" t="str">
        <f>IFERROR(INDEX(Product_Master!$B$2:$B$30,MATCH($H962,Product_Master!$A$2:$A$30,0)),"Invalid Product Code")</f>
        <v>Electronics</v>
      </c>
      <c r="J962" s="5">
        <f>IFERROR(INDEX(Product_Master!$C$2:$C$30,MATCH($H962,Product_Master!$A$2:$A$30,0)),0)</f>
        <v>76.91</v>
      </c>
      <c r="K962" s="5">
        <f>Sales_Data!E959</f>
        <v>10</v>
      </c>
      <c r="L962" s="5">
        <f>Sales_Data!F959</f>
        <v>831.42</v>
      </c>
      <c r="M962" s="5">
        <f>Sales_Data!G959</f>
        <v>726.88</v>
      </c>
      <c r="N962" s="5" t="str">
        <f>IFERROR(INDEX(Branch_Master!$B$2:$B$9,MATCH($B962,Branch_Master!$A$2:$A$9,0)),"Not Found")</f>
        <v>Mumbai</v>
      </c>
      <c r="O962" s="5" t="str">
        <f>IFERROR(INDEX(Branch_Master!$C$2:$C$9,MATCH($B962,Branch_Master!$A$2:$A$9,0)),"Not Found")</f>
        <v>Maharashtra</v>
      </c>
      <c r="P962" s="5">
        <f>IFERROR(INDEX(Targets!$B$2:$B$9,MATCH($B962,Targets!$A$2:$A$9,0)),0)</f>
        <v>900000</v>
      </c>
      <c r="Q962" s="5" t="str">
        <f t="shared" si="28"/>
        <v>Yes</v>
      </c>
      <c r="R962" s="5" t="str">
        <f t="shared" si="29"/>
        <v>Dec</v>
      </c>
    </row>
    <row r="963" spans="1:18" ht="15" customHeight="1" x14ac:dyDescent="0.3">
      <c r="A963" s="5" t="str">
        <f>Sales_Data!A960</f>
        <v>2025-12-12</v>
      </c>
      <c r="B963" s="5" t="str">
        <f>Sales_Data!B960</f>
        <v>Delhi NCR</v>
      </c>
      <c r="C963" s="5" t="str">
        <f>Sales_Data!C960</f>
        <v>E031</v>
      </c>
      <c r="D963" s="5" t="str">
        <f>IFERROR(INDEX(Employee_Master!$B$2:$B$44,MATCH($C963,Employee_Master!$A$2:$A$44,0)),"Not Found")</f>
        <v>Jennifer Garcia</v>
      </c>
      <c r="E963" s="5" t="str">
        <f>IFERROR(INDEX(Employee_Master!$C$2:$C$44,MATCH($C963,Employee_Master!$A$2:$A$44,0)),"Not Found")</f>
        <v>Sales</v>
      </c>
      <c r="F963" s="5" t="str">
        <f>IFERROR(INDEX(Employee_Master!$D$2:$D$44,MATCH($C963,Employee_Master!$A$2:$A$44,0)),"Not Found")</f>
        <v>William Oconnell</v>
      </c>
      <c r="G963" s="5" t="str">
        <f>IFERROR(INDEX(Employee_Master!$E$2:$E$44,MATCH($C963,Employee_Master!$A$2:$A$44,0)),"Not Found")</f>
        <v>North</v>
      </c>
      <c r="H963" s="5" t="str">
        <f>Sales_Data!D960</f>
        <v>P021 - Assorted Spices Kit</v>
      </c>
      <c r="I963" s="5" t="str">
        <f>IFERROR(INDEX(Product_Master!$B$2:$B$30,MATCH($H963,Product_Master!$A$2:$A$30,0)),"Invalid Product Code")</f>
        <v>Grocery</v>
      </c>
      <c r="J963" s="5">
        <f>IFERROR(INDEX(Product_Master!$C$2:$C$30,MATCH($H963,Product_Master!$A$2:$A$30,0)),0)</f>
        <v>1060.97</v>
      </c>
      <c r="K963" s="5">
        <f>Sales_Data!E960</f>
        <v>4</v>
      </c>
      <c r="L963" s="5">
        <f>Sales_Data!F960</f>
        <v>4609.71</v>
      </c>
      <c r="M963" s="5">
        <f>Sales_Data!G960</f>
        <v>4134.6400000000003</v>
      </c>
      <c r="N963" s="5" t="str">
        <f>IFERROR(INDEX(Branch_Master!$B$2:$B$9,MATCH($B963,Branch_Master!$A$2:$A$9,0)),"Not Found")</f>
        <v>New Delhi</v>
      </c>
      <c r="O963" s="5" t="str">
        <f>IFERROR(INDEX(Branch_Master!$C$2:$C$9,MATCH($B963,Branch_Master!$A$2:$A$9,0)),"Not Found")</f>
        <v>Delhi</v>
      </c>
      <c r="P963" s="5">
        <f>IFERROR(INDEX(Targets!$B$2:$B$9,MATCH($B963,Targets!$A$2:$A$9,0)),0)</f>
        <v>2070000</v>
      </c>
      <c r="Q963" s="5" t="str">
        <f t="shared" si="28"/>
        <v>Yes</v>
      </c>
      <c r="R963" s="5" t="str">
        <f t="shared" si="29"/>
        <v>Dec</v>
      </c>
    </row>
    <row r="964" spans="1:18" ht="15" customHeight="1" x14ac:dyDescent="0.3">
      <c r="A964" s="5" t="str">
        <f>Sales_Data!A961</f>
        <v>2025-12-12</v>
      </c>
      <c r="B964" s="5" t="str">
        <f>Sales_Data!B961</f>
        <v>Chennai South</v>
      </c>
      <c r="C964" s="5" t="str">
        <f>Sales_Data!C961</f>
        <v>E015</v>
      </c>
      <c r="D964" s="5" t="str">
        <f>IFERROR(INDEX(Employee_Master!$B$2:$B$44,MATCH($C964,Employee_Master!$A$2:$A$44,0)),"Not Found")</f>
        <v>Cassandra Hansen</v>
      </c>
      <c r="E964" s="5" t="str">
        <f>IFERROR(INDEX(Employee_Master!$C$2:$C$44,MATCH($C964,Employee_Master!$A$2:$A$44,0)),"Not Found")</f>
        <v>Customer Support</v>
      </c>
      <c r="F964" s="5" t="str">
        <f>IFERROR(INDEX(Employee_Master!$D$2:$D$44,MATCH($C964,Employee_Master!$A$2:$A$44,0)),"Not Found")</f>
        <v>Robert Steele</v>
      </c>
      <c r="G964" s="5" t="str">
        <f>IFERROR(INDEX(Employee_Master!$E$2:$E$44,MATCH($C964,Employee_Master!$A$2:$A$44,0)),"Not Found")</f>
        <v>South</v>
      </c>
      <c r="H964" s="5" t="str">
        <f>Sales_Data!D961</f>
        <v>P020 - Green Tea Pack</v>
      </c>
      <c r="I964" s="5" t="str">
        <f>IFERROR(INDEX(Product_Master!$B$2:$B$30,MATCH($H964,Product_Master!$A$2:$A$30,0)),"Invalid Product Code")</f>
        <v>Grocery</v>
      </c>
      <c r="J964" s="5">
        <f>IFERROR(INDEX(Product_Master!$C$2:$C$30,MATCH($H964,Product_Master!$A$2:$A$30,0)),0)</f>
        <v>305.39</v>
      </c>
      <c r="K964" s="5">
        <f>Sales_Data!E961</f>
        <v>7</v>
      </c>
      <c r="L964" s="5">
        <f>Sales_Data!F961</f>
        <v>2034.41</v>
      </c>
      <c r="M964" s="5">
        <f>Sales_Data!G961</f>
        <v>2295.27</v>
      </c>
      <c r="N964" s="5" t="str">
        <f>IFERROR(INDEX(Branch_Master!$B$2:$B$9,MATCH($B964,Branch_Master!$A$2:$A$9,0)),"Not Found")</f>
        <v>Chennai</v>
      </c>
      <c r="O964" s="5" t="str">
        <f>IFERROR(INDEX(Branch_Master!$C$2:$C$9,MATCH($B964,Branch_Master!$A$2:$A$9,0)),"Not Found")</f>
        <v>Tamil Nadu</v>
      </c>
      <c r="P964" s="5">
        <f>IFERROR(INDEX(Targets!$B$2:$B$9,MATCH($B964,Targets!$A$2:$A$9,0)),0)</f>
        <v>1910000</v>
      </c>
      <c r="Q964" s="5" t="str">
        <f t="shared" si="28"/>
        <v>No</v>
      </c>
      <c r="R964" s="5" t="str">
        <f t="shared" si="29"/>
        <v>Dec</v>
      </c>
    </row>
    <row r="965" spans="1:18" ht="15" customHeight="1" x14ac:dyDescent="0.3">
      <c r="A965" s="5" t="str">
        <f>Sales_Data!A962</f>
        <v>2025-12-12</v>
      </c>
      <c r="B965" s="5" t="str">
        <f>Sales_Data!B962</f>
        <v>Hyderabad Hitech</v>
      </c>
      <c r="C965" s="5" t="str">
        <f>Sales_Data!C962</f>
        <v>E026</v>
      </c>
      <c r="D965" s="5" t="str">
        <f>IFERROR(INDEX(Employee_Master!$B$2:$B$44,MATCH($C965,Employee_Master!$A$2:$A$44,0)),"Not Found")</f>
        <v>Karen Andrews</v>
      </c>
      <c r="E965" s="5" t="str">
        <f>IFERROR(INDEX(Employee_Master!$C$2:$C$44,MATCH($C965,Employee_Master!$A$2:$A$44,0)),"Not Found")</f>
        <v>Marketing</v>
      </c>
      <c r="F965" s="5" t="str">
        <f>IFERROR(INDEX(Employee_Master!$D$2:$D$44,MATCH($C965,Employee_Master!$A$2:$A$44,0)),"Not Found")</f>
        <v>Anna Turner</v>
      </c>
      <c r="G965" s="5" t="str">
        <f>IFERROR(INDEX(Employee_Master!$E$2:$E$44,MATCH($C965,Employee_Master!$A$2:$A$44,0)),"Not Found")</f>
        <v>South</v>
      </c>
      <c r="H965" s="5" t="str">
        <f>Sales_Data!D962</f>
        <v>P016 - Dinner Set</v>
      </c>
      <c r="I965" s="5" t="str">
        <f>IFERROR(INDEX(Product_Master!$B$2:$B$30,MATCH($H965,Product_Master!$A$2:$A$30,0)),"Invalid Product Code")</f>
        <v>Home &amp; Kitchen</v>
      </c>
      <c r="J965" s="5">
        <f>IFERROR(INDEX(Product_Master!$C$2:$C$30,MATCH($H965,Product_Master!$A$2:$A$30,0)),0)</f>
        <v>225.06</v>
      </c>
      <c r="K965" s="5">
        <f>Sales_Data!E962</f>
        <v>7</v>
      </c>
      <c r="L965" s="5">
        <f>Sales_Data!F962</f>
        <v>1491.24</v>
      </c>
      <c r="M965" s="5">
        <f>Sales_Data!G962</f>
        <v>1734.71</v>
      </c>
      <c r="N965" s="5" t="str">
        <f>IFERROR(INDEX(Branch_Master!$B$2:$B$9,MATCH($B965,Branch_Master!$A$2:$A$9,0)),"Not Found")</f>
        <v>Hyderabad</v>
      </c>
      <c r="O965" s="5" t="str">
        <f>IFERROR(INDEX(Branch_Master!$C$2:$C$9,MATCH($B965,Branch_Master!$A$2:$A$9,0)),"Not Found")</f>
        <v>Telangana</v>
      </c>
      <c r="P965" s="5">
        <f>IFERROR(INDEX(Targets!$B$2:$B$9,MATCH($B965,Targets!$A$2:$A$9,0)),0)</f>
        <v>1210000</v>
      </c>
      <c r="Q965" s="5" t="str">
        <f t="shared" ref="Q965:Q1004" si="30">IF(L965&gt;=M965,"Yes","No")</f>
        <v>No</v>
      </c>
      <c r="R965" s="5" t="str">
        <f t="shared" ref="R965:R1004" si="31">TEXT(A965,"MMM")</f>
        <v>Dec</v>
      </c>
    </row>
    <row r="966" spans="1:18" ht="15" customHeight="1" x14ac:dyDescent="0.3">
      <c r="A966" s="5" t="str">
        <f>Sales_Data!A963</f>
        <v>2025-12-13</v>
      </c>
      <c r="B966" s="5" t="str">
        <f>Sales_Data!B963</f>
        <v>Bangalore North</v>
      </c>
      <c r="C966" s="5" t="str">
        <f>Sales_Data!C963</f>
        <v>E003</v>
      </c>
      <c r="D966" s="5" t="str">
        <f>IFERROR(INDEX(Employee_Master!$B$2:$B$44,MATCH($C966,Employee_Master!$A$2:$A$44,0)),"Not Found")</f>
        <v>Margaret Porter</v>
      </c>
      <c r="E966" s="5" t="str">
        <f>IFERROR(INDEX(Employee_Master!$C$2:$C$44,MATCH($C966,Employee_Master!$A$2:$A$44,0)),"Not Found")</f>
        <v>Customer Support</v>
      </c>
      <c r="F966" s="5" t="str">
        <f>IFERROR(INDEX(Employee_Master!$D$2:$D$44,MATCH($C966,Employee_Master!$A$2:$A$44,0)),"Not Found")</f>
        <v>Jose Soto</v>
      </c>
      <c r="G966" s="5" t="str">
        <f>IFERROR(INDEX(Employee_Master!$E$2:$E$44,MATCH($C966,Employee_Master!$A$2:$A$44,0)),"Not Found")</f>
        <v>South</v>
      </c>
      <c r="H966" s="5" t="str">
        <f>Sales_Data!D963</f>
        <v>P020 - Green Tea Pack</v>
      </c>
      <c r="I966" s="5" t="str">
        <f>IFERROR(INDEX(Product_Master!$B$2:$B$30,MATCH($H966,Product_Master!$A$2:$A$30,0)),"Invalid Product Code")</f>
        <v>Grocery</v>
      </c>
      <c r="J966" s="5">
        <f>IFERROR(INDEX(Product_Master!$C$2:$C$30,MATCH($H966,Product_Master!$A$2:$A$30,0)),0)</f>
        <v>305.39</v>
      </c>
      <c r="K966" s="5">
        <f>Sales_Data!E963</f>
        <v>1</v>
      </c>
      <c r="L966" s="5">
        <f>Sales_Data!F963</f>
        <v>302.97000000000003</v>
      </c>
      <c r="M966" s="5">
        <f>Sales_Data!G963</f>
        <v>308.12</v>
      </c>
      <c r="N966" s="5" t="str">
        <f>IFERROR(INDEX(Branch_Master!$B$2:$B$9,MATCH($B966,Branch_Master!$A$2:$A$9,0)),"Not Found")</f>
        <v>Bangalore</v>
      </c>
      <c r="O966" s="5" t="str">
        <f>IFERROR(INDEX(Branch_Master!$C$2:$C$9,MATCH($B966,Branch_Master!$A$2:$A$9,0)),"Not Found")</f>
        <v>Karnataka</v>
      </c>
      <c r="P966" s="5">
        <f>IFERROR(INDEX(Targets!$B$2:$B$9,MATCH($B966,Targets!$A$2:$A$9,0)),0)</f>
        <v>900000</v>
      </c>
      <c r="Q966" s="5" t="str">
        <f t="shared" si="30"/>
        <v>No</v>
      </c>
      <c r="R966" s="5" t="str">
        <f t="shared" si="31"/>
        <v>Dec</v>
      </c>
    </row>
    <row r="967" spans="1:18" ht="15" customHeight="1" x14ac:dyDescent="0.3">
      <c r="A967" s="5" t="str">
        <f>Sales_Data!A964</f>
        <v>2025-12-13</v>
      </c>
      <c r="B967" s="5" t="str">
        <f>Sales_Data!B964</f>
        <v>Ahmedabad West</v>
      </c>
      <c r="C967" s="5" t="str">
        <f>Sales_Data!C964</f>
        <v>E037</v>
      </c>
      <c r="D967" s="5" t="str">
        <f>IFERROR(INDEX(Employee_Master!$B$2:$B$44,MATCH($C967,Employee_Master!$A$2:$A$44,0)),"Not Found")</f>
        <v>Thomas Harris</v>
      </c>
      <c r="E967" s="5" t="str">
        <f>IFERROR(INDEX(Employee_Master!$C$2:$C$44,MATCH($C967,Employee_Master!$A$2:$A$44,0)),"Not Found")</f>
        <v>Customer Support</v>
      </c>
      <c r="F967" s="5" t="str">
        <f>IFERROR(INDEX(Employee_Master!$D$2:$D$44,MATCH($C967,Employee_Master!$A$2:$A$44,0)),"Not Found")</f>
        <v>Joseph Brown</v>
      </c>
      <c r="G967" s="5" t="str">
        <f>IFERROR(INDEX(Employee_Master!$E$2:$E$44,MATCH($C967,Employee_Master!$A$2:$A$44,0)),"Not Found")</f>
        <v>West</v>
      </c>
      <c r="H967" s="5" t="str">
        <f>Sales_Data!D964</f>
        <v>P026 - Yoga Mat</v>
      </c>
      <c r="I967" s="5" t="str">
        <f>IFERROR(INDEX(Product_Master!$B$2:$B$30,MATCH($H967,Product_Master!$A$2:$A$30,0)),"Invalid Product Code")</f>
        <v>Sports</v>
      </c>
      <c r="J967" s="5">
        <f>IFERROR(INDEX(Product_Master!$C$2:$C$30,MATCH($H967,Product_Master!$A$2:$A$30,0)),0)</f>
        <v>518.76</v>
      </c>
      <c r="K967" s="5">
        <f>Sales_Data!E964</f>
        <v>2</v>
      </c>
      <c r="L967" s="5">
        <f>Sales_Data!F964</f>
        <v>1069.46</v>
      </c>
      <c r="M967" s="5">
        <f>Sales_Data!G964</f>
        <v>885.74</v>
      </c>
      <c r="N967" s="5" t="str">
        <f>IFERROR(INDEX(Branch_Master!$B$2:$B$9,MATCH($B967,Branch_Master!$A$2:$A$9,0)),"Not Found")</f>
        <v>Ahmedabad</v>
      </c>
      <c r="O967" s="5" t="str">
        <f>IFERROR(INDEX(Branch_Master!$C$2:$C$9,MATCH($B967,Branch_Master!$A$2:$A$9,0)),"Not Found")</f>
        <v>Gujarat</v>
      </c>
      <c r="P967" s="5">
        <f>IFERROR(INDEX(Targets!$B$2:$B$9,MATCH($B967,Targets!$A$2:$A$9,0)),0)</f>
        <v>1590000</v>
      </c>
      <c r="Q967" s="5" t="str">
        <f t="shared" si="30"/>
        <v>Yes</v>
      </c>
      <c r="R967" s="5" t="str">
        <f t="shared" si="31"/>
        <v>Dec</v>
      </c>
    </row>
    <row r="968" spans="1:18" ht="15" customHeight="1" x14ac:dyDescent="0.3">
      <c r="A968" s="5" t="str">
        <f>Sales_Data!A965</f>
        <v>2025-12-14</v>
      </c>
      <c r="B968" s="5" t="str">
        <f>Sales_Data!B965</f>
        <v>Ahmedabad West</v>
      </c>
      <c r="C968" s="5" t="str">
        <f>Sales_Data!C965</f>
        <v>E001</v>
      </c>
      <c r="D968" s="5" t="str">
        <f>IFERROR(INDEX(Employee_Master!$B$2:$B$44,MATCH($C968,Employee_Master!$A$2:$A$44,0)),"Not Found")</f>
        <v>David Johnson</v>
      </c>
      <c r="E968" s="5" t="str">
        <f>IFERROR(INDEX(Employee_Master!$C$2:$C$44,MATCH($C968,Employee_Master!$A$2:$A$44,0)),"Not Found")</f>
        <v>Customer Support</v>
      </c>
      <c r="F968" s="5" t="str">
        <f>IFERROR(INDEX(Employee_Master!$D$2:$D$44,MATCH($C968,Employee_Master!$A$2:$A$44,0)),"Not Found")</f>
        <v>Joseph Brown</v>
      </c>
      <c r="G968" s="5" t="str">
        <f>IFERROR(INDEX(Employee_Master!$E$2:$E$44,MATCH($C968,Employee_Master!$A$2:$A$44,0)),"Not Found")</f>
        <v>West</v>
      </c>
      <c r="H968" s="5" t="str">
        <f>Sales_Data!D965</f>
        <v>P011 - Winter Jacket</v>
      </c>
      <c r="I968" s="5" t="str">
        <f>IFERROR(INDEX(Product_Master!$B$2:$B$30,MATCH($H968,Product_Master!$A$2:$A$30,0)),"Invalid Product Code")</f>
        <v>Apparel</v>
      </c>
      <c r="J968" s="5">
        <f>IFERROR(INDEX(Product_Master!$C$2:$C$30,MATCH($H968,Product_Master!$A$2:$A$30,0)),0)</f>
        <v>264.97000000000003</v>
      </c>
      <c r="K968" s="5">
        <f>Sales_Data!E965</f>
        <v>8</v>
      </c>
      <c r="L968" s="5">
        <f>Sales_Data!F965</f>
        <v>2005.04</v>
      </c>
      <c r="M968" s="5">
        <f>Sales_Data!G965</f>
        <v>2354.41</v>
      </c>
      <c r="N968" s="5" t="str">
        <f>IFERROR(INDEX(Branch_Master!$B$2:$B$9,MATCH($B968,Branch_Master!$A$2:$A$9,0)),"Not Found")</f>
        <v>Ahmedabad</v>
      </c>
      <c r="O968" s="5" t="str">
        <f>IFERROR(INDEX(Branch_Master!$C$2:$C$9,MATCH($B968,Branch_Master!$A$2:$A$9,0)),"Not Found")</f>
        <v>Gujarat</v>
      </c>
      <c r="P968" s="5">
        <f>IFERROR(INDEX(Targets!$B$2:$B$9,MATCH($B968,Targets!$A$2:$A$9,0)),0)</f>
        <v>1590000</v>
      </c>
      <c r="Q968" s="5" t="str">
        <f t="shared" si="30"/>
        <v>No</v>
      </c>
      <c r="R968" s="5" t="str">
        <f t="shared" si="31"/>
        <v>Dec</v>
      </c>
    </row>
    <row r="969" spans="1:18" ht="15" customHeight="1" x14ac:dyDescent="0.3">
      <c r="A969" s="5" t="str">
        <f>Sales_Data!A966</f>
        <v>2025-12-14</v>
      </c>
      <c r="B969" s="5" t="str">
        <f>Sales_Data!B966</f>
        <v>Chennai South</v>
      </c>
      <c r="C969" s="5" t="str">
        <f>Sales_Data!C966</f>
        <v>E032</v>
      </c>
      <c r="D969" s="5" t="str">
        <f>IFERROR(INDEX(Employee_Master!$B$2:$B$44,MATCH($C969,Employee_Master!$A$2:$A$44,0)),"Not Found")</f>
        <v>Victor Allen</v>
      </c>
      <c r="E969" s="5" t="str">
        <f>IFERROR(INDEX(Employee_Master!$C$2:$C$44,MATCH($C969,Employee_Master!$A$2:$A$44,0)),"Not Found")</f>
        <v>Operations</v>
      </c>
      <c r="F969" s="5" t="str">
        <f>IFERROR(INDEX(Employee_Master!$D$2:$D$44,MATCH($C969,Employee_Master!$A$2:$A$44,0)),"Not Found")</f>
        <v>Robert Steele</v>
      </c>
      <c r="G969" s="5" t="str">
        <f>IFERROR(INDEX(Employee_Master!$E$2:$E$44,MATCH($C969,Employee_Master!$A$2:$A$44,0)),"Not Found")</f>
        <v>South</v>
      </c>
      <c r="H969" s="5" t="str">
        <f>Sales_Data!D966</f>
        <v>P012 - Non-Stick Pan</v>
      </c>
      <c r="I969" s="5" t="str">
        <f>IFERROR(INDEX(Product_Master!$B$2:$B$30,MATCH($H969,Product_Master!$A$2:$A$30,0)),"Invalid Product Code")</f>
        <v>Home &amp; Kitchen</v>
      </c>
      <c r="J969" s="5">
        <f>IFERROR(INDEX(Product_Master!$C$2:$C$30,MATCH($H969,Product_Master!$A$2:$A$30,0)),0)</f>
        <v>353.18</v>
      </c>
      <c r="K969" s="5">
        <f>Sales_Data!E966</f>
        <v>5</v>
      </c>
      <c r="L969" s="5">
        <f>Sales_Data!F966</f>
        <v>1818.62</v>
      </c>
      <c r="M969" s="5">
        <f>Sales_Data!G966</f>
        <v>1799.83</v>
      </c>
      <c r="N969" s="5" t="str">
        <f>IFERROR(INDEX(Branch_Master!$B$2:$B$9,MATCH($B969,Branch_Master!$A$2:$A$9,0)),"Not Found")</f>
        <v>Chennai</v>
      </c>
      <c r="O969" s="5" t="str">
        <f>IFERROR(INDEX(Branch_Master!$C$2:$C$9,MATCH($B969,Branch_Master!$A$2:$A$9,0)),"Not Found")</f>
        <v>Tamil Nadu</v>
      </c>
      <c r="P969" s="5">
        <f>IFERROR(INDEX(Targets!$B$2:$B$9,MATCH($B969,Targets!$A$2:$A$9,0)),0)</f>
        <v>1910000</v>
      </c>
      <c r="Q969" s="5" t="str">
        <f t="shared" si="30"/>
        <v>Yes</v>
      </c>
      <c r="R969" s="5" t="str">
        <f t="shared" si="31"/>
        <v>Dec</v>
      </c>
    </row>
    <row r="970" spans="1:18" ht="15" customHeight="1" x14ac:dyDescent="0.3">
      <c r="A970" s="5" t="str">
        <f>Sales_Data!A967</f>
        <v>2025-12-16</v>
      </c>
      <c r="B970" s="5" t="str">
        <f>Sales_Data!B967</f>
        <v>Ahmedabad West</v>
      </c>
      <c r="C970" s="5" t="str">
        <f>Sales_Data!C967</f>
        <v>E008</v>
      </c>
      <c r="D970" s="5" t="str">
        <f>IFERROR(INDEX(Employee_Master!$B$2:$B$44,MATCH($C970,Employee_Master!$A$2:$A$44,0)),"Not Found")</f>
        <v>Tyler Boone</v>
      </c>
      <c r="E970" s="5" t="str">
        <f>IFERROR(INDEX(Employee_Master!$C$2:$C$44,MATCH($C970,Employee_Master!$A$2:$A$44,0)),"Not Found")</f>
        <v>Marketing</v>
      </c>
      <c r="F970" s="5" t="str">
        <f>IFERROR(INDEX(Employee_Master!$D$2:$D$44,MATCH($C970,Employee_Master!$A$2:$A$44,0)),"Not Found")</f>
        <v>Joseph Brown</v>
      </c>
      <c r="G970" s="5" t="str">
        <f>IFERROR(INDEX(Employee_Master!$E$2:$E$44,MATCH($C970,Employee_Master!$A$2:$A$44,0)),"Not Found")</f>
        <v>West</v>
      </c>
      <c r="H970" s="5" t="str">
        <f>Sales_Data!D967</f>
        <v>P003 - Bluetooth Speaker</v>
      </c>
      <c r="I970" s="5" t="str">
        <f>IFERROR(INDEX(Product_Master!$B$2:$B$30,MATCH($H970,Product_Master!$A$2:$A$30,0)),"Invalid Product Code")</f>
        <v>Electronics</v>
      </c>
      <c r="J970" s="5">
        <f>IFERROR(INDEX(Product_Master!$C$2:$C$30,MATCH($H970,Product_Master!$A$2:$A$30,0)),0)</f>
        <v>351.01</v>
      </c>
      <c r="K970" s="5">
        <f>Sales_Data!E967</f>
        <v>2</v>
      </c>
      <c r="L970" s="5">
        <f>Sales_Data!F967</f>
        <v>770.52</v>
      </c>
      <c r="M970" s="5">
        <f>Sales_Data!G967</f>
        <v>640.26</v>
      </c>
      <c r="N970" s="5" t="str">
        <f>IFERROR(INDEX(Branch_Master!$B$2:$B$9,MATCH($B970,Branch_Master!$A$2:$A$9,0)),"Not Found")</f>
        <v>Ahmedabad</v>
      </c>
      <c r="O970" s="5" t="str">
        <f>IFERROR(INDEX(Branch_Master!$C$2:$C$9,MATCH($B970,Branch_Master!$A$2:$A$9,0)),"Not Found")</f>
        <v>Gujarat</v>
      </c>
      <c r="P970" s="5">
        <f>IFERROR(INDEX(Targets!$B$2:$B$9,MATCH($B970,Targets!$A$2:$A$9,0)),0)</f>
        <v>1590000</v>
      </c>
      <c r="Q970" s="5" t="str">
        <f t="shared" si="30"/>
        <v>Yes</v>
      </c>
      <c r="R970" s="5" t="str">
        <f t="shared" si="31"/>
        <v>Dec</v>
      </c>
    </row>
    <row r="971" spans="1:18" ht="15" customHeight="1" x14ac:dyDescent="0.3">
      <c r="A971" s="5" t="str">
        <f>Sales_Data!A968</f>
        <v>2025-12-17</v>
      </c>
      <c r="B971" s="5" t="str">
        <f>Sales_Data!B968</f>
        <v>Chennai South</v>
      </c>
      <c r="C971" s="5" t="str">
        <f>Sales_Data!C968</f>
        <v>E032</v>
      </c>
      <c r="D971" s="5" t="str">
        <f>IFERROR(INDEX(Employee_Master!$B$2:$B$44,MATCH($C971,Employee_Master!$A$2:$A$44,0)),"Not Found")</f>
        <v>Victor Allen</v>
      </c>
      <c r="E971" s="5" t="str">
        <f>IFERROR(INDEX(Employee_Master!$C$2:$C$44,MATCH($C971,Employee_Master!$A$2:$A$44,0)),"Not Found")</f>
        <v>Operations</v>
      </c>
      <c r="F971" s="5" t="str">
        <f>IFERROR(INDEX(Employee_Master!$D$2:$D$44,MATCH($C971,Employee_Master!$A$2:$A$44,0)),"Not Found")</f>
        <v>Robert Steele</v>
      </c>
      <c r="G971" s="5" t="str">
        <f>IFERROR(INDEX(Employee_Master!$E$2:$E$44,MATCH($C971,Employee_Master!$A$2:$A$44,0)),"Not Found")</f>
        <v>South</v>
      </c>
      <c r="H971" s="5" t="str">
        <f>Sales_Data!D968</f>
        <v>P028 - Football</v>
      </c>
      <c r="I971" s="5" t="str">
        <f>IFERROR(INDEX(Product_Master!$B$2:$B$30,MATCH($H971,Product_Master!$A$2:$A$30,0)),"Invalid Product Code")</f>
        <v>Sports</v>
      </c>
      <c r="J971" s="5">
        <f>IFERROR(INDEX(Product_Master!$C$2:$C$30,MATCH($H971,Product_Master!$A$2:$A$30,0)),0)</f>
        <v>314.25</v>
      </c>
      <c r="K971" s="5">
        <f>Sales_Data!E968</f>
        <v>10</v>
      </c>
      <c r="L971" s="5">
        <f>Sales_Data!F968</f>
        <v>2994.46</v>
      </c>
      <c r="M971" s="5">
        <f>Sales_Data!G968</f>
        <v>3491.43</v>
      </c>
      <c r="N971" s="5" t="str">
        <f>IFERROR(INDEX(Branch_Master!$B$2:$B$9,MATCH($B971,Branch_Master!$A$2:$A$9,0)),"Not Found")</f>
        <v>Chennai</v>
      </c>
      <c r="O971" s="5" t="str">
        <f>IFERROR(INDEX(Branch_Master!$C$2:$C$9,MATCH($B971,Branch_Master!$A$2:$A$9,0)),"Not Found")</f>
        <v>Tamil Nadu</v>
      </c>
      <c r="P971" s="5">
        <f>IFERROR(INDEX(Targets!$B$2:$B$9,MATCH($B971,Targets!$A$2:$A$9,0)),0)</f>
        <v>1910000</v>
      </c>
      <c r="Q971" s="5" t="str">
        <f t="shared" si="30"/>
        <v>No</v>
      </c>
      <c r="R971" s="5" t="str">
        <f t="shared" si="31"/>
        <v>Dec</v>
      </c>
    </row>
    <row r="972" spans="1:18" ht="15" customHeight="1" x14ac:dyDescent="0.3">
      <c r="A972" s="5" t="str">
        <f>Sales_Data!A969</f>
        <v>2025-12-17</v>
      </c>
      <c r="B972" s="5" t="str">
        <f>Sales_Data!B969</f>
        <v>Pune East</v>
      </c>
      <c r="C972" s="5" t="str">
        <f>Sales_Data!C969</f>
        <v>E022</v>
      </c>
      <c r="D972" s="5" t="str">
        <f>IFERROR(INDEX(Employee_Master!$B$2:$B$44,MATCH($C972,Employee_Master!$A$2:$A$44,0)),"Not Found")</f>
        <v>Cindy Green PhD</v>
      </c>
      <c r="E972" s="5" t="str">
        <f>IFERROR(INDEX(Employee_Master!$C$2:$C$44,MATCH($C972,Employee_Master!$A$2:$A$44,0)),"Not Found")</f>
        <v>Customer Support</v>
      </c>
      <c r="F972" s="5" t="str">
        <f>IFERROR(INDEX(Employee_Master!$D$2:$D$44,MATCH($C972,Employee_Master!$A$2:$A$44,0)),"Not Found")</f>
        <v>Jordan Matthews</v>
      </c>
      <c r="G972" s="5" t="str">
        <f>IFERROR(INDEX(Employee_Master!$E$2:$E$44,MATCH($C972,Employee_Master!$A$2:$A$44,0)),"Not Found")</f>
        <v>West</v>
      </c>
      <c r="H972" s="5" t="str">
        <f>Sales_Data!D969</f>
        <v>P011 - Winter Jacket</v>
      </c>
      <c r="I972" s="5" t="str">
        <f>IFERROR(INDEX(Product_Master!$B$2:$B$30,MATCH($H972,Product_Master!$A$2:$A$30,0)),"Invalid Product Code")</f>
        <v>Apparel</v>
      </c>
      <c r="J972" s="5">
        <f>IFERROR(INDEX(Product_Master!$C$2:$C$30,MATCH($H972,Product_Master!$A$2:$A$30,0)),0)</f>
        <v>264.97000000000003</v>
      </c>
      <c r="K972" s="5">
        <f>Sales_Data!E969</f>
        <v>11</v>
      </c>
      <c r="L972" s="5">
        <f>Sales_Data!F969</f>
        <v>2675.76</v>
      </c>
      <c r="M972" s="5">
        <f>Sales_Data!G969</f>
        <v>2964.7</v>
      </c>
      <c r="N972" s="5" t="str">
        <f>IFERROR(INDEX(Branch_Master!$B$2:$B$9,MATCH($B972,Branch_Master!$A$2:$A$9,0)),"Not Found")</f>
        <v>Pune</v>
      </c>
      <c r="O972" s="5" t="str">
        <f>IFERROR(INDEX(Branch_Master!$C$2:$C$9,MATCH($B972,Branch_Master!$A$2:$A$9,0)),"Not Found")</f>
        <v>Maharashtra</v>
      </c>
      <c r="P972" s="5">
        <f>IFERROR(INDEX(Targets!$B$2:$B$9,MATCH($B972,Targets!$A$2:$A$9,0)),0)</f>
        <v>1250000</v>
      </c>
      <c r="Q972" s="5" t="str">
        <f t="shared" si="30"/>
        <v>No</v>
      </c>
      <c r="R972" s="5" t="str">
        <f t="shared" si="31"/>
        <v>Dec</v>
      </c>
    </row>
    <row r="973" spans="1:18" ht="15" customHeight="1" x14ac:dyDescent="0.3">
      <c r="A973" s="5" t="str">
        <f>Sales_Data!A970</f>
        <v>2025-12-17</v>
      </c>
      <c r="B973" s="5" t="str">
        <f>Sales_Data!B970</f>
        <v>Pune East</v>
      </c>
      <c r="C973" s="5" t="str">
        <f>Sales_Data!C970</f>
        <v>E023</v>
      </c>
      <c r="D973" s="5" t="str">
        <f>IFERROR(INDEX(Employee_Master!$B$2:$B$44,MATCH($C973,Employee_Master!$A$2:$A$44,0)),"Not Found")</f>
        <v>Edward Jones</v>
      </c>
      <c r="E973" s="5" t="str">
        <f>IFERROR(INDEX(Employee_Master!$C$2:$C$44,MATCH($C973,Employee_Master!$A$2:$A$44,0)),"Not Found")</f>
        <v>Operations</v>
      </c>
      <c r="F973" s="5" t="str">
        <f>IFERROR(INDEX(Employee_Master!$D$2:$D$44,MATCH($C973,Employee_Master!$A$2:$A$44,0)),"Not Found")</f>
        <v>Jordan Matthews</v>
      </c>
      <c r="G973" s="5" t="str">
        <f>IFERROR(INDEX(Employee_Master!$E$2:$E$44,MATCH($C973,Employee_Master!$A$2:$A$44,0)),"Not Found")</f>
        <v>West</v>
      </c>
      <c r="H973" s="5" t="str">
        <f>Sales_Data!D970</f>
        <v>P017 - Basmati Rice 5kg</v>
      </c>
      <c r="I973" s="5" t="str">
        <f>IFERROR(INDEX(Product_Master!$B$2:$B$30,MATCH($H973,Product_Master!$A$2:$A$30,0)),"Invalid Product Code")</f>
        <v>Grocery</v>
      </c>
      <c r="J973" s="5">
        <f>IFERROR(INDEX(Product_Master!$C$2:$C$30,MATCH($H973,Product_Master!$A$2:$A$30,0)),0)</f>
        <v>825.33</v>
      </c>
      <c r="K973" s="5">
        <f>Sales_Data!E970</f>
        <v>11</v>
      </c>
      <c r="L973" s="5">
        <f>Sales_Data!F970</f>
        <v>8505.9</v>
      </c>
      <c r="M973" s="5">
        <f>Sales_Data!G970</f>
        <v>9151.36</v>
      </c>
      <c r="N973" s="5" t="str">
        <f>IFERROR(INDEX(Branch_Master!$B$2:$B$9,MATCH($B973,Branch_Master!$A$2:$A$9,0)),"Not Found")</f>
        <v>Pune</v>
      </c>
      <c r="O973" s="5" t="str">
        <f>IFERROR(INDEX(Branch_Master!$C$2:$C$9,MATCH($B973,Branch_Master!$A$2:$A$9,0)),"Not Found")</f>
        <v>Maharashtra</v>
      </c>
      <c r="P973" s="5">
        <f>IFERROR(INDEX(Targets!$B$2:$B$9,MATCH($B973,Targets!$A$2:$A$9,0)),0)</f>
        <v>1250000</v>
      </c>
      <c r="Q973" s="5" t="str">
        <f t="shared" si="30"/>
        <v>No</v>
      </c>
      <c r="R973" s="5" t="str">
        <f t="shared" si="31"/>
        <v>Dec</v>
      </c>
    </row>
    <row r="974" spans="1:18" ht="15" customHeight="1" x14ac:dyDescent="0.3">
      <c r="A974" s="5" t="str">
        <f>Sales_Data!A971</f>
        <v>2025-12-18</v>
      </c>
      <c r="B974" s="5" t="str">
        <f>Sales_Data!B971</f>
        <v>Kolkata Central</v>
      </c>
      <c r="C974" s="5" t="str">
        <f>Sales_Data!C971</f>
        <v>E028</v>
      </c>
      <c r="D974" s="5" t="str">
        <f>IFERROR(INDEX(Employee_Master!$B$2:$B$44,MATCH($C974,Employee_Master!$A$2:$A$44,0)),"Not Found")</f>
        <v>Sabrina Wright</v>
      </c>
      <c r="E974" s="5" t="str">
        <f>IFERROR(INDEX(Employee_Master!$C$2:$C$44,MATCH($C974,Employee_Master!$A$2:$A$44,0)),"Not Found")</f>
        <v>Customer Support</v>
      </c>
      <c r="F974" s="5" t="str">
        <f>IFERROR(INDEX(Employee_Master!$D$2:$D$44,MATCH($C974,Employee_Master!$A$2:$A$44,0)),"Not Found")</f>
        <v>Lisa Moore</v>
      </c>
      <c r="G974" s="5" t="str">
        <f>IFERROR(INDEX(Employee_Master!$E$2:$E$44,MATCH($C974,Employee_Master!$A$2:$A$44,0)),"Not Found")</f>
        <v>East</v>
      </c>
      <c r="H974" s="5" t="str">
        <f>Sales_Data!D971</f>
        <v>P006 - Laptop Stand</v>
      </c>
      <c r="I974" s="5" t="str">
        <f>IFERROR(INDEX(Product_Master!$B$2:$B$30,MATCH($H974,Product_Master!$A$2:$A$30,0)),"Invalid Product Code")</f>
        <v>Electronics</v>
      </c>
      <c r="J974" s="5">
        <f>IFERROR(INDEX(Product_Master!$C$2:$C$30,MATCH($H974,Product_Master!$A$2:$A$30,0)),0)</f>
        <v>393.96</v>
      </c>
      <c r="K974" s="5">
        <f>Sales_Data!E971</f>
        <v>3</v>
      </c>
      <c r="L974" s="5">
        <f>Sales_Data!F971</f>
        <v>1088.58</v>
      </c>
      <c r="M974" s="5">
        <f>Sales_Data!G971</f>
        <v>1009.97</v>
      </c>
      <c r="N974" s="5" t="str">
        <f>IFERROR(INDEX(Branch_Master!$B$2:$B$9,MATCH($B974,Branch_Master!$A$2:$A$9,0)),"Not Found")</f>
        <v>Kolkata</v>
      </c>
      <c r="O974" s="5" t="str">
        <f>IFERROR(INDEX(Branch_Master!$C$2:$C$9,MATCH($B974,Branch_Master!$A$2:$A$9,0)),"Not Found")</f>
        <v>West Bengal</v>
      </c>
      <c r="P974" s="5">
        <f>IFERROR(INDEX(Targets!$B$2:$B$9,MATCH($B974,Targets!$A$2:$A$9,0)),0)</f>
        <v>1910000</v>
      </c>
      <c r="Q974" s="5" t="str">
        <f t="shared" si="30"/>
        <v>Yes</v>
      </c>
      <c r="R974" s="5" t="str">
        <f t="shared" si="31"/>
        <v>Dec</v>
      </c>
    </row>
    <row r="975" spans="1:18" ht="15" customHeight="1" x14ac:dyDescent="0.3">
      <c r="A975" s="5" t="str">
        <f>Sales_Data!A972</f>
        <v>2025-12-18</v>
      </c>
      <c r="B975" s="5" t="str">
        <f>Sales_Data!B972</f>
        <v>Hyderabad Hitech</v>
      </c>
      <c r="C975" s="5" t="str">
        <f>Sales_Data!C972</f>
        <v>E020</v>
      </c>
      <c r="D975" s="5" t="str">
        <f>IFERROR(INDEX(Employee_Master!$B$2:$B$44,MATCH($C975,Employee_Master!$A$2:$A$44,0)),"Not Found")</f>
        <v>Christine Long</v>
      </c>
      <c r="E975" s="5" t="str">
        <f>IFERROR(INDEX(Employee_Master!$C$2:$C$44,MATCH($C975,Employee_Master!$A$2:$A$44,0)),"Not Found")</f>
        <v>Operations</v>
      </c>
      <c r="F975" s="5" t="str">
        <f>IFERROR(INDEX(Employee_Master!$D$2:$D$44,MATCH($C975,Employee_Master!$A$2:$A$44,0)),"Not Found")</f>
        <v>Anna Turner</v>
      </c>
      <c r="G975" s="5" t="str">
        <f>IFERROR(INDEX(Employee_Master!$E$2:$E$44,MATCH($C975,Employee_Master!$A$2:$A$44,0)),"Not Found")</f>
        <v>South</v>
      </c>
      <c r="H975" s="5" t="str">
        <f>Sales_Data!D972</f>
        <v>P003 - Bluetooth Speaker</v>
      </c>
      <c r="I975" s="5" t="str">
        <f>IFERROR(INDEX(Product_Master!$B$2:$B$30,MATCH($H975,Product_Master!$A$2:$A$30,0)),"Invalid Product Code")</f>
        <v>Electronics</v>
      </c>
      <c r="J975" s="5">
        <f>IFERROR(INDEX(Product_Master!$C$2:$C$30,MATCH($H975,Product_Master!$A$2:$A$30,0)),0)</f>
        <v>351.01</v>
      </c>
      <c r="K975" s="5">
        <f>Sales_Data!E972</f>
        <v>7</v>
      </c>
      <c r="L975" s="5">
        <f>Sales_Data!F972</f>
        <v>2555.94</v>
      </c>
      <c r="M975" s="5">
        <f>Sales_Data!G972</f>
        <v>2241</v>
      </c>
      <c r="N975" s="5" t="str">
        <f>IFERROR(INDEX(Branch_Master!$B$2:$B$9,MATCH($B975,Branch_Master!$A$2:$A$9,0)),"Not Found")</f>
        <v>Hyderabad</v>
      </c>
      <c r="O975" s="5" t="str">
        <f>IFERROR(INDEX(Branch_Master!$C$2:$C$9,MATCH($B975,Branch_Master!$A$2:$A$9,0)),"Not Found")</f>
        <v>Telangana</v>
      </c>
      <c r="P975" s="5">
        <f>IFERROR(INDEX(Targets!$B$2:$B$9,MATCH($B975,Targets!$A$2:$A$9,0)),0)</f>
        <v>1210000</v>
      </c>
      <c r="Q975" s="5" t="str">
        <f t="shared" si="30"/>
        <v>Yes</v>
      </c>
      <c r="R975" s="5" t="str">
        <f t="shared" si="31"/>
        <v>Dec</v>
      </c>
    </row>
    <row r="976" spans="1:18" ht="15" customHeight="1" x14ac:dyDescent="0.3">
      <c r="A976" s="5" t="str">
        <f>Sales_Data!A973</f>
        <v>2025-12-18</v>
      </c>
      <c r="B976" s="5" t="str">
        <f>Sales_Data!B973</f>
        <v>Chennai South</v>
      </c>
      <c r="C976" s="5" t="str">
        <f>Sales_Data!C973</f>
        <v>E019</v>
      </c>
      <c r="D976" s="5" t="str">
        <f>IFERROR(INDEX(Employee_Master!$B$2:$B$44,MATCH($C976,Employee_Master!$A$2:$A$44,0)),"Not Found")</f>
        <v>Regina Torres</v>
      </c>
      <c r="E976" s="5" t="str">
        <f>IFERROR(INDEX(Employee_Master!$C$2:$C$44,MATCH($C976,Employee_Master!$A$2:$A$44,0)),"Not Found")</f>
        <v>Operations</v>
      </c>
      <c r="F976" s="5" t="str">
        <f>IFERROR(INDEX(Employee_Master!$D$2:$D$44,MATCH($C976,Employee_Master!$A$2:$A$44,0)),"Not Found")</f>
        <v>Robert Steele</v>
      </c>
      <c r="G976" s="5" t="str">
        <f>IFERROR(INDEX(Employee_Master!$E$2:$E$44,MATCH($C976,Employee_Master!$A$2:$A$44,0)),"Not Found")</f>
        <v>South</v>
      </c>
      <c r="H976" s="5" t="str">
        <f>Sales_Data!D973</f>
        <v>P017 - Basmati Rice 5kg</v>
      </c>
      <c r="I976" s="5" t="str">
        <f>IFERROR(INDEX(Product_Master!$B$2:$B$30,MATCH($H976,Product_Master!$A$2:$A$30,0)),"Invalid Product Code")</f>
        <v>Grocery</v>
      </c>
      <c r="J976" s="5">
        <f>IFERROR(INDEX(Product_Master!$C$2:$C$30,MATCH($H976,Product_Master!$A$2:$A$30,0)),0)</f>
        <v>825.33</v>
      </c>
      <c r="K976" s="5">
        <f>Sales_Data!E973</f>
        <v>5</v>
      </c>
      <c r="L976" s="5">
        <f>Sales_Data!F973</f>
        <v>4092.21</v>
      </c>
      <c r="M976" s="5">
        <f>Sales_Data!G973</f>
        <v>3781.51</v>
      </c>
      <c r="N976" s="5" t="str">
        <f>IFERROR(INDEX(Branch_Master!$B$2:$B$9,MATCH($B976,Branch_Master!$A$2:$A$9,0)),"Not Found")</f>
        <v>Chennai</v>
      </c>
      <c r="O976" s="5" t="str">
        <f>IFERROR(INDEX(Branch_Master!$C$2:$C$9,MATCH($B976,Branch_Master!$A$2:$A$9,0)),"Not Found")</f>
        <v>Tamil Nadu</v>
      </c>
      <c r="P976" s="5">
        <f>IFERROR(INDEX(Targets!$B$2:$B$9,MATCH($B976,Targets!$A$2:$A$9,0)),0)</f>
        <v>1910000</v>
      </c>
      <c r="Q976" s="5" t="str">
        <f t="shared" si="30"/>
        <v>Yes</v>
      </c>
      <c r="R976" s="5" t="str">
        <f t="shared" si="31"/>
        <v>Dec</v>
      </c>
    </row>
    <row r="977" spans="1:18" ht="15" customHeight="1" x14ac:dyDescent="0.3">
      <c r="A977" s="5" t="str">
        <f>Sales_Data!A974</f>
        <v>2025-12-19</v>
      </c>
      <c r="B977" s="5" t="str">
        <f>Sales_Data!B974</f>
        <v>Bangalore North</v>
      </c>
      <c r="C977" s="5" t="str">
        <f>Sales_Data!C974</f>
        <v>E004</v>
      </c>
      <c r="D977" s="5" t="str">
        <f>IFERROR(INDEX(Employee_Master!$B$2:$B$44,MATCH($C977,Employee_Master!$A$2:$A$44,0)),"Not Found")</f>
        <v>Judith Ramirez</v>
      </c>
      <c r="E977" s="5" t="str">
        <f>IFERROR(INDEX(Employee_Master!$C$2:$C$44,MATCH($C977,Employee_Master!$A$2:$A$44,0)),"Not Found")</f>
        <v>Sales</v>
      </c>
      <c r="F977" s="5" t="str">
        <f>IFERROR(INDEX(Employee_Master!$D$2:$D$44,MATCH($C977,Employee_Master!$A$2:$A$44,0)),"Not Found")</f>
        <v>Jose Soto</v>
      </c>
      <c r="G977" s="5" t="str">
        <f>IFERROR(INDEX(Employee_Master!$E$2:$E$44,MATCH($C977,Employee_Master!$A$2:$A$44,0)),"Not Found")</f>
        <v>South</v>
      </c>
      <c r="H977" s="5" t="str">
        <f>Sales_Data!D974</f>
        <v>P023 - Sunscreen SPF50</v>
      </c>
      <c r="I977" s="5" t="str">
        <f>IFERROR(INDEX(Product_Master!$B$2:$B$30,MATCH($H977,Product_Master!$A$2:$A$30,0)),"Invalid Product Code")</f>
        <v>Beauty</v>
      </c>
      <c r="J977" s="5">
        <f>IFERROR(INDEX(Product_Master!$C$2:$C$30,MATCH($H977,Product_Master!$A$2:$A$30,0)),0)</f>
        <v>818.95</v>
      </c>
      <c r="K977" s="5">
        <f>Sales_Data!E974</f>
        <v>12</v>
      </c>
      <c r="L977" s="5">
        <f>Sales_Data!F974</f>
        <v>9880.73</v>
      </c>
      <c r="M977" s="5">
        <f>Sales_Data!G974</f>
        <v>8356.8799999999992</v>
      </c>
      <c r="N977" s="5" t="str">
        <f>IFERROR(INDEX(Branch_Master!$B$2:$B$9,MATCH($B977,Branch_Master!$A$2:$A$9,0)),"Not Found")</f>
        <v>Bangalore</v>
      </c>
      <c r="O977" s="5" t="str">
        <f>IFERROR(INDEX(Branch_Master!$C$2:$C$9,MATCH($B977,Branch_Master!$A$2:$A$9,0)),"Not Found")</f>
        <v>Karnataka</v>
      </c>
      <c r="P977" s="5">
        <f>IFERROR(INDEX(Targets!$B$2:$B$9,MATCH($B977,Targets!$A$2:$A$9,0)),0)</f>
        <v>900000</v>
      </c>
      <c r="Q977" s="5" t="str">
        <f t="shared" si="30"/>
        <v>Yes</v>
      </c>
      <c r="R977" s="5" t="str">
        <f t="shared" si="31"/>
        <v>Dec</v>
      </c>
    </row>
    <row r="978" spans="1:18" ht="15" customHeight="1" x14ac:dyDescent="0.3">
      <c r="A978" s="5" t="str">
        <f>Sales_Data!A975</f>
        <v>2025-12-19</v>
      </c>
      <c r="B978" s="5" t="str">
        <f>Sales_Data!B975</f>
        <v>Kolkata Central</v>
      </c>
      <c r="C978" s="5" t="str">
        <f>Sales_Data!C975</f>
        <v>E028</v>
      </c>
      <c r="D978" s="5" t="str">
        <f>IFERROR(INDEX(Employee_Master!$B$2:$B$44,MATCH($C978,Employee_Master!$A$2:$A$44,0)),"Not Found")</f>
        <v>Sabrina Wright</v>
      </c>
      <c r="E978" s="5" t="str">
        <f>IFERROR(INDEX(Employee_Master!$C$2:$C$44,MATCH($C978,Employee_Master!$A$2:$A$44,0)),"Not Found")</f>
        <v>Customer Support</v>
      </c>
      <c r="F978" s="5" t="str">
        <f>IFERROR(INDEX(Employee_Master!$D$2:$D$44,MATCH($C978,Employee_Master!$A$2:$A$44,0)),"Not Found")</f>
        <v>Lisa Moore</v>
      </c>
      <c r="G978" s="5" t="str">
        <f>IFERROR(INDEX(Employee_Master!$E$2:$E$44,MATCH($C978,Employee_Master!$A$2:$A$44,0)),"Not Found")</f>
        <v>East</v>
      </c>
      <c r="H978" s="5" t="str">
        <f>Sales_Data!D975</f>
        <v>P016 - Dinner Set</v>
      </c>
      <c r="I978" s="5" t="str">
        <f>IFERROR(INDEX(Product_Master!$B$2:$B$30,MATCH($H978,Product_Master!$A$2:$A$30,0)),"Invalid Product Code")</f>
        <v>Home &amp; Kitchen</v>
      </c>
      <c r="J978" s="5">
        <f>IFERROR(INDEX(Product_Master!$C$2:$C$30,MATCH($H978,Product_Master!$A$2:$A$30,0)),0)</f>
        <v>225.06</v>
      </c>
      <c r="K978" s="5">
        <f>Sales_Data!E975</f>
        <v>8</v>
      </c>
      <c r="L978" s="5">
        <f>Sales_Data!F975</f>
        <v>0</v>
      </c>
      <c r="M978" s="5">
        <f>Sales_Data!G975</f>
        <v>1992.26</v>
      </c>
      <c r="N978" s="5" t="str">
        <f>IFERROR(INDEX(Branch_Master!$B$2:$B$9,MATCH($B978,Branch_Master!$A$2:$A$9,0)),"Not Found")</f>
        <v>Kolkata</v>
      </c>
      <c r="O978" s="5" t="str">
        <f>IFERROR(INDEX(Branch_Master!$C$2:$C$9,MATCH($B978,Branch_Master!$A$2:$A$9,0)),"Not Found")</f>
        <v>West Bengal</v>
      </c>
      <c r="P978" s="5">
        <f>IFERROR(INDEX(Targets!$B$2:$B$9,MATCH($B978,Targets!$A$2:$A$9,0)),0)</f>
        <v>1910000</v>
      </c>
      <c r="Q978" s="5" t="str">
        <f t="shared" si="30"/>
        <v>No</v>
      </c>
      <c r="R978" s="5" t="str">
        <f t="shared" si="31"/>
        <v>Dec</v>
      </c>
    </row>
    <row r="979" spans="1:18" ht="15" customHeight="1" x14ac:dyDescent="0.3">
      <c r="A979" s="5" t="str">
        <f>Sales_Data!A976</f>
        <v>2025-12-19</v>
      </c>
      <c r="B979" s="5" t="str">
        <f>Sales_Data!B976</f>
        <v>Ahmedabad West</v>
      </c>
      <c r="C979" s="5" t="str">
        <f>Sales_Data!C976</f>
        <v>E001</v>
      </c>
      <c r="D979" s="5" t="str">
        <f>IFERROR(INDEX(Employee_Master!$B$2:$B$44,MATCH($C979,Employee_Master!$A$2:$A$44,0)),"Not Found")</f>
        <v>David Johnson</v>
      </c>
      <c r="E979" s="5" t="str">
        <f>IFERROR(INDEX(Employee_Master!$C$2:$C$44,MATCH($C979,Employee_Master!$A$2:$A$44,0)),"Not Found")</f>
        <v>Customer Support</v>
      </c>
      <c r="F979" s="5" t="str">
        <f>IFERROR(INDEX(Employee_Master!$D$2:$D$44,MATCH($C979,Employee_Master!$A$2:$A$44,0)),"Not Found")</f>
        <v>Joseph Brown</v>
      </c>
      <c r="G979" s="5" t="str">
        <f>IFERROR(INDEX(Employee_Master!$E$2:$E$44,MATCH($C979,Employee_Master!$A$2:$A$44,0)),"Not Found")</f>
        <v>West</v>
      </c>
      <c r="H979" s="5" t="str">
        <f>Sales_Data!D976</f>
        <v>P027 - Cricket Bat</v>
      </c>
      <c r="I979" s="5" t="str">
        <f>IFERROR(INDEX(Product_Master!$B$2:$B$30,MATCH($H979,Product_Master!$A$2:$A$30,0)),"Invalid Product Code")</f>
        <v>Sports</v>
      </c>
      <c r="J979" s="5">
        <f>IFERROR(INDEX(Product_Master!$C$2:$C$30,MATCH($H979,Product_Master!$A$2:$A$30,0)),0)</f>
        <v>822.7</v>
      </c>
      <c r="K979" s="5">
        <f>Sales_Data!E976</f>
        <v>3</v>
      </c>
      <c r="L979" s="5">
        <f>Sales_Data!F976</f>
        <v>2589.2800000000002</v>
      </c>
      <c r="M979" s="5">
        <f>Sales_Data!G976</f>
        <v>2735.83</v>
      </c>
      <c r="N979" s="5" t="str">
        <f>IFERROR(INDEX(Branch_Master!$B$2:$B$9,MATCH($B979,Branch_Master!$A$2:$A$9,0)),"Not Found")</f>
        <v>Ahmedabad</v>
      </c>
      <c r="O979" s="5" t="str">
        <f>IFERROR(INDEX(Branch_Master!$C$2:$C$9,MATCH($B979,Branch_Master!$A$2:$A$9,0)),"Not Found")</f>
        <v>Gujarat</v>
      </c>
      <c r="P979" s="5">
        <f>IFERROR(INDEX(Targets!$B$2:$B$9,MATCH($B979,Targets!$A$2:$A$9,0)),0)</f>
        <v>1590000</v>
      </c>
      <c r="Q979" s="5" t="str">
        <f t="shared" si="30"/>
        <v>No</v>
      </c>
      <c r="R979" s="5" t="str">
        <f t="shared" si="31"/>
        <v>Dec</v>
      </c>
    </row>
    <row r="980" spans="1:18" ht="15" customHeight="1" x14ac:dyDescent="0.3">
      <c r="A980" s="5" t="str">
        <f>Sales_Data!A977</f>
        <v>2025-12-19</v>
      </c>
      <c r="B980" s="5" t="str">
        <f>Sales_Data!B977</f>
        <v>Hyderabad Hitech</v>
      </c>
      <c r="C980" s="5" t="str">
        <f>Sales_Data!C977</f>
        <v>E020</v>
      </c>
      <c r="D980" s="5" t="str">
        <f>IFERROR(INDEX(Employee_Master!$B$2:$B$44,MATCH($C980,Employee_Master!$A$2:$A$44,0)),"Not Found")</f>
        <v>Christine Long</v>
      </c>
      <c r="E980" s="5" t="str">
        <f>IFERROR(INDEX(Employee_Master!$C$2:$C$44,MATCH($C980,Employee_Master!$A$2:$A$44,0)),"Not Found")</f>
        <v>Operations</v>
      </c>
      <c r="F980" s="5" t="str">
        <f>IFERROR(INDEX(Employee_Master!$D$2:$D$44,MATCH($C980,Employee_Master!$A$2:$A$44,0)),"Not Found")</f>
        <v>Anna Turner</v>
      </c>
      <c r="G980" s="5" t="str">
        <f>IFERROR(INDEX(Employee_Master!$E$2:$E$44,MATCH($C980,Employee_Master!$A$2:$A$44,0)),"Not Found")</f>
        <v>South</v>
      </c>
      <c r="H980" s="5" t="str">
        <f>Sales_Data!D977</f>
        <v>P024 - Hair Serum</v>
      </c>
      <c r="I980" s="5" t="str">
        <f>IFERROR(INDEX(Product_Master!$B$2:$B$30,MATCH($H980,Product_Master!$A$2:$A$30,0)),"Invalid Product Code")</f>
        <v>Beauty</v>
      </c>
      <c r="J980" s="5">
        <f>IFERROR(INDEX(Product_Master!$C$2:$C$30,MATCH($H980,Product_Master!$A$2:$A$30,0)),0)</f>
        <v>1457.31</v>
      </c>
      <c r="K980" s="5">
        <f>Sales_Data!E977</f>
        <v>2</v>
      </c>
      <c r="L980" s="5">
        <f>Sales_Data!F977</f>
        <v>2964.43</v>
      </c>
      <c r="M980" s="5">
        <f>Sales_Data!G977</f>
        <v>3329.68</v>
      </c>
      <c r="N980" s="5" t="str">
        <f>IFERROR(INDEX(Branch_Master!$B$2:$B$9,MATCH($B980,Branch_Master!$A$2:$A$9,0)),"Not Found")</f>
        <v>Hyderabad</v>
      </c>
      <c r="O980" s="5" t="str">
        <f>IFERROR(INDEX(Branch_Master!$C$2:$C$9,MATCH($B980,Branch_Master!$A$2:$A$9,0)),"Not Found")</f>
        <v>Telangana</v>
      </c>
      <c r="P980" s="5">
        <f>IFERROR(INDEX(Targets!$B$2:$B$9,MATCH($B980,Targets!$A$2:$A$9,0)),0)</f>
        <v>1210000</v>
      </c>
      <c r="Q980" s="5" t="str">
        <f t="shared" si="30"/>
        <v>No</v>
      </c>
      <c r="R980" s="5" t="str">
        <f t="shared" si="31"/>
        <v>Dec</v>
      </c>
    </row>
    <row r="981" spans="1:18" ht="15" customHeight="1" x14ac:dyDescent="0.3">
      <c r="A981" s="5" t="str">
        <f>Sales_Data!A978</f>
        <v>2025-12-20</v>
      </c>
      <c r="B981" s="5" t="str">
        <f>Sales_Data!B978</f>
        <v>Ahmedabad West</v>
      </c>
      <c r="C981" s="5" t="str">
        <f>Sales_Data!C978</f>
        <v>E002</v>
      </c>
      <c r="D981" s="5" t="str">
        <f>IFERROR(INDEX(Employee_Master!$B$2:$B$44,MATCH($C981,Employee_Master!$A$2:$A$44,0)),"Not Found")</f>
        <v>Jeremiah Kirby</v>
      </c>
      <c r="E981" s="5" t="str">
        <f>IFERROR(INDEX(Employee_Master!$C$2:$C$44,MATCH($C981,Employee_Master!$A$2:$A$44,0)),"Not Found")</f>
        <v>Marketing</v>
      </c>
      <c r="F981" s="5" t="str">
        <f>IFERROR(INDEX(Employee_Master!$D$2:$D$44,MATCH($C981,Employee_Master!$A$2:$A$44,0)),"Not Found")</f>
        <v>Joseph Brown</v>
      </c>
      <c r="G981" s="5" t="str">
        <f>IFERROR(INDEX(Employee_Master!$E$2:$E$44,MATCH($C981,Employee_Master!$A$2:$A$44,0)),"Not Found")</f>
        <v>West</v>
      </c>
      <c r="H981" s="5" t="str">
        <f>Sales_Data!D978</f>
        <v>P009 - Formal Shirt</v>
      </c>
      <c r="I981" s="5" t="str">
        <f>IFERROR(INDEX(Product_Master!$B$2:$B$30,MATCH($H981,Product_Master!$A$2:$A$30,0)),"Invalid Product Code")</f>
        <v>Apparel</v>
      </c>
      <c r="J981" s="5">
        <f>IFERROR(INDEX(Product_Master!$C$2:$C$30,MATCH($H981,Product_Master!$A$2:$A$30,0)),0)</f>
        <v>661.65</v>
      </c>
      <c r="K981" s="5">
        <f>Sales_Data!E978</f>
        <v>9</v>
      </c>
      <c r="L981" s="5">
        <f>Sales_Data!F978</f>
        <v>6193.99</v>
      </c>
      <c r="M981" s="5">
        <f>Sales_Data!G978</f>
        <v>5329.52</v>
      </c>
      <c r="N981" s="5" t="str">
        <f>IFERROR(INDEX(Branch_Master!$B$2:$B$9,MATCH($B981,Branch_Master!$A$2:$A$9,0)),"Not Found")</f>
        <v>Ahmedabad</v>
      </c>
      <c r="O981" s="5" t="str">
        <f>IFERROR(INDEX(Branch_Master!$C$2:$C$9,MATCH($B981,Branch_Master!$A$2:$A$9,0)),"Not Found")</f>
        <v>Gujarat</v>
      </c>
      <c r="P981" s="5">
        <f>IFERROR(INDEX(Targets!$B$2:$B$9,MATCH($B981,Targets!$A$2:$A$9,0)),0)</f>
        <v>1590000</v>
      </c>
      <c r="Q981" s="5" t="str">
        <f t="shared" si="30"/>
        <v>Yes</v>
      </c>
      <c r="R981" s="5" t="str">
        <f t="shared" si="31"/>
        <v>Dec</v>
      </c>
    </row>
    <row r="982" spans="1:18" ht="15" customHeight="1" x14ac:dyDescent="0.3">
      <c r="A982" s="5" t="str">
        <f>Sales_Data!A979</f>
        <v>2025-12-20</v>
      </c>
      <c r="B982" s="5" t="str">
        <f>Sales_Data!B979</f>
        <v>Bangalore North</v>
      </c>
      <c r="C982" s="5" t="str">
        <f>Sales_Data!C979</f>
        <v>E040</v>
      </c>
      <c r="D982" s="5" t="str">
        <f>IFERROR(INDEX(Employee_Master!$B$2:$B$44,MATCH($C982,Employee_Master!$A$2:$A$44,0)),"Not Found")</f>
        <v>Bonnie Cox</v>
      </c>
      <c r="E982" s="5" t="str">
        <f>IFERROR(INDEX(Employee_Master!$C$2:$C$44,MATCH($C982,Employee_Master!$A$2:$A$44,0)),"Not Found")</f>
        <v>Customer Support</v>
      </c>
      <c r="F982" s="5" t="str">
        <f>IFERROR(INDEX(Employee_Master!$D$2:$D$44,MATCH($C982,Employee_Master!$A$2:$A$44,0)),"Not Found")</f>
        <v>Jose Soto</v>
      </c>
      <c r="G982" s="5" t="str">
        <f>IFERROR(INDEX(Employee_Master!$E$2:$E$44,MATCH($C982,Employee_Master!$A$2:$A$44,0)),"Not Found")</f>
        <v>South</v>
      </c>
      <c r="H982" s="5" t="str">
        <f>Sales_Data!D979</f>
        <v>P002 - Smart Watch</v>
      </c>
      <c r="I982" s="5" t="str">
        <f>IFERROR(INDEX(Product_Master!$B$2:$B$30,MATCH($H982,Product_Master!$A$2:$A$30,0)),"Invalid Product Code")</f>
        <v>Electronics</v>
      </c>
      <c r="J982" s="5">
        <f>IFERROR(INDEX(Product_Master!$C$2:$C$30,MATCH($H982,Product_Master!$A$2:$A$30,0)),0)</f>
        <v>403.33</v>
      </c>
      <c r="K982" s="5">
        <f>Sales_Data!E979</f>
        <v>1</v>
      </c>
      <c r="L982" s="5">
        <f>Sales_Data!F979</f>
        <v>401.3</v>
      </c>
      <c r="M982" s="5">
        <f>Sales_Data!G979</f>
        <v>386.08</v>
      </c>
      <c r="N982" s="5" t="str">
        <f>IFERROR(INDEX(Branch_Master!$B$2:$B$9,MATCH($B982,Branch_Master!$A$2:$A$9,0)),"Not Found")</f>
        <v>Bangalore</v>
      </c>
      <c r="O982" s="5" t="str">
        <f>IFERROR(INDEX(Branch_Master!$C$2:$C$9,MATCH($B982,Branch_Master!$A$2:$A$9,0)),"Not Found")</f>
        <v>Karnataka</v>
      </c>
      <c r="P982" s="5">
        <f>IFERROR(INDEX(Targets!$B$2:$B$9,MATCH($B982,Targets!$A$2:$A$9,0)),0)</f>
        <v>900000</v>
      </c>
      <c r="Q982" s="5" t="str">
        <f t="shared" si="30"/>
        <v>Yes</v>
      </c>
      <c r="R982" s="5" t="str">
        <f t="shared" si="31"/>
        <v>Dec</v>
      </c>
    </row>
    <row r="983" spans="1:18" ht="15" customHeight="1" x14ac:dyDescent="0.3">
      <c r="A983" s="5" t="str">
        <f>Sales_Data!A980</f>
        <v>2025-12-21</v>
      </c>
      <c r="B983" s="5" t="str">
        <f>Sales_Data!B980</f>
        <v>Mumbai Central</v>
      </c>
      <c r="C983" s="5" t="str">
        <f>Sales_Data!C980</f>
        <v>E012</v>
      </c>
      <c r="D983" s="5" t="str">
        <f>IFERROR(INDEX(Employee_Master!$B$2:$B$44,MATCH($C983,Employee_Master!$A$2:$A$44,0)),"Not Found")</f>
        <v>Brandon Cook</v>
      </c>
      <c r="E983" s="5" t="str">
        <f>IFERROR(INDEX(Employee_Master!$C$2:$C$44,MATCH($C983,Employee_Master!$A$2:$A$44,0)),"Not Found")</f>
        <v>Customer Support</v>
      </c>
      <c r="F983" s="5" t="str">
        <f>IFERROR(INDEX(Employee_Master!$D$2:$D$44,MATCH($C983,Employee_Master!$A$2:$A$44,0)),"Not Found")</f>
        <v>Justin Glass</v>
      </c>
      <c r="G983" s="5" t="str">
        <f>IFERROR(INDEX(Employee_Master!$E$2:$E$44,MATCH($C983,Employee_Master!$A$2:$A$44,0)),"Not Found")</f>
        <v>West</v>
      </c>
      <c r="H983" s="5" t="str">
        <f>Sales_Data!D980</f>
        <v>P011 - Winter Jacket</v>
      </c>
      <c r="I983" s="5" t="str">
        <f>IFERROR(INDEX(Product_Master!$B$2:$B$30,MATCH($H983,Product_Master!$A$2:$A$30,0)),"Invalid Product Code")</f>
        <v>Apparel</v>
      </c>
      <c r="J983" s="5">
        <f>IFERROR(INDEX(Product_Master!$C$2:$C$30,MATCH($H983,Product_Master!$A$2:$A$30,0)),0)</f>
        <v>264.97000000000003</v>
      </c>
      <c r="K983" s="5">
        <f>Sales_Data!E980</f>
        <v>6</v>
      </c>
      <c r="L983" s="5">
        <f>Sales_Data!F980</f>
        <v>1716.79</v>
      </c>
      <c r="M983" s="5">
        <f>Sales_Data!G980</f>
        <v>1359</v>
      </c>
      <c r="N983" s="5" t="str">
        <f>IFERROR(INDEX(Branch_Master!$B$2:$B$9,MATCH($B983,Branch_Master!$A$2:$A$9,0)),"Not Found")</f>
        <v>Mumbai</v>
      </c>
      <c r="O983" s="5" t="str">
        <f>IFERROR(INDEX(Branch_Master!$C$2:$C$9,MATCH($B983,Branch_Master!$A$2:$A$9,0)),"Not Found")</f>
        <v>Maharashtra</v>
      </c>
      <c r="P983" s="5">
        <f>IFERROR(INDEX(Targets!$B$2:$B$9,MATCH($B983,Targets!$A$2:$A$9,0)),0)</f>
        <v>900000</v>
      </c>
      <c r="Q983" s="5" t="str">
        <f t="shared" si="30"/>
        <v>Yes</v>
      </c>
      <c r="R983" s="5" t="str">
        <f t="shared" si="31"/>
        <v>Dec</v>
      </c>
    </row>
    <row r="984" spans="1:18" ht="15" customHeight="1" x14ac:dyDescent="0.3">
      <c r="A984" s="5" t="str">
        <f>Sales_Data!A981</f>
        <v>2025-12-22</v>
      </c>
      <c r="B984" s="5" t="str">
        <f>Sales_Data!B981</f>
        <v>Delhi NCR</v>
      </c>
      <c r="C984" s="5" t="str">
        <f>Sales_Data!C981</f>
        <v>E031</v>
      </c>
      <c r="D984" s="5" t="str">
        <f>IFERROR(INDEX(Employee_Master!$B$2:$B$44,MATCH($C984,Employee_Master!$A$2:$A$44,0)),"Not Found")</f>
        <v>Jennifer Garcia</v>
      </c>
      <c r="E984" s="5" t="str">
        <f>IFERROR(INDEX(Employee_Master!$C$2:$C$44,MATCH($C984,Employee_Master!$A$2:$A$44,0)),"Not Found")</f>
        <v>Sales</v>
      </c>
      <c r="F984" s="5" t="str">
        <f>IFERROR(INDEX(Employee_Master!$D$2:$D$44,MATCH($C984,Employee_Master!$A$2:$A$44,0)),"Not Found")</f>
        <v>William Oconnell</v>
      </c>
      <c r="G984" s="5" t="str">
        <f>IFERROR(INDEX(Employee_Master!$E$2:$E$44,MATCH($C984,Employee_Master!$A$2:$A$44,0)),"Not Found")</f>
        <v>North</v>
      </c>
      <c r="H984" s="5" t="str">
        <f>Sales_Data!D981</f>
        <v>P029 - Dumbbell Set 10kg</v>
      </c>
      <c r="I984" s="5" t="str">
        <f>IFERROR(INDEX(Product_Master!$B$2:$B$30,MATCH($H984,Product_Master!$A$2:$A$30,0)),"Invalid Product Code")</f>
        <v>Sports</v>
      </c>
      <c r="J984" s="5">
        <f>IFERROR(INDEX(Product_Master!$C$2:$C$30,MATCH($H984,Product_Master!$A$2:$A$30,0)),0)</f>
        <v>435</v>
      </c>
      <c r="K984" s="5">
        <f>Sales_Data!E981</f>
        <v>3</v>
      </c>
      <c r="L984" s="5">
        <f>Sales_Data!F981</f>
        <v>1231.5899999999999</v>
      </c>
      <c r="M984" s="5">
        <f>Sales_Data!G981</f>
        <v>1366.57</v>
      </c>
      <c r="N984" s="5" t="str">
        <f>IFERROR(INDEX(Branch_Master!$B$2:$B$9,MATCH($B984,Branch_Master!$A$2:$A$9,0)),"Not Found")</f>
        <v>New Delhi</v>
      </c>
      <c r="O984" s="5" t="str">
        <f>IFERROR(INDEX(Branch_Master!$C$2:$C$9,MATCH($B984,Branch_Master!$A$2:$A$9,0)),"Not Found")</f>
        <v>Delhi</v>
      </c>
      <c r="P984" s="5">
        <f>IFERROR(INDEX(Targets!$B$2:$B$9,MATCH($B984,Targets!$A$2:$A$9,0)),0)</f>
        <v>2070000</v>
      </c>
      <c r="Q984" s="5" t="str">
        <f t="shared" si="30"/>
        <v>No</v>
      </c>
      <c r="R984" s="5" t="str">
        <f t="shared" si="31"/>
        <v>Dec</v>
      </c>
    </row>
    <row r="985" spans="1:18" ht="15" customHeight="1" x14ac:dyDescent="0.3">
      <c r="A985" s="5" t="str">
        <f>Sales_Data!A982</f>
        <v>2025-12-22</v>
      </c>
      <c r="B985" s="5" t="str">
        <f>Sales_Data!B982</f>
        <v>Bangalore North</v>
      </c>
      <c r="C985" s="5" t="str">
        <f>Sales_Data!C982</f>
        <v>E040</v>
      </c>
      <c r="D985" s="5" t="str">
        <f>IFERROR(INDEX(Employee_Master!$B$2:$B$44,MATCH($C985,Employee_Master!$A$2:$A$44,0)),"Not Found")</f>
        <v>Bonnie Cox</v>
      </c>
      <c r="E985" s="5" t="str">
        <f>IFERROR(INDEX(Employee_Master!$C$2:$C$44,MATCH($C985,Employee_Master!$A$2:$A$44,0)),"Not Found")</f>
        <v>Customer Support</v>
      </c>
      <c r="F985" s="5" t="str">
        <f>IFERROR(INDEX(Employee_Master!$D$2:$D$44,MATCH($C985,Employee_Master!$A$2:$A$44,0)),"Not Found")</f>
        <v>Jose Soto</v>
      </c>
      <c r="G985" s="5" t="str">
        <f>IFERROR(INDEX(Employee_Master!$E$2:$E$44,MATCH($C985,Employee_Master!$A$2:$A$44,0)),"Not Found")</f>
        <v>South</v>
      </c>
      <c r="H985" s="5" t="str">
        <f>Sales_Data!D982</f>
        <v>P023 - Sunscreen SPF50</v>
      </c>
      <c r="I985" s="5" t="str">
        <f>IFERROR(INDEX(Product_Master!$B$2:$B$30,MATCH($H985,Product_Master!$A$2:$A$30,0)),"Invalid Product Code")</f>
        <v>Beauty</v>
      </c>
      <c r="J985" s="5">
        <f>IFERROR(INDEX(Product_Master!$C$2:$C$30,MATCH($H985,Product_Master!$A$2:$A$30,0)),0)</f>
        <v>818.95</v>
      </c>
      <c r="K985" s="5">
        <f>Sales_Data!E982</f>
        <v>9</v>
      </c>
      <c r="L985" s="5">
        <f>Sales_Data!F982</f>
        <v>7017.34</v>
      </c>
      <c r="M985" s="5">
        <f>Sales_Data!G982</f>
        <v>7869.12</v>
      </c>
      <c r="N985" s="5" t="str">
        <f>IFERROR(INDEX(Branch_Master!$B$2:$B$9,MATCH($B985,Branch_Master!$A$2:$A$9,0)),"Not Found")</f>
        <v>Bangalore</v>
      </c>
      <c r="O985" s="5" t="str">
        <f>IFERROR(INDEX(Branch_Master!$C$2:$C$9,MATCH($B985,Branch_Master!$A$2:$A$9,0)),"Not Found")</f>
        <v>Karnataka</v>
      </c>
      <c r="P985" s="5">
        <f>IFERROR(INDEX(Targets!$B$2:$B$9,MATCH($B985,Targets!$A$2:$A$9,0)),0)</f>
        <v>900000</v>
      </c>
      <c r="Q985" s="5" t="str">
        <f t="shared" si="30"/>
        <v>No</v>
      </c>
      <c r="R985" s="5" t="str">
        <f t="shared" si="31"/>
        <v>Dec</v>
      </c>
    </row>
    <row r="986" spans="1:18" ht="15" customHeight="1" x14ac:dyDescent="0.3">
      <c r="A986" s="5" t="str">
        <f>Sales_Data!A983</f>
        <v>2025-12-22</v>
      </c>
      <c r="B986" s="5" t="str">
        <f>Sales_Data!B983</f>
        <v>Bangalore North</v>
      </c>
      <c r="C986" s="5" t="str">
        <f>Sales_Data!C983</f>
        <v>E006</v>
      </c>
      <c r="D986" s="5" t="str">
        <f>IFERROR(INDEX(Employee_Master!$B$2:$B$44,MATCH($C986,Employee_Master!$A$2:$A$44,0)),"Not Found")</f>
        <v>Dylan Jones</v>
      </c>
      <c r="E986" s="5" t="str">
        <f>IFERROR(INDEX(Employee_Master!$C$2:$C$44,MATCH($C986,Employee_Master!$A$2:$A$44,0)),"Not Found")</f>
        <v>Sales</v>
      </c>
      <c r="F986" s="5" t="str">
        <f>IFERROR(INDEX(Employee_Master!$D$2:$D$44,MATCH($C986,Employee_Master!$A$2:$A$44,0)),"Not Found")</f>
        <v>Jose Soto</v>
      </c>
      <c r="G986" s="5" t="str">
        <f>IFERROR(INDEX(Employee_Master!$E$2:$E$44,MATCH($C986,Employee_Master!$A$2:$A$44,0)),"Not Found")</f>
        <v>South</v>
      </c>
      <c r="H986" s="5" t="str">
        <f>Sales_Data!D983</f>
        <v>P026 - Yoga Mat</v>
      </c>
      <c r="I986" s="5" t="str">
        <f>IFERROR(INDEX(Product_Master!$B$2:$B$30,MATCH($H986,Product_Master!$A$2:$A$30,0)),"Invalid Product Code")</f>
        <v>Sports</v>
      </c>
      <c r="J986" s="5">
        <f>IFERROR(INDEX(Product_Master!$C$2:$C$30,MATCH($H986,Product_Master!$A$2:$A$30,0)),0)</f>
        <v>518.76</v>
      </c>
      <c r="K986" s="5">
        <f>Sales_Data!E983</f>
        <v>12</v>
      </c>
      <c r="L986" s="5">
        <f>Sales_Data!F983</f>
        <v>6667.3</v>
      </c>
      <c r="M986" s="5">
        <f>Sales_Data!G983</f>
        <v>5688.46</v>
      </c>
      <c r="N986" s="5" t="str">
        <f>IFERROR(INDEX(Branch_Master!$B$2:$B$9,MATCH($B986,Branch_Master!$A$2:$A$9,0)),"Not Found")</f>
        <v>Bangalore</v>
      </c>
      <c r="O986" s="5" t="str">
        <f>IFERROR(INDEX(Branch_Master!$C$2:$C$9,MATCH($B986,Branch_Master!$A$2:$A$9,0)),"Not Found")</f>
        <v>Karnataka</v>
      </c>
      <c r="P986" s="5">
        <f>IFERROR(INDEX(Targets!$B$2:$B$9,MATCH($B986,Targets!$A$2:$A$9,0)),0)</f>
        <v>900000</v>
      </c>
      <c r="Q986" s="5" t="str">
        <f t="shared" si="30"/>
        <v>Yes</v>
      </c>
      <c r="R986" s="5" t="str">
        <f t="shared" si="31"/>
        <v>Dec</v>
      </c>
    </row>
    <row r="987" spans="1:18" ht="15" customHeight="1" x14ac:dyDescent="0.3">
      <c r="A987" s="5" t="str">
        <f>Sales_Data!A984</f>
        <v>2025-12-23</v>
      </c>
      <c r="B987" s="5" t="str">
        <f>Sales_Data!B984</f>
        <v>Hyderabad Hitech</v>
      </c>
      <c r="C987" s="5" t="str">
        <f>Sales_Data!C984</f>
        <v>E011</v>
      </c>
      <c r="D987" s="5" t="str">
        <f>IFERROR(INDEX(Employee_Master!$B$2:$B$44,MATCH($C987,Employee_Master!$A$2:$A$44,0)),"Not Found")</f>
        <v>Mark Osborne</v>
      </c>
      <c r="E987" s="5" t="str">
        <f>IFERROR(INDEX(Employee_Master!$C$2:$C$44,MATCH($C987,Employee_Master!$A$2:$A$44,0)),"Not Found")</f>
        <v>Marketing</v>
      </c>
      <c r="F987" s="5" t="str">
        <f>IFERROR(INDEX(Employee_Master!$D$2:$D$44,MATCH($C987,Employee_Master!$A$2:$A$44,0)),"Not Found")</f>
        <v>Anna Turner</v>
      </c>
      <c r="G987" s="5" t="str">
        <f>IFERROR(INDEX(Employee_Master!$E$2:$E$44,MATCH($C987,Employee_Master!$A$2:$A$44,0)),"Not Found")</f>
        <v>South</v>
      </c>
      <c r="H987" s="5" t="str">
        <f>Sales_Data!D984</f>
        <v>P016 - Dinner Set</v>
      </c>
      <c r="I987" s="5" t="str">
        <f>IFERROR(INDEX(Product_Master!$B$2:$B$30,MATCH($H987,Product_Master!$A$2:$A$30,0)),"Invalid Product Code")</f>
        <v>Home &amp; Kitchen</v>
      </c>
      <c r="J987" s="5">
        <f>IFERROR(INDEX(Product_Master!$C$2:$C$30,MATCH($H987,Product_Master!$A$2:$A$30,0)),0)</f>
        <v>225.06</v>
      </c>
      <c r="K987" s="5">
        <f>Sales_Data!E984</f>
        <v>5</v>
      </c>
      <c r="L987" s="5">
        <f>Sales_Data!F984</f>
        <v>1183.79</v>
      </c>
      <c r="M987" s="5">
        <f>Sales_Data!G984</f>
        <v>1096.01</v>
      </c>
      <c r="N987" s="5" t="str">
        <f>IFERROR(INDEX(Branch_Master!$B$2:$B$9,MATCH($B987,Branch_Master!$A$2:$A$9,0)),"Not Found")</f>
        <v>Hyderabad</v>
      </c>
      <c r="O987" s="5" t="str">
        <f>IFERROR(INDEX(Branch_Master!$C$2:$C$9,MATCH($B987,Branch_Master!$A$2:$A$9,0)),"Not Found")</f>
        <v>Telangana</v>
      </c>
      <c r="P987" s="5">
        <f>IFERROR(INDEX(Targets!$B$2:$B$9,MATCH($B987,Targets!$A$2:$A$9,0)),0)</f>
        <v>1210000</v>
      </c>
      <c r="Q987" s="5" t="str">
        <f t="shared" si="30"/>
        <v>Yes</v>
      </c>
      <c r="R987" s="5" t="str">
        <f t="shared" si="31"/>
        <v>Dec</v>
      </c>
    </row>
    <row r="988" spans="1:18" ht="15" customHeight="1" x14ac:dyDescent="0.3">
      <c r="A988" s="5" t="str">
        <f>Sales_Data!A985</f>
        <v>2025-12-23</v>
      </c>
      <c r="B988" s="5" t="str">
        <f>Sales_Data!B985</f>
        <v>Kolkata Central</v>
      </c>
      <c r="C988" s="5" t="str">
        <f>Sales_Data!C985</f>
        <v>E024</v>
      </c>
      <c r="D988" s="5" t="str">
        <f>IFERROR(INDEX(Employee_Master!$B$2:$B$44,MATCH($C988,Employee_Master!$A$2:$A$44,0)),"Not Found")</f>
        <v>Kevin Sanchez</v>
      </c>
      <c r="E988" s="5" t="str">
        <f>IFERROR(INDEX(Employee_Master!$C$2:$C$44,MATCH($C988,Employee_Master!$A$2:$A$44,0)),"Not Found")</f>
        <v>Sales</v>
      </c>
      <c r="F988" s="5" t="str">
        <f>IFERROR(INDEX(Employee_Master!$D$2:$D$44,MATCH($C988,Employee_Master!$A$2:$A$44,0)),"Not Found")</f>
        <v>Lisa Moore</v>
      </c>
      <c r="G988" s="5" t="str">
        <f>IFERROR(INDEX(Employee_Master!$E$2:$E$44,MATCH($C988,Employee_Master!$A$2:$A$44,0)),"Not Found")</f>
        <v>East</v>
      </c>
      <c r="H988" s="5" t="str">
        <f>Sales_Data!D985</f>
        <v>P007 - Cotton T-Shirt</v>
      </c>
      <c r="I988" s="5" t="str">
        <f>IFERROR(INDEX(Product_Master!$B$2:$B$30,MATCH($H988,Product_Master!$A$2:$A$30,0)),"Invalid Product Code")</f>
        <v>Apparel</v>
      </c>
      <c r="J988" s="5">
        <f>IFERROR(INDEX(Product_Master!$C$2:$C$30,MATCH($H988,Product_Master!$A$2:$A$30,0)),0)</f>
        <v>338.44</v>
      </c>
      <c r="K988" s="5">
        <f>Sales_Data!E985</f>
        <v>3</v>
      </c>
      <c r="L988" s="5">
        <f>Sales_Data!F985</f>
        <v>946.17</v>
      </c>
      <c r="M988" s="5">
        <f>Sales_Data!G985</f>
        <v>1052.3599999999999</v>
      </c>
      <c r="N988" s="5" t="str">
        <f>IFERROR(INDEX(Branch_Master!$B$2:$B$9,MATCH($B988,Branch_Master!$A$2:$A$9,0)),"Not Found")</f>
        <v>Kolkata</v>
      </c>
      <c r="O988" s="5" t="str">
        <f>IFERROR(INDEX(Branch_Master!$C$2:$C$9,MATCH($B988,Branch_Master!$A$2:$A$9,0)),"Not Found")</f>
        <v>West Bengal</v>
      </c>
      <c r="P988" s="5">
        <f>IFERROR(INDEX(Targets!$B$2:$B$9,MATCH($B988,Targets!$A$2:$A$9,0)),0)</f>
        <v>1910000</v>
      </c>
      <c r="Q988" s="5" t="str">
        <f t="shared" si="30"/>
        <v>No</v>
      </c>
      <c r="R988" s="5" t="str">
        <f t="shared" si="31"/>
        <v>Dec</v>
      </c>
    </row>
    <row r="989" spans="1:18" ht="15" customHeight="1" x14ac:dyDescent="0.3">
      <c r="A989" s="5" t="str">
        <f>Sales_Data!A986</f>
        <v>2025-12-23</v>
      </c>
      <c r="B989" s="5" t="str">
        <f>Sales_Data!B986</f>
        <v>Pune East</v>
      </c>
      <c r="C989" s="5" t="str">
        <f>Sales_Data!C986</f>
        <v>E023</v>
      </c>
      <c r="D989" s="5" t="str">
        <f>IFERROR(INDEX(Employee_Master!$B$2:$B$44,MATCH($C989,Employee_Master!$A$2:$A$44,0)),"Not Found")</f>
        <v>Edward Jones</v>
      </c>
      <c r="E989" s="5" t="str">
        <f>IFERROR(INDEX(Employee_Master!$C$2:$C$44,MATCH($C989,Employee_Master!$A$2:$A$44,0)),"Not Found")</f>
        <v>Operations</v>
      </c>
      <c r="F989" s="5" t="str">
        <f>IFERROR(INDEX(Employee_Master!$D$2:$D$44,MATCH($C989,Employee_Master!$A$2:$A$44,0)),"Not Found")</f>
        <v>Jordan Matthews</v>
      </c>
      <c r="G989" s="5" t="str">
        <f>IFERROR(INDEX(Employee_Master!$E$2:$E$44,MATCH($C989,Employee_Master!$A$2:$A$44,0)),"Not Found")</f>
        <v>West</v>
      </c>
      <c r="H989" s="5" t="str">
        <f>Sales_Data!D986</f>
        <v>P001 - Wireless Earbuds</v>
      </c>
      <c r="I989" s="5" t="str">
        <f>IFERROR(INDEX(Product_Master!$B$2:$B$30,MATCH($H989,Product_Master!$A$2:$A$30,0)),"Invalid Product Code")</f>
        <v>Electronics</v>
      </c>
      <c r="J989" s="5">
        <f>IFERROR(INDEX(Product_Master!$C$2:$C$30,MATCH($H989,Product_Master!$A$2:$A$30,0)),0)</f>
        <v>1676.76</v>
      </c>
      <c r="K989" s="5">
        <f>Sales_Data!E986</f>
        <v>11</v>
      </c>
      <c r="L989" s="5">
        <f>Sales_Data!F986</f>
        <v>18534.7</v>
      </c>
      <c r="M989" s="5">
        <f>Sales_Data!G986</f>
        <v>19871.25</v>
      </c>
      <c r="N989" s="5" t="str">
        <f>IFERROR(INDEX(Branch_Master!$B$2:$B$9,MATCH($B989,Branch_Master!$A$2:$A$9,0)),"Not Found")</f>
        <v>Pune</v>
      </c>
      <c r="O989" s="5" t="str">
        <f>IFERROR(INDEX(Branch_Master!$C$2:$C$9,MATCH($B989,Branch_Master!$A$2:$A$9,0)),"Not Found")</f>
        <v>Maharashtra</v>
      </c>
      <c r="P989" s="5">
        <f>IFERROR(INDEX(Targets!$B$2:$B$9,MATCH($B989,Targets!$A$2:$A$9,0)),0)</f>
        <v>1250000</v>
      </c>
      <c r="Q989" s="5" t="str">
        <f t="shared" si="30"/>
        <v>No</v>
      </c>
      <c r="R989" s="5" t="str">
        <f t="shared" si="31"/>
        <v>Dec</v>
      </c>
    </row>
    <row r="990" spans="1:18" ht="15" customHeight="1" x14ac:dyDescent="0.3">
      <c r="A990" s="5" t="str">
        <f>Sales_Data!A987</f>
        <v>2025-12-23</v>
      </c>
      <c r="B990" s="5" t="str">
        <f>Sales_Data!B987</f>
        <v>Chennai South</v>
      </c>
      <c r="C990" s="5" t="str">
        <f>Sales_Data!C987</f>
        <v>E032</v>
      </c>
      <c r="D990" s="5" t="str">
        <f>IFERROR(INDEX(Employee_Master!$B$2:$B$44,MATCH($C990,Employee_Master!$A$2:$A$44,0)),"Not Found")</f>
        <v>Victor Allen</v>
      </c>
      <c r="E990" s="5" t="str">
        <f>IFERROR(INDEX(Employee_Master!$C$2:$C$44,MATCH($C990,Employee_Master!$A$2:$A$44,0)),"Not Found")</f>
        <v>Operations</v>
      </c>
      <c r="F990" s="5" t="str">
        <f>IFERROR(INDEX(Employee_Master!$D$2:$D$44,MATCH($C990,Employee_Master!$A$2:$A$44,0)),"Not Found")</f>
        <v>Robert Steele</v>
      </c>
      <c r="G990" s="5" t="str">
        <f>IFERROR(INDEX(Employee_Master!$E$2:$E$44,MATCH($C990,Employee_Master!$A$2:$A$44,0)),"Not Found")</f>
        <v>South</v>
      </c>
      <c r="H990" s="5" t="str">
        <f>Sales_Data!D987</f>
        <v>P013 - Mixer Grinder</v>
      </c>
      <c r="I990" s="5" t="str">
        <f>IFERROR(INDEX(Product_Master!$B$2:$B$30,MATCH($H990,Product_Master!$A$2:$A$30,0)),"Invalid Product Code")</f>
        <v>Home &amp; Kitchen</v>
      </c>
      <c r="J990" s="5">
        <f>IFERROR(INDEX(Product_Master!$C$2:$C$30,MATCH($H990,Product_Master!$A$2:$A$30,0)),0)</f>
        <v>798.53</v>
      </c>
      <c r="K990" s="5">
        <f>Sales_Data!E987</f>
        <v>2</v>
      </c>
      <c r="L990" s="5">
        <f>Sales_Data!F987</f>
        <v>1748.42</v>
      </c>
      <c r="M990" s="5">
        <f>Sales_Data!G987</f>
        <v>1809.07</v>
      </c>
      <c r="N990" s="5" t="str">
        <f>IFERROR(INDEX(Branch_Master!$B$2:$B$9,MATCH($B990,Branch_Master!$A$2:$A$9,0)),"Not Found")</f>
        <v>Chennai</v>
      </c>
      <c r="O990" s="5" t="str">
        <f>IFERROR(INDEX(Branch_Master!$C$2:$C$9,MATCH($B990,Branch_Master!$A$2:$A$9,0)),"Not Found")</f>
        <v>Tamil Nadu</v>
      </c>
      <c r="P990" s="5">
        <f>IFERROR(INDEX(Targets!$B$2:$B$9,MATCH($B990,Targets!$A$2:$A$9,0)),0)</f>
        <v>1910000</v>
      </c>
      <c r="Q990" s="5" t="str">
        <f t="shared" si="30"/>
        <v>No</v>
      </c>
      <c r="R990" s="5" t="str">
        <f t="shared" si="31"/>
        <v>Dec</v>
      </c>
    </row>
    <row r="991" spans="1:18" ht="15" customHeight="1" x14ac:dyDescent="0.3">
      <c r="A991" s="5" t="str">
        <f>Sales_Data!A988</f>
        <v>2025-12-24</v>
      </c>
      <c r="B991" s="5" t="str">
        <f>Sales_Data!B988</f>
        <v>Delhi NCR</v>
      </c>
      <c r="C991" s="5" t="str">
        <f>Sales_Data!C988</f>
        <v>E013</v>
      </c>
      <c r="D991" s="5" t="str">
        <f>IFERROR(INDEX(Employee_Master!$B$2:$B$44,MATCH($C991,Employee_Master!$A$2:$A$44,0)),"Not Found")</f>
        <v>Norma Wilson</v>
      </c>
      <c r="E991" s="5" t="str">
        <f>IFERROR(INDEX(Employee_Master!$C$2:$C$44,MATCH($C991,Employee_Master!$A$2:$A$44,0)),"Not Found")</f>
        <v>Customer Support</v>
      </c>
      <c r="F991" s="5" t="str">
        <f>IFERROR(INDEX(Employee_Master!$D$2:$D$44,MATCH($C991,Employee_Master!$A$2:$A$44,0)),"Not Found")</f>
        <v>William Oconnell</v>
      </c>
      <c r="G991" s="5" t="str">
        <f>IFERROR(INDEX(Employee_Master!$E$2:$E$44,MATCH($C991,Employee_Master!$A$2:$A$44,0)),"Not Found")</f>
        <v>North</v>
      </c>
      <c r="H991" s="5" t="str">
        <f>Sales_Data!D988</f>
        <v>P018 - Cooking Oil 1L</v>
      </c>
      <c r="I991" s="5" t="str">
        <f>IFERROR(INDEX(Product_Master!$B$2:$B$30,MATCH($H991,Product_Master!$A$2:$A$30,0)),"Invalid Product Code")</f>
        <v>Grocery</v>
      </c>
      <c r="J991" s="5">
        <f>IFERROR(INDEX(Product_Master!$C$2:$C$30,MATCH($H991,Product_Master!$A$2:$A$30,0)),0)</f>
        <v>1483.63</v>
      </c>
      <c r="K991" s="5">
        <f>Sales_Data!E988</f>
        <v>8</v>
      </c>
      <c r="L991" s="5">
        <f>Sales_Data!F988</f>
        <v>11472.7</v>
      </c>
      <c r="M991" s="5">
        <f>Sales_Data!G988</f>
        <v>10628.33</v>
      </c>
      <c r="N991" s="5" t="str">
        <f>IFERROR(INDEX(Branch_Master!$B$2:$B$9,MATCH($B991,Branch_Master!$A$2:$A$9,0)),"Not Found")</f>
        <v>New Delhi</v>
      </c>
      <c r="O991" s="5" t="str">
        <f>IFERROR(INDEX(Branch_Master!$C$2:$C$9,MATCH($B991,Branch_Master!$A$2:$A$9,0)),"Not Found")</f>
        <v>Delhi</v>
      </c>
      <c r="P991" s="5">
        <f>IFERROR(INDEX(Targets!$B$2:$B$9,MATCH($B991,Targets!$A$2:$A$9,0)),0)</f>
        <v>2070000</v>
      </c>
      <c r="Q991" s="5" t="str">
        <f t="shared" si="30"/>
        <v>Yes</v>
      </c>
      <c r="R991" s="5" t="str">
        <f t="shared" si="31"/>
        <v>Dec</v>
      </c>
    </row>
    <row r="992" spans="1:18" ht="15" customHeight="1" x14ac:dyDescent="0.3">
      <c r="A992" s="5" t="str">
        <f>Sales_Data!A989</f>
        <v>2025-12-25</v>
      </c>
      <c r="B992" s="5" t="str">
        <f>Sales_Data!B989</f>
        <v>Pune East</v>
      </c>
      <c r="C992" s="5" t="str">
        <f>Sales_Data!C989</f>
        <v>E022</v>
      </c>
      <c r="D992" s="5" t="str">
        <f>IFERROR(INDEX(Employee_Master!$B$2:$B$44,MATCH($C992,Employee_Master!$A$2:$A$44,0)),"Not Found")</f>
        <v>Cindy Green PhD</v>
      </c>
      <c r="E992" s="5" t="str">
        <f>IFERROR(INDEX(Employee_Master!$C$2:$C$44,MATCH($C992,Employee_Master!$A$2:$A$44,0)),"Not Found")</f>
        <v>Customer Support</v>
      </c>
      <c r="F992" s="5" t="str">
        <f>IFERROR(INDEX(Employee_Master!$D$2:$D$44,MATCH($C992,Employee_Master!$A$2:$A$44,0)),"Not Found")</f>
        <v>Jordan Matthews</v>
      </c>
      <c r="G992" s="5" t="str">
        <f>IFERROR(INDEX(Employee_Master!$E$2:$E$44,MATCH($C992,Employee_Master!$A$2:$A$44,0)),"Not Found")</f>
        <v>West</v>
      </c>
      <c r="H992" s="5" t="str">
        <f>Sales_Data!D989</f>
        <v>P015 - Water Bottle</v>
      </c>
      <c r="I992" s="5" t="str">
        <f>IFERROR(INDEX(Product_Master!$B$2:$B$30,MATCH($H992,Product_Master!$A$2:$A$30,0)),"Invalid Product Code")</f>
        <v>Home &amp; Kitchen</v>
      </c>
      <c r="J992" s="5">
        <f>IFERROR(INDEX(Product_Master!$C$2:$C$30,MATCH($H992,Product_Master!$A$2:$A$30,0)),0)</f>
        <v>197.57</v>
      </c>
      <c r="K992" s="5">
        <f>Sales_Data!E989</f>
        <v>8</v>
      </c>
      <c r="L992" s="5">
        <f>Sales_Data!F989</f>
        <v>1501.12</v>
      </c>
      <c r="M992" s="5">
        <f>Sales_Data!G989</f>
        <v>1424.44</v>
      </c>
      <c r="N992" s="5" t="str">
        <f>IFERROR(INDEX(Branch_Master!$B$2:$B$9,MATCH($B992,Branch_Master!$A$2:$A$9,0)),"Not Found")</f>
        <v>Pune</v>
      </c>
      <c r="O992" s="5" t="str">
        <f>IFERROR(INDEX(Branch_Master!$C$2:$C$9,MATCH($B992,Branch_Master!$A$2:$A$9,0)),"Not Found")</f>
        <v>Maharashtra</v>
      </c>
      <c r="P992" s="5">
        <f>IFERROR(INDEX(Targets!$B$2:$B$9,MATCH($B992,Targets!$A$2:$A$9,0)),0)</f>
        <v>1250000</v>
      </c>
      <c r="Q992" s="5" t="str">
        <f t="shared" si="30"/>
        <v>Yes</v>
      </c>
      <c r="R992" s="5" t="str">
        <f t="shared" si="31"/>
        <v>Dec</v>
      </c>
    </row>
    <row r="993" spans="1:18" ht="15" customHeight="1" x14ac:dyDescent="0.3">
      <c r="A993" s="5" t="str">
        <f>Sales_Data!A990</f>
        <v>2025-12-26</v>
      </c>
      <c r="B993" s="5" t="str">
        <f>Sales_Data!B990</f>
        <v>Mumbai Central</v>
      </c>
      <c r="C993" s="5" t="str">
        <f>Sales_Data!C990</f>
        <v>E027</v>
      </c>
      <c r="D993" s="5" t="str">
        <f>IFERROR(INDEX(Employee_Master!$B$2:$B$44,MATCH($C993,Employee_Master!$A$2:$A$44,0)),"Not Found")</f>
        <v>Catherine Moore</v>
      </c>
      <c r="E993" s="5" t="str">
        <f>IFERROR(INDEX(Employee_Master!$C$2:$C$44,MATCH($C993,Employee_Master!$A$2:$A$44,0)),"Not Found")</f>
        <v>Customer Support</v>
      </c>
      <c r="F993" s="5" t="str">
        <f>IFERROR(INDEX(Employee_Master!$D$2:$D$44,MATCH($C993,Employee_Master!$A$2:$A$44,0)),"Not Found")</f>
        <v>Justin Glass</v>
      </c>
      <c r="G993" s="5" t="str">
        <f>IFERROR(INDEX(Employee_Master!$E$2:$E$44,MATCH($C993,Employee_Master!$A$2:$A$44,0)),"Not Found")</f>
        <v>West</v>
      </c>
      <c r="H993" s="5" t="str">
        <f>Sales_Data!D990</f>
        <v>P003 - Bluetooth Speaker</v>
      </c>
      <c r="I993" s="5" t="str">
        <f>IFERROR(INDEX(Product_Master!$B$2:$B$30,MATCH($H993,Product_Master!$A$2:$A$30,0)),"Invalid Product Code")</f>
        <v>Electronics</v>
      </c>
      <c r="J993" s="5">
        <f>IFERROR(INDEX(Product_Master!$C$2:$C$30,MATCH($H993,Product_Master!$A$2:$A$30,0)),0)</f>
        <v>351.01</v>
      </c>
      <c r="K993" s="5">
        <f>Sales_Data!E990</f>
        <v>7</v>
      </c>
      <c r="L993" s="5">
        <f>Sales_Data!F990</f>
        <v>2256.66</v>
      </c>
      <c r="M993" s="5">
        <f>Sales_Data!G990</f>
        <v>2162.83</v>
      </c>
      <c r="N993" s="5" t="str">
        <f>IFERROR(INDEX(Branch_Master!$B$2:$B$9,MATCH($B993,Branch_Master!$A$2:$A$9,0)),"Not Found")</f>
        <v>Mumbai</v>
      </c>
      <c r="O993" s="5" t="str">
        <f>IFERROR(INDEX(Branch_Master!$C$2:$C$9,MATCH($B993,Branch_Master!$A$2:$A$9,0)),"Not Found")</f>
        <v>Maharashtra</v>
      </c>
      <c r="P993" s="5">
        <f>IFERROR(INDEX(Targets!$B$2:$B$9,MATCH($B993,Targets!$A$2:$A$9,0)),0)</f>
        <v>900000</v>
      </c>
      <c r="Q993" s="5" t="str">
        <f t="shared" si="30"/>
        <v>Yes</v>
      </c>
      <c r="R993" s="5" t="str">
        <f t="shared" si="31"/>
        <v>Dec</v>
      </c>
    </row>
    <row r="994" spans="1:18" ht="15" customHeight="1" x14ac:dyDescent="0.3">
      <c r="A994" s="5" t="str">
        <f>Sales_Data!A991</f>
        <v>2025-12-27</v>
      </c>
      <c r="B994" s="5" t="str">
        <f>Sales_Data!B991</f>
        <v>Hyderabad Hitech</v>
      </c>
      <c r="C994" s="5" t="str">
        <f>Sales_Data!C991</f>
        <v>E035</v>
      </c>
      <c r="D994" s="5" t="str">
        <f>IFERROR(INDEX(Employee_Master!$B$2:$B$44,MATCH($C994,Employee_Master!$A$2:$A$44,0)),"Not Found")</f>
        <v>Andrea Perez</v>
      </c>
      <c r="E994" s="5" t="str">
        <f>IFERROR(INDEX(Employee_Master!$C$2:$C$44,MATCH($C994,Employee_Master!$A$2:$A$44,0)),"Not Found")</f>
        <v>Sales</v>
      </c>
      <c r="F994" s="5" t="str">
        <f>IFERROR(INDEX(Employee_Master!$D$2:$D$44,MATCH($C994,Employee_Master!$A$2:$A$44,0)),"Not Found")</f>
        <v>Anna Turner</v>
      </c>
      <c r="G994" s="5" t="str">
        <f>IFERROR(INDEX(Employee_Master!$E$2:$E$44,MATCH($C994,Employee_Master!$A$2:$A$44,0)),"Not Found")</f>
        <v>South</v>
      </c>
      <c r="H994" s="5" t="str">
        <f>Sales_Data!D991</f>
        <v>P023 - Sunscreen SPF50</v>
      </c>
      <c r="I994" s="5" t="str">
        <f>IFERROR(INDEX(Product_Master!$B$2:$B$30,MATCH($H994,Product_Master!$A$2:$A$30,0)),"Invalid Product Code")</f>
        <v>Beauty</v>
      </c>
      <c r="J994" s="5">
        <f>IFERROR(INDEX(Product_Master!$C$2:$C$30,MATCH($H994,Product_Master!$A$2:$A$30,0)),0)</f>
        <v>818.95</v>
      </c>
      <c r="K994" s="5">
        <f>Sales_Data!E991</f>
        <v>10</v>
      </c>
      <c r="L994" s="5">
        <f>Sales_Data!F991</f>
        <v>7642.6</v>
      </c>
      <c r="M994" s="5">
        <f>Sales_Data!G991</f>
        <v>8131.69</v>
      </c>
      <c r="N994" s="5" t="str">
        <f>IFERROR(INDEX(Branch_Master!$B$2:$B$9,MATCH($B994,Branch_Master!$A$2:$A$9,0)),"Not Found")</f>
        <v>Hyderabad</v>
      </c>
      <c r="O994" s="5" t="str">
        <f>IFERROR(INDEX(Branch_Master!$C$2:$C$9,MATCH($B994,Branch_Master!$A$2:$A$9,0)),"Not Found")</f>
        <v>Telangana</v>
      </c>
      <c r="P994" s="5">
        <f>IFERROR(INDEX(Targets!$B$2:$B$9,MATCH($B994,Targets!$A$2:$A$9,0)),0)</f>
        <v>1210000</v>
      </c>
      <c r="Q994" s="5" t="str">
        <f t="shared" si="30"/>
        <v>No</v>
      </c>
      <c r="R994" s="5" t="str">
        <f t="shared" si="31"/>
        <v>Dec</v>
      </c>
    </row>
    <row r="995" spans="1:18" ht="15" customHeight="1" x14ac:dyDescent="0.3">
      <c r="A995" s="5" t="str">
        <f>Sales_Data!A992</f>
        <v>2025-12-27</v>
      </c>
      <c r="B995" s="5" t="str">
        <f>Sales_Data!B992</f>
        <v>Kolkata Central</v>
      </c>
      <c r="C995" s="5" t="str">
        <f>Sales_Data!C992</f>
        <v>E024</v>
      </c>
      <c r="D995" s="5" t="str">
        <f>IFERROR(INDEX(Employee_Master!$B$2:$B$44,MATCH($C995,Employee_Master!$A$2:$A$44,0)),"Not Found")</f>
        <v>Kevin Sanchez</v>
      </c>
      <c r="E995" s="5" t="str">
        <f>IFERROR(INDEX(Employee_Master!$C$2:$C$44,MATCH($C995,Employee_Master!$A$2:$A$44,0)),"Not Found")</f>
        <v>Sales</v>
      </c>
      <c r="F995" s="5" t="str">
        <f>IFERROR(INDEX(Employee_Master!$D$2:$D$44,MATCH($C995,Employee_Master!$A$2:$A$44,0)),"Not Found")</f>
        <v>Lisa Moore</v>
      </c>
      <c r="G995" s="5" t="str">
        <f>IFERROR(INDEX(Employee_Master!$E$2:$E$44,MATCH($C995,Employee_Master!$A$2:$A$44,0)),"Not Found")</f>
        <v>East</v>
      </c>
      <c r="H995" s="5" t="str">
        <f>Sales_Data!D992</f>
        <v>P017 - Basmati Rice 5kg</v>
      </c>
      <c r="I995" s="5" t="str">
        <f>IFERROR(INDEX(Product_Master!$B$2:$B$30,MATCH($H995,Product_Master!$A$2:$A$30,0)),"Invalid Product Code")</f>
        <v>Grocery</v>
      </c>
      <c r="J995" s="5">
        <f>IFERROR(INDEX(Product_Master!$C$2:$C$30,MATCH($H995,Product_Master!$A$2:$A$30,0)),0)</f>
        <v>825.33</v>
      </c>
      <c r="K995" s="5">
        <f>Sales_Data!E992</f>
        <v>10</v>
      </c>
      <c r="L995" s="5">
        <f>Sales_Data!F992</f>
        <v>9050.0400000000009</v>
      </c>
      <c r="M995" s="5">
        <f>Sales_Data!G992</f>
        <v>9008.0300000000007</v>
      </c>
      <c r="N995" s="5" t="str">
        <f>IFERROR(INDEX(Branch_Master!$B$2:$B$9,MATCH($B995,Branch_Master!$A$2:$A$9,0)),"Not Found")</f>
        <v>Kolkata</v>
      </c>
      <c r="O995" s="5" t="str">
        <f>IFERROR(INDEX(Branch_Master!$C$2:$C$9,MATCH($B995,Branch_Master!$A$2:$A$9,0)),"Not Found")</f>
        <v>West Bengal</v>
      </c>
      <c r="P995" s="5">
        <f>IFERROR(INDEX(Targets!$B$2:$B$9,MATCH($B995,Targets!$A$2:$A$9,0)),0)</f>
        <v>1910000</v>
      </c>
      <c r="Q995" s="5" t="str">
        <f t="shared" si="30"/>
        <v>Yes</v>
      </c>
      <c r="R995" s="5" t="str">
        <f t="shared" si="31"/>
        <v>Dec</v>
      </c>
    </row>
    <row r="996" spans="1:18" ht="15" customHeight="1" x14ac:dyDescent="0.3">
      <c r="A996" s="5" t="str">
        <f>Sales_Data!A993</f>
        <v>2025-12-27</v>
      </c>
      <c r="B996" s="5" t="str">
        <f>Sales_Data!B993</f>
        <v>Pune East</v>
      </c>
      <c r="C996" s="5" t="str">
        <f>Sales_Data!C993</f>
        <v>E022</v>
      </c>
      <c r="D996" s="5" t="str">
        <f>IFERROR(INDEX(Employee_Master!$B$2:$B$44,MATCH($C996,Employee_Master!$A$2:$A$44,0)),"Not Found")</f>
        <v>Cindy Green PhD</v>
      </c>
      <c r="E996" s="5" t="str">
        <f>IFERROR(INDEX(Employee_Master!$C$2:$C$44,MATCH($C996,Employee_Master!$A$2:$A$44,0)),"Not Found")</f>
        <v>Customer Support</v>
      </c>
      <c r="F996" s="5" t="str">
        <f>IFERROR(INDEX(Employee_Master!$D$2:$D$44,MATCH($C996,Employee_Master!$A$2:$A$44,0)),"Not Found")</f>
        <v>Jordan Matthews</v>
      </c>
      <c r="G996" s="5" t="str">
        <f>IFERROR(INDEX(Employee_Master!$E$2:$E$44,MATCH($C996,Employee_Master!$A$2:$A$44,0)),"Not Found")</f>
        <v>West</v>
      </c>
      <c r="H996" s="5" t="str">
        <f>Sales_Data!D993</f>
        <v>P008 - Denim Jeans</v>
      </c>
      <c r="I996" s="5" t="str">
        <f>IFERROR(INDEX(Product_Master!$B$2:$B$30,MATCH($H996,Product_Master!$A$2:$A$30,0)),"Invalid Product Code")</f>
        <v>Apparel</v>
      </c>
      <c r="J996" s="5">
        <f>IFERROR(INDEX(Product_Master!$C$2:$C$30,MATCH($H996,Product_Master!$A$2:$A$30,0)),0)</f>
        <v>614.48</v>
      </c>
      <c r="K996" s="5">
        <f>Sales_Data!E993</f>
        <v>1</v>
      </c>
      <c r="L996" s="5">
        <f>Sales_Data!F993</f>
        <v>572.34</v>
      </c>
      <c r="M996" s="5">
        <f>Sales_Data!G993</f>
        <v>545.19000000000005</v>
      </c>
      <c r="N996" s="5" t="str">
        <f>IFERROR(INDEX(Branch_Master!$B$2:$B$9,MATCH($B996,Branch_Master!$A$2:$A$9,0)),"Not Found")</f>
        <v>Pune</v>
      </c>
      <c r="O996" s="5" t="str">
        <f>IFERROR(INDEX(Branch_Master!$C$2:$C$9,MATCH($B996,Branch_Master!$A$2:$A$9,0)),"Not Found")</f>
        <v>Maharashtra</v>
      </c>
      <c r="P996" s="5">
        <f>IFERROR(INDEX(Targets!$B$2:$B$9,MATCH($B996,Targets!$A$2:$A$9,0)),0)</f>
        <v>1250000</v>
      </c>
      <c r="Q996" s="5" t="str">
        <f t="shared" si="30"/>
        <v>Yes</v>
      </c>
      <c r="R996" s="5" t="str">
        <f t="shared" si="31"/>
        <v>Dec</v>
      </c>
    </row>
    <row r="997" spans="1:18" ht="15" customHeight="1" x14ac:dyDescent="0.3">
      <c r="A997" s="5" t="str">
        <f>Sales_Data!A994</f>
        <v>2025-12-29</v>
      </c>
      <c r="B997" s="5" t="str">
        <f>Sales_Data!B994</f>
        <v>Chennai South</v>
      </c>
      <c r="C997" s="5" t="str">
        <f>Sales_Data!C994</f>
        <v>E019</v>
      </c>
      <c r="D997" s="5" t="str">
        <f>IFERROR(INDEX(Employee_Master!$B$2:$B$44,MATCH($C997,Employee_Master!$A$2:$A$44,0)),"Not Found")</f>
        <v>Regina Torres</v>
      </c>
      <c r="E997" s="5" t="str">
        <f>IFERROR(INDEX(Employee_Master!$C$2:$C$44,MATCH($C997,Employee_Master!$A$2:$A$44,0)),"Not Found")</f>
        <v>Operations</v>
      </c>
      <c r="F997" s="5" t="str">
        <f>IFERROR(INDEX(Employee_Master!$D$2:$D$44,MATCH($C997,Employee_Master!$A$2:$A$44,0)),"Not Found")</f>
        <v>Robert Steele</v>
      </c>
      <c r="G997" s="5" t="str">
        <f>IFERROR(INDEX(Employee_Master!$E$2:$E$44,MATCH($C997,Employee_Master!$A$2:$A$44,0)),"Not Found")</f>
        <v>South</v>
      </c>
      <c r="H997" s="5" t="str">
        <f>Sales_Data!D994</f>
        <v>P007 - Cotton T-Shirt</v>
      </c>
      <c r="I997" s="5" t="str">
        <f>IFERROR(INDEX(Product_Master!$B$2:$B$30,MATCH($H997,Product_Master!$A$2:$A$30,0)),"Invalid Product Code")</f>
        <v>Apparel</v>
      </c>
      <c r="J997" s="5">
        <f>IFERROR(INDEX(Product_Master!$C$2:$C$30,MATCH($H997,Product_Master!$A$2:$A$30,0)),0)</f>
        <v>338.44</v>
      </c>
      <c r="K997" s="5">
        <f>Sales_Data!E994</f>
        <v>6</v>
      </c>
      <c r="L997" s="5">
        <f>Sales_Data!F994</f>
        <v>2096.7199999999998</v>
      </c>
      <c r="M997" s="5">
        <f>Sales_Data!G994</f>
        <v>1850.75</v>
      </c>
      <c r="N997" s="5" t="str">
        <f>IFERROR(INDEX(Branch_Master!$B$2:$B$9,MATCH($B997,Branch_Master!$A$2:$A$9,0)),"Not Found")</f>
        <v>Chennai</v>
      </c>
      <c r="O997" s="5" t="str">
        <f>IFERROR(INDEX(Branch_Master!$C$2:$C$9,MATCH($B997,Branch_Master!$A$2:$A$9,0)),"Not Found")</f>
        <v>Tamil Nadu</v>
      </c>
      <c r="P997" s="5">
        <f>IFERROR(INDEX(Targets!$B$2:$B$9,MATCH($B997,Targets!$A$2:$A$9,0)),0)</f>
        <v>1910000</v>
      </c>
      <c r="Q997" s="5" t="str">
        <f t="shared" si="30"/>
        <v>Yes</v>
      </c>
      <c r="R997" s="5" t="str">
        <f t="shared" si="31"/>
        <v>Dec</v>
      </c>
    </row>
    <row r="998" spans="1:18" ht="15" customHeight="1" x14ac:dyDescent="0.3">
      <c r="A998" s="5" t="str">
        <f>Sales_Data!A995</f>
        <v>2025-12-29</v>
      </c>
      <c r="B998" s="5" t="str">
        <f>Sales_Data!B995</f>
        <v>Bangalore North</v>
      </c>
      <c r="C998" s="5" t="str">
        <f>Sales_Data!C995</f>
        <v>E003</v>
      </c>
      <c r="D998" s="5" t="str">
        <f>IFERROR(INDEX(Employee_Master!$B$2:$B$44,MATCH($C998,Employee_Master!$A$2:$A$44,0)),"Not Found")</f>
        <v>Margaret Porter</v>
      </c>
      <c r="E998" s="5" t="str">
        <f>IFERROR(INDEX(Employee_Master!$C$2:$C$44,MATCH($C998,Employee_Master!$A$2:$A$44,0)),"Not Found")</f>
        <v>Customer Support</v>
      </c>
      <c r="F998" s="5" t="str">
        <f>IFERROR(INDEX(Employee_Master!$D$2:$D$44,MATCH($C998,Employee_Master!$A$2:$A$44,0)),"Not Found")</f>
        <v>Jose Soto</v>
      </c>
      <c r="G998" s="5" t="str">
        <f>IFERROR(INDEX(Employee_Master!$E$2:$E$44,MATCH($C998,Employee_Master!$A$2:$A$44,0)),"Not Found")</f>
        <v>South</v>
      </c>
      <c r="H998" s="5" t="str">
        <f>Sales_Data!D995</f>
        <v>P014 - Air Fryer</v>
      </c>
      <c r="I998" s="5" t="str">
        <f>IFERROR(INDEX(Product_Master!$B$2:$B$30,MATCH($H998,Product_Master!$A$2:$A$30,0)),"Invalid Product Code")</f>
        <v>Home &amp; Kitchen</v>
      </c>
      <c r="J998" s="5">
        <f>IFERROR(INDEX(Product_Master!$C$2:$C$30,MATCH($H998,Product_Master!$A$2:$A$30,0)),0)</f>
        <v>729.85</v>
      </c>
      <c r="K998" s="5">
        <f>Sales_Data!E995</f>
        <v>7</v>
      </c>
      <c r="L998" s="5">
        <f>Sales_Data!F995</f>
        <v>5383.45</v>
      </c>
      <c r="M998" s="5">
        <f>Sales_Data!G995</f>
        <v>5546.32</v>
      </c>
      <c r="N998" s="5" t="str">
        <f>IFERROR(INDEX(Branch_Master!$B$2:$B$9,MATCH($B998,Branch_Master!$A$2:$A$9,0)),"Not Found")</f>
        <v>Bangalore</v>
      </c>
      <c r="O998" s="5" t="str">
        <f>IFERROR(INDEX(Branch_Master!$C$2:$C$9,MATCH($B998,Branch_Master!$A$2:$A$9,0)),"Not Found")</f>
        <v>Karnataka</v>
      </c>
      <c r="P998" s="5">
        <f>IFERROR(INDEX(Targets!$B$2:$B$9,MATCH($B998,Targets!$A$2:$A$9,0)),0)</f>
        <v>900000</v>
      </c>
      <c r="Q998" s="5" t="str">
        <f t="shared" si="30"/>
        <v>No</v>
      </c>
      <c r="R998" s="5" t="str">
        <f t="shared" si="31"/>
        <v>Dec</v>
      </c>
    </row>
    <row r="999" spans="1:18" ht="15" customHeight="1" x14ac:dyDescent="0.3">
      <c r="A999" s="5" t="str">
        <f>Sales_Data!A996</f>
        <v>2025-12-29</v>
      </c>
      <c r="B999" s="5" t="str">
        <f>Sales_Data!B996</f>
        <v>Pune East</v>
      </c>
      <c r="C999" s="5" t="str">
        <f>Sales_Data!C996</f>
        <v>E023</v>
      </c>
      <c r="D999" s="5" t="str">
        <f>IFERROR(INDEX(Employee_Master!$B$2:$B$44,MATCH($C999,Employee_Master!$A$2:$A$44,0)),"Not Found")</f>
        <v>Edward Jones</v>
      </c>
      <c r="E999" s="5" t="str">
        <f>IFERROR(INDEX(Employee_Master!$C$2:$C$44,MATCH($C999,Employee_Master!$A$2:$A$44,0)),"Not Found")</f>
        <v>Operations</v>
      </c>
      <c r="F999" s="5" t="str">
        <f>IFERROR(INDEX(Employee_Master!$D$2:$D$44,MATCH($C999,Employee_Master!$A$2:$A$44,0)),"Not Found")</f>
        <v>Jordan Matthews</v>
      </c>
      <c r="G999" s="5" t="str">
        <f>IFERROR(INDEX(Employee_Master!$E$2:$E$44,MATCH($C999,Employee_Master!$A$2:$A$44,0)),"Not Found")</f>
        <v>West</v>
      </c>
      <c r="H999" s="5" t="str">
        <f>Sales_Data!D996</f>
        <v>P029 - Dumbbell Set 10kg</v>
      </c>
      <c r="I999" s="5" t="str">
        <f>IFERROR(INDEX(Product_Master!$B$2:$B$30,MATCH($H999,Product_Master!$A$2:$A$30,0)),"Invalid Product Code")</f>
        <v>Sports</v>
      </c>
      <c r="J999" s="5">
        <f>IFERROR(INDEX(Product_Master!$C$2:$C$30,MATCH($H999,Product_Master!$A$2:$A$30,0)),0)</f>
        <v>435</v>
      </c>
      <c r="K999" s="5">
        <f>Sales_Data!E996</f>
        <v>8</v>
      </c>
      <c r="L999" s="5">
        <f>Sales_Data!F996</f>
        <v>3719.68</v>
      </c>
      <c r="M999" s="5">
        <f>Sales_Data!G996</f>
        <v>3889.36</v>
      </c>
      <c r="N999" s="5" t="str">
        <f>IFERROR(INDEX(Branch_Master!$B$2:$B$9,MATCH($B999,Branch_Master!$A$2:$A$9,0)),"Not Found")</f>
        <v>Pune</v>
      </c>
      <c r="O999" s="5" t="str">
        <f>IFERROR(INDEX(Branch_Master!$C$2:$C$9,MATCH($B999,Branch_Master!$A$2:$A$9,0)),"Not Found")</f>
        <v>Maharashtra</v>
      </c>
      <c r="P999" s="5">
        <f>IFERROR(INDEX(Targets!$B$2:$B$9,MATCH($B999,Targets!$A$2:$A$9,0)),0)</f>
        <v>1250000</v>
      </c>
      <c r="Q999" s="5" t="str">
        <f t="shared" si="30"/>
        <v>No</v>
      </c>
      <c r="R999" s="5" t="str">
        <f t="shared" si="31"/>
        <v>Dec</v>
      </c>
    </row>
    <row r="1000" spans="1:18" ht="15" customHeight="1" x14ac:dyDescent="0.3">
      <c r="A1000" s="5" t="str">
        <f>Sales_Data!A997</f>
        <v>2025-12-29</v>
      </c>
      <c r="B1000" s="5" t="str">
        <f>Sales_Data!B997</f>
        <v>Bangalore North</v>
      </c>
      <c r="C1000" s="5" t="str">
        <f>Sales_Data!C997</f>
        <v>E004</v>
      </c>
      <c r="D1000" s="5" t="str">
        <f>IFERROR(INDEX(Employee_Master!$B$2:$B$44,MATCH($C1000,Employee_Master!$A$2:$A$44,0)),"Not Found")</f>
        <v>Judith Ramirez</v>
      </c>
      <c r="E1000" s="5" t="str">
        <f>IFERROR(INDEX(Employee_Master!$C$2:$C$44,MATCH($C1000,Employee_Master!$A$2:$A$44,0)),"Not Found")</f>
        <v>Sales</v>
      </c>
      <c r="F1000" s="5" t="str">
        <f>IFERROR(INDEX(Employee_Master!$D$2:$D$44,MATCH($C1000,Employee_Master!$A$2:$A$44,0)),"Not Found")</f>
        <v>Jose Soto</v>
      </c>
      <c r="G1000" s="5" t="str">
        <f>IFERROR(INDEX(Employee_Master!$E$2:$E$44,MATCH($C1000,Employee_Master!$A$2:$A$44,0)),"Not Found")</f>
        <v>South</v>
      </c>
      <c r="H1000" s="5" t="str">
        <f>Sales_Data!D997</f>
        <v>P007 - Cotton T-Shirt</v>
      </c>
      <c r="I1000" s="5" t="str">
        <f>IFERROR(INDEX(Product_Master!$B$2:$B$30,MATCH($H1000,Product_Master!$A$2:$A$30,0)),"Invalid Product Code")</f>
        <v>Apparel</v>
      </c>
      <c r="J1000" s="5">
        <f>IFERROR(INDEX(Product_Master!$C$2:$C$30,MATCH($H1000,Product_Master!$A$2:$A$30,0)),0)</f>
        <v>338.44</v>
      </c>
      <c r="K1000" s="5">
        <f>Sales_Data!E997</f>
        <v>7</v>
      </c>
      <c r="L1000" s="5">
        <f>Sales_Data!F997</f>
        <v>2149.46</v>
      </c>
      <c r="M1000" s="5">
        <f>Sales_Data!G997</f>
        <v>2342.9</v>
      </c>
      <c r="N1000" s="5" t="str">
        <f>IFERROR(INDEX(Branch_Master!$B$2:$B$9,MATCH($B1000,Branch_Master!$A$2:$A$9,0)),"Not Found")</f>
        <v>Bangalore</v>
      </c>
      <c r="O1000" s="5" t="str">
        <f>IFERROR(INDEX(Branch_Master!$C$2:$C$9,MATCH($B1000,Branch_Master!$A$2:$A$9,0)),"Not Found")</f>
        <v>Karnataka</v>
      </c>
      <c r="P1000" s="5">
        <f>IFERROR(INDEX(Targets!$B$2:$B$9,MATCH($B1000,Targets!$A$2:$A$9,0)),0)</f>
        <v>900000</v>
      </c>
      <c r="Q1000" s="5" t="str">
        <f t="shared" si="30"/>
        <v>No</v>
      </c>
      <c r="R1000" s="5" t="str">
        <f t="shared" si="31"/>
        <v>Dec</v>
      </c>
    </row>
    <row r="1001" spans="1:18" ht="15" customHeight="1" x14ac:dyDescent="0.3">
      <c r="A1001" s="5" t="str">
        <f>Sales_Data!A998</f>
        <v>2025-12-29</v>
      </c>
      <c r="B1001" s="5" t="str">
        <f>Sales_Data!B998</f>
        <v>Delhi NCR</v>
      </c>
      <c r="C1001" s="5" t="str">
        <f>Sales_Data!C998</f>
        <v>E013</v>
      </c>
      <c r="D1001" s="5" t="str">
        <f>IFERROR(INDEX(Employee_Master!$B$2:$B$44,MATCH($C1001,Employee_Master!$A$2:$A$44,0)),"Not Found")</f>
        <v>Norma Wilson</v>
      </c>
      <c r="E1001" s="5" t="str">
        <f>IFERROR(INDEX(Employee_Master!$C$2:$C$44,MATCH($C1001,Employee_Master!$A$2:$A$44,0)),"Not Found")</f>
        <v>Customer Support</v>
      </c>
      <c r="F1001" s="5" t="str">
        <f>IFERROR(INDEX(Employee_Master!$D$2:$D$44,MATCH($C1001,Employee_Master!$A$2:$A$44,0)),"Not Found")</f>
        <v>William Oconnell</v>
      </c>
      <c r="G1001" s="5" t="str">
        <f>IFERROR(INDEX(Employee_Master!$E$2:$E$44,MATCH($C1001,Employee_Master!$A$2:$A$44,0)),"Not Found")</f>
        <v>North</v>
      </c>
      <c r="H1001" s="5" t="str">
        <f>Sales_Data!D998</f>
        <v>P021 - Assorted Spices Kit</v>
      </c>
      <c r="I1001" s="5" t="str">
        <f>IFERROR(INDEX(Product_Master!$B$2:$B$30,MATCH($H1001,Product_Master!$A$2:$A$30,0)),"Invalid Product Code")</f>
        <v>Grocery</v>
      </c>
      <c r="J1001" s="5">
        <f>IFERROR(INDEX(Product_Master!$C$2:$C$30,MATCH($H1001,Product_Master!$A$2:$A$30,0)),0)</f>
        <v>1060.97</v>
      </c>
      <c r="K1001" s="5">
        <f>Sales_Data!E998</f>
        <v>1</v>
      </c>
      <c r="L1001" s="5">
        <f>Sales_Data!F998</f>
        <v>1010.85</v>
      </c>
      <c r="M1001" s="5">
        <f>Sales_Data!G998</f>
        <v>996.34</v>
      </c>
      <c r="N1001" s="5" t="str">
        <f>IFERROR(INDEX(Branch_Master!$B$2:$B$9,MATCH($B1001,Branch_Master!$A$2:$A$9,0)),"Not Found")</f>
        <v>New Delhi</v>
      </c>
      <c r="O1001" s="5" t="str">
        <f>IFERROR(INDEX(Branch_Master!$C$2:$C$9,MATCH($B1001,Branch_Master!$A$2:$A$9,0)),"Not Found")</f>
        <v>Delhi</v>
      </c>
      <c r="P1001" s="5">
        <f>IFERROR(INDEX(Targets!$B$2:$B$9,MATCH($B1001,Targets!$A$2:$A$9,0)),0)</f>
        <v>2070000</v>
      </c>
      <c r="Q1001" s="5" t="str">
        <f t="shared" si="30"/>
        <v>Yes</v>
      </c>
      <c r="R1001" s="5" t="str">
        <f t="shared" si="31"/>
        <v>Dec</v>
      </c>
    </row>
    <row r="1002" spans="1:18" ht="15" customHeight="1" x14ac:dyDescent="0.3">
      <c r="A1002" s="5" t="str">
        <f>Sales_Data!A999</f>
        <v>2025-12-30</v>
      </c>
      <c r="B1002" s="5" t="str">
        <f>Sales_Data!B999</f>
        <v>Chennai South</v>
      </c>
      <c r="C1002" s="5" t="str">
        <f>Sales_Data!C999</f>
        <v>E019</v>
      </c>
      <c r="D1002" s="5" t="str">
        <f>IFERROR(INDEX(Employee_Master!$B$2:$B$44,MATCH($C1002,Employee_Master!$A$2:$A$44,0)),"Not Found")</f>
        <v>Regina Torres</v>
      </c>
      <c r="E1002" s="5" t="str">
        <f>IFERROR(INDEX(Employee_Master!$C$2:$C$44,MATCH($C1002,Employee_Master!$A$2:$A$44,0)),"Not Found")</f>
        <v>Operations</v>
      </c>
      <c r="F1002" s="5" t="str">
        <f>IFERROR(INDEX(Employee_Master!$D$2:$D$44,MATCH($C1002,Employee_Master!$A$2:$A$44,0)),"Not Found")</f>
        <v>Robert Steele</v>
      </c>
      <c r="G1002" s="5" t="str">
        <f>IFERROR(INDEX(Employee_Master!$E$2:$E$44,MATCH($C1002,Employee_Master!$A$2:$A$44,0)),"Not Found")</f>
        <v>South</v>
      </c>
      <c r="H1002" s="5" t="str">
        <f>Sales_Data!D999</f>
        <v>P016 - Dinner Set</v>
      </c>
      <c r="I1002" s="5" t="str">
        <f>IFERROR(INDEX(Product_Master!$B$2:$B$30,MATCH($H1002,Product_Master!$A$2:$A$30,0)),"Invalid Product Code")</f>
        <v>Home &amp; Kitchen</v>
      </c>
      <c r="J1002" s="5">
        <f>IFERROR(INDEX(Product_Master!$C$2:$C$30,MATCH($H1002,Product_Master!$A$2:$A$30,0)),0)</f>
        <v>225.06</v>
      </c>
      <c r="K1002" s="5">
        <f>Sales_Data!E999</f>
        <v>7</v>
      </c>
      <c r="L1002" s="5">
        <f>Sales_Data!F999</f>
        <v>1656.15</v>
      </c>
      <c r="M1002" s="5">
        <f>Sales_Data!G999</f>
        <v>1445.11</v>
      </c>
      <c r="N1002" s="5" t="str">
        <f>IFERROR(INDEX(Branch_Master!$B$2:$B$9,MATCH($B1002,Branch_Master!$A$2:$A$9,0)),"Not Found")</f>
        <v>Chennai</v>
      </c>
      <c r="O1002" s="5" t="str">
        <f>IFERROR(INDEX(Branch_Master!$C$2:$C$9,MATCH($B1002,Branch_Master!$A$2:$A$9,0)),"Not Found")</f>
        <v>Tamil Nadu</v>
      </c>
      <c r="P1002" s="5">
        <f>IFERROR(INDEX(Targets!$B$2:$B$9,MATCH($B1002,Targets!$A$2:$A$9,0)),0)</f>
        <v>1910000</v>
      </c>
      <c r="Q1002" s="5" t="str">
        <f t="shared" si="30"/>
        <v>Yes</v>
      </c>
      <c r="R1002" s="5" t="str">
        <f t="shared" si="31"/>
        <v>Dec</v>
      </c>
    </row>
    <row r="1003" spans="1:18" ht="15" customHeight="1" x14ac:dyDescent="0.3">
      <c r="A1003" s="5" t="str">
        <f>Sales_Data!A1000</f>
        <v>2025-12-31</v>
      </c>
      <c r="B1003" s="5" t="str">
        <f>Sales_Data!B1000</f>
        <v>Kolkata Central</v>
      </c>
      <c r="C1003" s="5" t="str">
        <f>Sales_Data!C1000</f>
        <v>E024</v>
      </c>
      <c r="D1003" s="5" t="str">
        <f>IFERROR(INDEX(Employee_Master!$B$2:$B$44,MATCH($C1003,Employee_Master!$A$2:$A$44,0)),"Not Found")</f>
        <v>Kevin Sanchez</v>
      </c>
      <c r="E1003" s="5" t="str">
        <f>IFERROR(INDEX(Employee_Master!$C$2:$C$44,MATCH($C1003,Employee_Master!$A$2:$A$44,0)),"Not Found")</f>
        <v>Sales</v>
      </c>
      <c r="F1003" s="5" t="str">
        <f>IFERROR(INDEX(Employee_Master!$D$2:$D$44,MATCH($C1003,Employee_Master!$A$2:$A$44,0)),"Not Found")</f>
        <v>Lisa Moore</v>
      </c>
      <c r="G1003" s="5" t="str">
        <f>IFERROR(INDEX(Employee_Master!$E$2:$E$44,MATCH($C1003,Employee_Master!$A$2:$A$44,0)),"Not Found")</f>
        <v>East</v>
      </c>
      <c r="H1003" s="5" t="str">
        <f>Sales_Data!D1000</f>
        <v>P010 - Running Shoes</v>
      </c>
      <c r="I1003" s="5" t="str">
        <f>IFERROR(INDEX(Product_Master!$B$2:$B$30,MATCH($H1003,Product_Master!$A$2:$A$30,0)),"Invalid Product Code")</f>
        <v>Apparel</v>
      </c>
      <c r="J1003" s="5">
        <f>IFERROR(INDEX(Product_Master!$C$2:$C$30,MATCH($H1003,Product_Master!$A$2:$A$30,0)),0)</f>
        <v>233.71</v>
      </c>
      <c r="K1003" s="5">
        <f>Sales_Data!E1000</f>
        <v>9</v>
      </c>
      <c r="L1003" s="5">
        <f>Sales_Data!F1000</f>
        <v>2153.29</v>
      </c>
      <c r="M1003" s="5">
        <f>Sales_Data!G1000</f>
        <v>2043.42</v>
      </c>
      <c r="N1003" s="5" t="str">
        <f>IFERROR(INDEX(Branch_Master!$B$2:$B$9,MATCH($B1003,Branch_Master!$A$2:$A$9,0)),"Not Found")</f>
        <v>Kolkata</v>
      </c>
      <c r="O1003" s="5" t="str">
        <f>IFERROR(INDEX(Branch_Master!$C$2:$C$9,MATCH($B1003,Branch_Master!$A$2:$A$9,0)),"Not Found")</f>
        <v>West Bengal</v>
      </c>
      <c r="P1003" s="5">
        <f>IFERROR(INDEX(Targets!$B$2:$B$9,MATCH($B1003,Targets!$A$2:$A$9,0)),0)</f>
        <v>1910000</v>
      </c>
      <c r="Q1003" s="5" t="str">
        <f t="shared" si="30"/>
        <v>Yes</v>
      </c>
      <c r="R1003" s="5" t="str">
        <f t="shared" si="31"/>
        <v>Dec</v>
      </c>
    </row>
    <row r="1004" spans="1:18" ht="15" customHeight="1" x14ac:dyDescent="0.3">
      <c r="A1004" s="5" t="str">
        <f>Sales_Data!A1001</f>
        <v>2025-12-31</v>
      </c>
      <c r="B1004" s="5" t="str">
        <f>Sales_Data!B1001</f>
        <v>Chennai South</v>
      </c>
      <c r="C1004" s="5" t="str">
        <f>Sales_Data!C1001</f>
        <v>E032</v>
      </c>
      <c r="D1004" s="5" t="str">
        <f>IFERROR(INDEX(Employee_Master!$B$2:$B$44,MATCH($C1004,Employee_Master!$A$2:$A$44,0)),"Not Found")</f>
        <v>Victor Allen</v>
      </c>
      <c r="E1004" s="5" t="str">
        <f>IFERROR(INDEX(Employee_Master!$C$2:$C$44,MATCH($C1004,Employee_Master!$A$2:$A$44,0)),"Not Found")</f>
        <v>Operations</v>
      </c>
      <c r="F1004" s="5" t="str">
        <f>IFERROR(INDEX(Employee_Master!$D$2:$D$44,MATCH($C1004,Employee_Master!$A$2:$A$44,0)),"Not Found")</f>
        <v>Robert Steele</v>
      </c>
      <c r="G1004" s="5" t="str">
        <f>IFERROR(INDEX(Employee_Master!$E$2:$E$44,MATCH($C1004,Employee_Master!$A$2:$A$44,0)),"Not Found")</f>
        <v>South</v>
      </c>
      <c r="H1004" s="5" t="str">
        <f>Sales_Data!D1001</f>
        <v>P025 - Lipstick Set</v>
      </c>
      <c r="I1004" s="5" t="str">
        <f>IFERROR(INDEX(Product_Master!$B$2:$B$30,MATCH($H1004,Product_Master!$A$2:$A$30,0)),"Invalid Product Code")</f>
        <v>Beauty</v>
      </c>
      <c r="J1004" s="5">
        <f>IFERROR(INDEX(Product_Master!$C$2:$C$30,MATCH($H1004,Product_Master!$A$2:$A$30,0)),0)</f>
        <v>765.9</v>
      </c>
      <c r="K1004" s="5">
        <f>Sales_Data!E1001</f>
        <v>2</v>
      </c>
      <c r="L1004" s="5">
        <f>Sales_Data!F1001</f>
        <v>1464.11</v>
      </c>
      <c r="M1004" s="5">
        <f>Sales_Data!G1001</f>
        <v>1326.38</v>
      </c>
      <c r="N1004" s="5" t="str">
        <f>IFERROR(INDEX(Branch_Master!$B$2:$B$9,MATCH($B1004,Branch_Master!$A$2:$A$9,0)),"Not Found")</f>
        <v>Chennai</v>
      </c>
      <c r="O1004" s="5" t="str">
        <f>IFERROR(INDEX(Branch_Master!$C$2:$C$9,MATCH($B1004,Branch_Master!$A$2:$A$9,0)),"Not Found")</f>
        <v>Tamil Nadu</v>
      </c>
      <c r="P1004" s="5">
        <f>IFERROR(INDEX(Targets!$B$2:$B$9,MATCH($B1004,Targets!$A$2:$A$9,0)),0)</f>
        <v>1910000</v>
      </c>
      <c r="Q1004" s="5" t="str">
        <f t="shared" si="30"/>
        <v>Yes</v>
      </c>
      <c r="R1004" s="5" t="str">
        <f t="shared" si="31"/>
        <v>Dec</v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E56"/>
  <sheetViews>
    <sheetView showGridLines="0" zoomScaleNormal="100" workbookViewId="0">
      <selection activeCell="B3" sqref="B3:D3"/>
    </sheetView>
  </sheetViews>
  <sheetFormatPr defaultColWidth="8.6640625" defaultRowHeight="14.4" x14ac:dyDescent="0.3"/>
  <cols>
    <col min="2" max="5" width="22" customWidth="1"/>
  </cols>
  <sheetData>
    <row r="2" spans="2:5" ht="15.75" customHeight="1" x14ac:dyDescent="0.3">
      <c r="B2" s="16" t="s">
        <v>542</v>
      </c>
      <c r="C2" s="16"/>
      <c r="D2" s="16"/>
    </row>
    <row r="3" spans="2:5" ht="15" customHeight="1" x14ac:dyDescent="0.3">
      <c r="B3" s="7"/>
    </row>
    <row r="6" spans="2:5" ht="15" customHeight="1" x14ac:dyDescent="0.3">
      <c r="B6" s="3" t="s">
        <v>543</v>
      </c>
    </row>
    <row r="7" spans="2:5" ht="15" customHeight="1" x14ac:dyDescent="0.3">
      <c r="B7" s="5" t="s">
        <v>544</v>
      </c>
      <c r="E7" s="8">
        <f>SUMPRODUCT((Employee_Master!$A$2:$A$44&lt;&gt;"")*(COUNTIF(Employee_Master!$A$2:$A$44,Employee_Master!$A$2:$A$44)&gt;1))</f>
        <v>6</v>
      </c>
    </row>
    <row r="8" spans="2:5" ht="15" customHeight="1" x14ac:dyDescent="0.3">
      <c r="B8" s="5" t="s">
        <v>545</v>
      </c>
      <c r="E8" s="8">
        <f>COUNTBLANK(Sales_Data!$F$2:$F$1001)</f>
        <v>5</v>
      </c>
    </row>
    <row r="9" spans="2:5" ht="15" customHeight="1" x14ac:dyDescent="0.3">
      <c r="B9" s="5" t="s">
        <v>546</v>
      </c>
      <c r="E9" s="8">
        <f>SUMPRODUCT(--ISNA(MATCH(Sales_Data!$D$2:$D$1001,Product_Master!$A$2:$A$30,0)))</f>
        <v>4</v>
      </c>
    </row>
    <row r="12" spans="2:5" ht="15" customHeight="1" x14ac:dyDescent="0.3">
      <c r="B12" s="3" t="s">
        <v>547</v>
      </c>
    </row>
    <row r="13" spans="2:5" ht="15" customHeight="1" x14ac:dyDescent="0.3">
      <c r="B13" s="9" t="s">
        <v>526</v>
      </c>
      <c r="C13" s="9" t="s">
        <v>527</v>
      </c>
      <c r="D13" s="9" t="s">
        <v>528</v>
      </c>
      <c r="E13" s="9" t="s">
        <v>548</v>
      </c>
    </row>
    <row r="14" spans="2:5" ht="15" customHeight="1" x14ac:dyDescent="0.3">
      <c r="B14" s="5" t="str">
        <f>Employee_Master!A2</f>
        <v>E001</v>
      </c>
      <c r="C14" s="5" t="str">
        <f>Employee_Master!B2</f>
        <v>David Johnson</v>
      </c>
      <c r="D14" s="5" t="str">
        <f>Employee_Master!C2</f>
        <v>Customer Support</v>
      </c>
      <c r="E14" s="5">
        <f>COUNTIF(Employee_Master!$A$2:$A$44,B14)</f>
        <v>1</v>
      </c>
    </row>
    <row r="15" spans="2:5" ht="15" customHeight="1" x14ac:dyDescent="0.3">
      <c r="B15" s="5" t="str">
        <f>Employee_Master!A3</f>
        <v>E002</v>
      </c>
      <c r="C15" s="5" t="str">
        <f>Employee_Master!B3</f>
        <v>Jeremiah Kirby</v>
      </c>
      <c r="D15" s="5" t="str">
        <f>Employee_Master!C3</f>
        <v>Marketing</v>
      </c>
      <c r="E15" s="5">
        <f>COUNTIF(Employee_Master!$A$2:$A$44,B15)</f>
        <v>1</v>
      </c>
    </row>
    <row r="16" spans="2:5" ht="15" customHeight="1" x14ac:dyDescent="0.3">
      <c r="B16" s="5" t="str">
        <f>Employee_Master!A4</f>
        <v>E003</v>
      </c>
      <c r="C16" s="5" t="str">
        <f>Employee_Master!B4</f>
        <v>Margaret Porter</v>
      </c>
      <c r="D16" s="5" t="str">
        <f>Employee_Master!C4</f>
        <v>Customer Support</v>
      </c>
      <c r="E16" s="5">
        <f>COUNTIF(Employee_Master!$A$2:$A$44,B16)</f>
        <v>2</v>
      </c>
    </row>
    <row r="17" spans="2:5" ht="15" customHeight="1" x14ac:dyDescent="0.3">
      <c r="B17" s="5" t="str">
        <f>Employee_Master!A5</f>
        <v>E004</v>
      </c>
      <c r="C17" s="5" t="str">
        <f>Employee_Master!B5</f>
        <v>Judith Ramirez</v>
      </c>
      <c r="D17" s="5" t="str">
        <f>Employee_Master!C5</f>
        <v>Sales</v>
      </c>
      <c r="E17" s="5">
        <f>COUNTIF(Employee_Master!$A$2:$A$44,B17)</f>
        <v>1</v>
      </c>
    </row>
    <row r="18" spans="2:5" ht="15" customHeight="1" x14ac:dyDescent="0.3">
      <c r="B18" s="5" t="str">
        <f>Employee_Master!A6</f>
        <v>E005</v>
      </c>
      <c r="C18" s="5" t="str">
        <f>Employee_Master!B6</f>
        <v>Dr. Sara Zimmerman MD</v>
      </c>
      <c r="D18" s="5" t="str">
        <f>Employee_Master!C6</f>
        <v>Operations</v>
      </c>
      <c r="E18" s="5">
        <f>COUNTIF(Employee_Master!$A$2:$A$44,B18)</f>
        <v>1</v>
      </c>
    </row>
    <row r="19" spans="2:5" ht="15" customHeight="1" x14ac:dyDescent="0.3">
      <c r="B19" s="5" t="str">
        <f>Employee_Master!A7</f>
        <v>E006</v>
      </c>
      <c r="C19" s="5" t="str">
        <f>Employee_Master!B7</f>
        <v>Dylan Jones</v>
      </c>
      <c r="D19" s="5" t="str">
        <f>Employee_Master!C7</f>
        <v>Sales</v>
      </c>
      <c r="E19" s="5">
        <f>COUNTIF(Employee_Master!$A$2:$A$44,B19)</f>
        <v>1</v>
      </c>
    </row>
    <row r="20" spans="2:5" ht="15" customHeight="1" x14ac:dyDescent="0.3">
      <c r="B20" s="5" t="str">
        <f>Employee_Master!A8</f>
        <v>E007</v>
      </c>
      <c r="C20" s="5" t="str">
        <f>Employee_Master!B8</f>
        <v>Jennifer Bradford</v>
      </c>
      <c r="D20" s="5" t="str">
        <f>Employee_Master!C8</f>
        <v>Customer Support</v>
      </c>
      <c r="E20" s="5">
        <f>COUNTIF(Employee_Master!$A$2:$A$44,B20)</f>
        <v>1</v>
      </c>
    </row>
    <row r="21" spans="2:5" ht="15" customHeight="1" x14ac:dyDescent="0.3">
      <c r="B21" s="5" t="str">
        <f>Employee_Master!A9</f>
        <v>E008</v>
      </c>
      <c r="C21" s="5" t="str">
        <f>Employee_Master!B9</f>
        <v>Tyler Boone</v>
      </c>
      <c r="D21" s="5" t="str">
        <f>Employee_Master!C9</f>
        <v>Marketing</v>
      </c>
      <c r="E21" s="5">
        <f>COUNTIF(Employee_Master!$A$2:$A$44,B21)</f>
        <v>1</v>
      </c>
    </row>
    <row r="22" spans="2:5" ht="15" customHeight="1" x14ac:dyDescent="0.3">
      <c r="B22" s="5" t="str">
        <f>Employee_Master!A10</f>
        <v>E009</v>
      </c>
      <c r="C22" s="5" t="str">
        <f>Employee_Master!B10</f>
        <v>Daniel Kent</v>
      </c>
      <c r="D22" s="5" t="str">
        <f>Employee_Master!C10</f>
        <v>Sales</v>
      </c>
      <c r="E22" s="5">
        <f>COUNTIF(Employee_Master!$A$2:$A$44,B22)</f>
        <v>1</v>
      </c>
    </row>
    <row r="23" spans="2:5" ht="15" customHeight="1" x14ac:dyDescent="0.3">
      <c r="B23" s="5" t="str">
        <f>Employee_Master!A11</f>
        <v>E010</v>
      </c>
      <c r="C23" s="5" t="str">
        <f>Employee_Master!B11</f>
        <v>William Sanders</v>
      </c>
      <c r="D23" s="5" t="str">
        <f>Employee_Master!C11</f>
        <v>Sales</v>
      </c>
      <c r="E23" s="5">
        <f>COUNTIF(Employee_Master!$A$2:$A$44,B23)</f>
        <v>1</v>
      </c>
    </row>
    <row r="24" spans="2:5" ht="15" customHeight="1" x14ac:dyDescent="0.3">
      <c r="B24" s="5" t="str">
        <f>Employee_Master!A12</f>
        <v>E011</v>
      </c>
      <c r="C24" s="5" t="str">
        <f>Employee_Master!B12</f>
        <v>Mark Osborne</v>
      </c>
      <c r="D24" s="5" t="str">
        <f>Employee_Master!C12</f>
        <v>Marketing</v>
      </c>
      <c r="E24" s="5">
        <f>COUNTIF(Employee_Master!$A$2:$A$44,B24)</f>
        <v>2</v>
      </c>
    </row>
    <row r="25" spans="2:5" ht="15" customHeight="1" x14ac:dyDescent="0.3">
      <c r="B25" s="5" t="str">
        <f>Employee_Master!A13</f>
        <v>E012</v>
      </c>
      <c r="C25" s="5" t="str">
        <f>Employee_Master!B13</f>
        <v>Brandon Cook</v>
      </c>
      <c r="D25" s="5" t="str">
        <f>Employee_Master!C13</f>
        <v>Customer Support</v>
      </c>
      <c r="E25" s="5">
        <f>COUNTIF(Employee_Master!$A$2:$A$44,B25)</f>
        <v>1</v>
      </c>
    </row>
    <row r="26" spans="2:5" ht="15" customHeight="1" x14ac:dyDescent="0.3">
      <c r="B26" s="5" t="str">
        <f>Employee_Master!A14</f>
        <v>E013</v>
      </c>
      <c r="C26" s="5" t="str">
        <f>Employee_Master!B14</f>
        <v>Norma Wilson</v>
      </c>
      <c r="D26" s="5" t="str">
        <f>Employee_Master!C14</f>
        <v>Customer Support</v>
      </c>
      <c r="E26" s="5">
        <f>COUNTIF(Employee_Master!$A$2:$A$44,B26)</f>
        <v>1</v>
      </c>
    </row>
    <row r="27" spans="2:5" ht="15" customHeight="1" x14ac:dyDescent="0.3">
      <c r="B27" s="5" t="str">
        <f>Employee_Master!A15</f>
        <v>E014</v>
      </c>
      <c r="C27" s="5" t="str">
        <f>Employee_Master!B15</f>
        <v>Brian Brown</v>
      </c>
      <c r="D27" s="5" t="str">
        <f>Employee_Master!C15</f>
        <v>Marketing</v>
      </c>
      <c r="E27" s="5">
        <f>COUNTIF(Employee_Master!$A$2:$A$44,B27)</f>
        <v>1</v>
      </c>
    </row>
    <row r="28" spans="2:5" ht="15" customHeight="1" x14ac:dyDescent="0.3">
      <c r="B28" s="5" t="str">
        <f>Employee_Master!A16</f>
        <v>E015</v>
      </c>
      <c r="C28" s="5" t="str">
        <f>Employee_Master!B16</f>
        <v>Cassandra Hansen</v>
      </c>
      <c r="D28" s="5" t="str">
        <f>Employee_Master!C16</f>
        <v>Customer Support</v>
      </c>
      <c r="E28" s="5">
        <f>COUNTIF(Employee_Master!$A$2:$A$44,B28)</f>
        <v>1</v>
      </c>
    </row>
    <row r="29" spans="2:5" ht="15" customHeight="1" x14ac:dyDescent="0.3">
      <c r="B29" s="5" t="str">
        <f>Employee_Master!A17</f>
        <v>E016</v>
      </c>
      <c r="C29" s="5" t="str">
        <f>Employee_Master!B17</f>
        <v>Connor Dennis</v>
      </c>
      <c r="D29" s="5" t="str">
        <f>Employee_Master!C17</f>
        <v>Sales</v>
      </c>
      <c r="E29" s="5">
        <f>COUNTIF(Employee_Master!$A$2:$A$44,B29)</f>
        <v>1</v>
      </c>
    </row>
    <row r="30" spans="2:5" ht="15" customHeight="1" x14ac:dyDescent="0.3">
      <c r="B30" s="5" t="str">
        <f>Employee_Master!A18</f>
        <v>E017</v>
      </c>
      <c r="C30" s="5" t="str">
        <f>Employee_Master!B18</f>
        <v>Mathew Wilson</v>
      </c>
      <c r="D30" s="5" t="str">
        <f>Employee_Master!C18</f>
        <v>Operations</v>
      </c>
      <c r="E30" s="5">
        <f>COUNTIF(Employee_Master!$A$2:$A$44,B30)</f>
        <v>1</v>
      </c>
    </row>
    <row r="31" spans="2:5" ht="15" customHeight="1" x14ac:dyDescent="0.3">
      <c r="B31" s="5" t="str">
        <f>Employee_Master!A19</f>
        <v>E018</v>
      </c>
      <c r="C31" s="5" t="str">
        <f>Employee_Master!B19</f>
        <v>Daniel Nelson</v>
      </c>
      <c r="D31" s="5" t="str">
        <f>Employee_Master!C19</f>
        <v>Sales</v>
      </c>
      <c r="E31" s="5">
        <f>COUNTIF(Employee_Master!$A$2:$A$44,B31)</f>
        <v>1</v>
      </c>
    </row>
    <row r="32" spans="2:5" ht="15" customHeight="1" x14ac:dyDescent="0.3">
      <c r="B32" s="5" t="str">
        <f>Employee_Master!A20</f>
        <v>E019</v>
      </c>
      <c r="C32" s="5" t="str">
        <f>Employee_Master!B20</f>
        <v>Regina Torres</v>
      </c>
      <c r="D32" s="5" t="str">
        <f>Employee_Master!C20</f>
        <v>Operations</v>
      </c>
      <c r="E32" s="5">
        <f>COUNTIF(Employee_Master!$A$2:$A$44,B32)</f>
        <v>1</v>
      </c>
    </row>
    <row r="33" spans="2:5" ht="15" customHeight="1" x14ac:dyDescent="0.3">
      <c r="B33" s="5" t="str">
        <f>Employee_Master!A21</f>
        <v>E020</v>
      </c>
      <c r="C33" s="5" t="str">
        <f>Employee_Master!B21</f>
        <v>Christine Long</v>
      </c>
      <c r="D33" s="5" t="str">
        <f>Employee_Master!C21</f>
        <v>Operations</v>
      </c>
      <c r="E33" s="5">
        <f>COUNTIF(Employee_Master!$A$2:$A$44,B33)</f>
        <v>1</v>
      </c>
    </row>
    <row r="34" spans="2:5" ht="15" customHeight="1" x14ac:dyDescent="0.3">
      <c r="B34" s="5" t="str">
        <f>Employee_Master!A22</f>
        <v>E021</v>
      </c>
      <c r="C34" s="5" t="str">
        <f>Employee_Master!B22</f>
        <v>Maria Garcia</v>
      </c>
      <c r="D34" s="5" t="str">
        <f>Employee_Master!C22</f>
        <v>Sales</v>
      </c>
      <c r="E34" s="5">
        <f>COUNTIF(Employee_Master!$A$2:$A$44,B34)</f>
        <v>1</v>
      </c>
    </row>
    <row r="35" spans="2:5" ht="15" customHeight="1" x14ac:dyDescent="0.3">
      <c r="B35" s="5" t="str">
        <f>Employee_Master!A23</f>
        <v>E022</v>
      </c>
      <c r="C35" s="5" t="str">
        <f>Employee_Master!B23</f>
        <v>Cindy Green PhD</v>
      </c>
      <c r="D35" s="5" t="str">
        <f>Employee_Master!C23</f>
        <v>Customer Support</v>
      </c>
      <c r="E35" s="5">
        <f>COUNTIF(Employee_Master!$A$2:$A$44,B35)</f>
        <v>1</v>
      </c>
    </row>
    <row r="36" spans="2:5" ht="15" customHeight="1" x14ac:dyDescent="0.3">
      <c r="B36" s="5" t="str">
        <f>Employee_Master!A24</f>
        <v>E023</v>
      </c>
      <c r="C36" s="5" t="str">
        <f>Employee_Master!B24</f>
        <v>Edward Jones</v>
      </c>
      <c r="D36" s="5" t="str">
        <f>Employee_Master!C24</f>
        <v>Operations</v>
      </c>
      <c r="E36" s="5">
        <f>COUNTIF(Employee_Master!$A$2:$A$44,B36)</f>
        <v>1</v>
      </c>
    </row>
    <row r="37" spans="2:5" ht="15" customHeight="1" x14ac:dyDescent="0.3">
      <c r="B37" s="5" t="str">
        <f>Employee_Master!A25</f>
        <v>E024</v>
      </c>
      <c r="C37" s="5" t="str">
        <f>Employee_Master!B25</f>
        <v>Kevin Sanchez</v>
      </c>
      <c r="D37" s="5" t="str">
        <f>Employee_Master!C25</f>
        <v>Sales</v>
      </c>
      <c r="E37" s="5">
        <f>COUNTIF(Employee_Master!$A$2:$A$44,B37)</f>
        <v>1</v>
      </c>
    </row>
    <row r="38" spans="2:5" ht="15" customHeight="1" x14ac:dyDescent="0.3">
      <c r="B38" s="5" t="str">
        <f>Employee_Master!A26</f>
        <v>E025</v>
      </c>
      <c r="C38" s="5" t="str">
        <f>Employee_Master!B26</f>
        <v>Jacqueline Chavez</v>
      </c>
      <c r="D38" s="5" t="str">
        <f>Employee_Master!C26</f>
        <v>Sales</v>
      </c>
      <c r="E38" s="5">
        <f>COUNTIF(Employee_Master!$A$2:$A$44,B38)</f>
        <v>1</v>
      </c>
    </row>
    <row r="39" spans="2:5" ht="15" customHeight="1" x14ac:dyDescent="0.3">
      <c r="B39" s="5" t="str">
        <f>Employee_Master!A27</f>
        <v>E026</v>
      </c>
      <c r="C39" s="5" t="str">
        <f>Employee_Master!B27</f>
        <v>Karen Andrews</v>
      </c>
      <c r="D39" s="5" t="str">
        <f>Employee_Master!C27</f>
        <v>Marketing</v>
      </c>
      <c r="E39" s="5">
        <f>COUNTIF(Employee_Master!$A$2:$A$44,B39)</f>
        <v>2</v>
      </c>
    </row>
    <row r="40" spans="2:5" ht="15" customHeight="1" x14ac:dyDescent="0.3">
      <c r="B40" s="5" t="str">
        <f>Employee_Master!A28</f>
        <v>E027</v>
      </c>
      <c r="C40" s="5" t="str">
        <f>Employee_Master!B28</f>
        <v>Catherine Moore</v>
      </c>
      <c r="D40" s="5" t="str">
        <f>Employee_Master!C28</f>
        <v>Customer Support</v>
      </c>
      <c r="E40" s="5">
        <f>COUNTIF(Employee_Master!$A$2:$A$44,B40)</f>
        <v>1</v>
      </c>
    </row>
    <row r="41" spans="2:5" ht="15" customHeight="1" x14ac:dyDescent="0.3">
      <c r="B41" s="5" t="str">
        <f>Employee_Master!A29</f>
        <v>E028</v>
      </c>
      <c r="C41" s="5" t="str">
        <f>Employee_Master!B29</f>
        <v>Sabrina Wright</v>
      </c>
      <c r="D41" s="5" t="str">
        <f>Employee_Master!C29</f>
        <v>Customer Support</v>
      </c>
      <c r="E41" s="5">
        <f>COUNTIF(Employee_Master!$A$2:$A$44,B41)</f>
        <v>1</v>
      </c>
    </row>
    <row r="42" spans="2:5" ht="15" customHeight="1" x14ac:dyDescent="0.3">
      <c r="B42" s="5" t="str">
        <f>Employee_Master!A30</f>
        <v>E029</v>
      </c>
      <c r="C42" s="5" t="str">
        <f>Employee_Master!B30</f>
        <v>Patrick Shepard</v>
      </c>
      <c r="D42" s="5" t="str">
        <f>Employee_Master!C30</f>
        <v>Sales</v>
      </c>
      <c r="E42" s="5">
        <f>COUNTIF(Employee_Master!$A$2:$A$44,B42)</f>
        <v>1</v>
      </c>
    </row>
    <row r="43" spans="2:5" ht="15" customHeight="1" x14ac:dyDescent="0.3">
      <c r="B43" s="5" t="str">
        <f>Employee_Master!A31</f>
        <v>E030</v>
      </c>
      <c r="C43" s="5" t="str">
        <f>Employee_Master!B31</f>
        <v>Travis Khan</v>
      </c>
      <c r="D43" s="5" t="str">
        <f>Employee_Master!C31</f>
        <v>Operations</v>
      </c>
      <c r="E43" s="5">
        <f>COUNTIF(Employee_Master!$A$2:$A$44,B43)</f>
        <v>1</v>
      </c>
    </row>
    <row r="44" spans="2:5" ht="15" customHeight="1" x14ac:dyDescent="0.3">
      <c r="B44" s="5" t="str">
        <f>Employee_Master!A32</f>
        <v>E031</v>
      </c>
      <c r="C44" s="5" t="str">
        <f>Employee_Master!B32</f>
        <v>Jennifer Garcia</v>
      </c>
      <c r="D44" s="5" t="str">
        <f>Employee_Master!C32</f>
        <v>Sales</v>
      </c>
      <c r="E44" s="5">
        <f>COUNTIF(Employee_Master!$A$2:$A$44,B44)</f>
        <v>1</v>
      </c>
    </row>
    <row r="45" spans="2:5" ht="15" customHeight="1" x14ac:dyDescent="0.3">
      <c r="B45" s="5" t="str">
        <f>Employee_Master!A33</f>
        <v>E032</v>
      </c>
      <c r="C45" s="5" t="str">
        <f>Employee_Master!B33</f>
        <v>Victor Allen</v>
      </c>
      <c r="D45" s="5" t="str">
        <f>Employee_Master!C33</f>
        <v>Operations</v>
      </c>
      <c r="E45" s="5">
        <f>COUNTIF(Employee_Master!$A$2:$A$44,B45)</f>
        <v>1</v>
      </c>
    </row>
    <row r="46" spans="2:5" ht="15" customHeight="1" x14ac:dyDescent="0.3">
      <c r="B46" s="5" t="str">
        <f>Employee_Master!A34</f>
        <v>E033</v>
      </c>
      <c r="C46" s="5" t="str">
        <f>Employee_Master!B34</f>
        <v>Dawn Colon</v>
      </c>
      <c r="D46" s="5" t="str">
        <f>Employee_Master!C34</f>
        <v>Customer Support</v>
      </c>
      <c r="E46" s="5">
        <f>COUNTIF(Employee_Master!$A$2:$A$44,B46)</f>
        <v>1</v>
      </c>
    </row>
    <row r="47" spans="2:5" ht="15" customHeight="1" x14ac:dyDescent="0.3">
      <c r="B47" s="5" t="str">
        <f>Employee_Master!A35</f>
        <v>E034</v>
      </c>
      <c r="C47" s="5" t="str">
        <f>Employee_Master!B35</f>
        <v>Elaine Thompson</v>
      </c>
      <c r="D47" s="5" t="str">
        <f>Employee_Master!C35</f>
        <v>Marketing</v>
      </c>
      <c r="E47" s="5">
        <f>COUNTIF(Employee_Master!$A$2:$A$44,B47)</f>
        <v>1</v>
      </c>
    </row>
    <row r="48" spans="2:5" ht="15" customHeight="1" x14ac:dyDescent="0.3">
      <c r="B48" s="5" t="str">
        <f>Employee_Master!A36</f>
        <v>E035</v>
      </c>
      <c r="C48" s="5" t="str">
        <f>Employee_Master!B36</f>
        <v>Andrea Perez</v>
      </c>
      <c r="D48" s="5" t="str">
        <f>Employee_Master!C36</f>
        <v>Sales</v>
      </c>
      <c r="E48" s="5">
        <f>COUNTIF(Employee_Master!$A$2:$A$44,B48)</f>
        <v>1</v>
      </c>
    </row>
    <row r="49" spans="2:5" ht="15" customHeight="1" x14ac:dyDescent="0.3">
      <c r="B49" s="5" t="str">
        <f>Employee_Master!A37</f>
        <v>E036</v>
      </c>
      <c r="C49" s="5" t="str">
        <f>Employee_Master!B37</f>
        <v>Sarah Mendez</v>
      </c>
      <c r="D49" s="5" t="str">
        <f>Employee_Master!C37</f>
        <v>Sales</v>
      </c>
      <c r="E49" s="5">
        <f>COUNTIF(Employee_Master!$A$2:$A$44,B49)</f>
        <v>1</v>
      </c>
    </row>
    <row r="50" spans="2:5" ht="15" customHeight="1" x14ac:dyDescent="0.3">
      <c r="B50" s="5" t="str">
        <f>Employee_Master!A38</f>
        <v>E037</v>
      </c>
      <c r="C50" s="5" t="str">
        <f>Employee_Master!B38</f>
        <v>Thomas Harris</v>
      </c>
      <c r="D50" s="5" t="str">
        <f>Employee_Master!C38</f>
        <v>Customer Support</v>
      </c>
      <c r="E50" s="5">
        <f>COUNTIF(Employee_Master!$A$2:$A$44,B50)</f>
        <v>1</v>
      </c>
    </row>
    <row r="51" spans="2:5" ht="15" customHeight="1" x14ac:dyDescent="0.3">
      <c r="B51" s="5" t="str">
        <f>Employee_Master!A39</f>
        <v>E038</v>
      </c>
      <c r="C51" s="5" t="str">
        <f>Employee_Master!B39</f>
        <v>Derrick Griffin</v>
      </c>
      <c r="D51" s="5" t="str">
        <f>Employee_Master!C39</f>
        <v>Marketing</v>
      </c>
      <c r="E51" s="5">
        <f>COUNTIF(Employee_Master!$A$2:$A$44,B51)</f>
        <v>1</v>
      </c>
    </row>
    <row r="52" spans="2:5" ht="15" customHeight="1" x14ac:dyDescent="0.3">
      <c r="B52" s="5" t="str">
        <f>Employee_Master!A40</f>
        <v>E039</v>
      </c>
      <c r="C52" s="5" t="str">
        <f>Employee_Master!B40</f>
        <v>Christopher Wood</v>
      </c>
      <c r="D52" s="5" t="str">
        <f>Employee_Master!C40</f>
        <v>Marketing</v>
      </c>
      <c r="E52" s="5">
        <f>COUNTIF(Employee_Master!$A$2:$A$44,B52)</f>
        <v>1</v>
      </c>
    </row>
    <row r="53" spans="2:5" ht="15" customHeight="1" x14ac:dyDescent="0.3">
      <c r="B53" s="5" t="str">
        <f>Employee_Master!A41</f>
        <v>E040</v>
      </c>
      <c r="C53" s="5" t="str">
        <f>Employee_Master!B41</f>
        <v>Bonnie Cox</v>
      </c>
      <c r="D53" s="5" t="str">
        <f>Employee_Master!C41</f>
        <v>Customer Support</v>
      </c>
      <c r="E53" s="5">
        <f>COUNTIF(Employee_Master!$A$2:$A$44,B53)</f>
        <v>1</v>
      </c>
    </row>
    <row r="54" spans="2:5" ht="15" customHeight="1" x14ac:dyDescent="0.3">
      <c r="B54" s="5" t="str">
        <f>Employee_Master!A42</f>
        <v>E003</v>
      </c>
      <c r="C54" s="5" t="str">
        <f>Employee_Master!B42</f>
        <v>Margaret Porter (dup)</v>
      </c>
      <c r="D54" s="5" t="str">
        <f>Employee_Master!C42</f>
        <v>Customer Support</v>
      </c>
      <c r="E54" s="5">
        <f>COUNTIF(Employee_Master!$A$2:$A$44,B54)</f>
        <v>2</v>
      </c>
    </row>
    <row r="55" spans="2:5" ht="15" customHeight="1" x14ac:dyDescent="0.3">
      <c r="B55" s="5" t="str">
        <f>Employee_Master!A43</f>
        <v>E011</v>
      </c>
      <c r="C55" s="5" t="str">
        <f>Employee_Master!B43</f>
        <v>Mark Osborne (dup)</v>
      </c>
      <c r="D55" s="5" t="str">
        <f>Employee_Master!C43</f>
        <v>Marketing</v>
      </c>
      <c r="E55" s="5">
        <f>COUNTIF(Employee_Master!$A$2:$A$44,B55)</f>
        <v>2</v>
      </c>
    </row>
    <row r="56" spans="2:5" ht="15" customHeight="1" x14ac:dyDescent="0.3">
      <c r="B56" s="5" t="str">
        <f>Employee_Master!A44</f>
        <v>E026</v>
      </c>
      <c r="C56" s="5" t="str">
        <f>Employee_Master!B44</f>
        <v>Karen Andrews (dup)</v>
      </c>
      <c r="D56" s="5" t="str">
        <f>Employee_Master!C44</f>
        <v>Marketing</v>
      </c>
      <c r="E56" s="5">
        <f>COUNTIF(Employee_Master!$A$2:$A$44,B56)</f>
        <v>2</v>
      </c>
    </row>
  </sheetData>
  <mergeCells count="1">
    <mergeCell ref="B2:D2"/>
  </mergeCells>
  <conditionalFormatting sqref="E7:E9">
    <cfRule type="expression" dxfId="1" priority="2">
      <formula>E7&gt;0</formula>
    </cfRule>
  </conditionalFormatting>
  <conditionalFormatting sqref="E14:E56">
    <cfRule type="expression" dxfId="0" priority="3">
      <formula>E14&gt;1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97"/>
  <sheetViews>
    <sheetView showGridLines="0" zoomScaleNormal="100" workbookViewId="0">
      <selection activeCell="A4" sqref="A4:B5"/>
    </sheetView>
  </sheetViews>
  <sheetFormatPr defaultColWidth="8.6640625" defaultRowHeight="14.4" x14ac:dyDescent="0.3"/>
  <cols>
    <col min="1" max="1" width="14.21875" bestFit="1" customWidth="1"/>
    <col min="2" max="8" width="15" customWidth="1"/>
    <col min="10" max="10" width="23.5546875" bestFit="1" customWidth="1"/>
  </cols>
  <sheetData>
    <row r="1" spans="1:23" ht="21" x14ac:dyDescent="0.4">
      <c r="C1" s="13" t="s">
        <v>549</v>
      </c>
      <c r="D1" s="13"/>
      <c r="E1" s="13"/>
      <c r="F1" s="13"/>
    </row>
    <row r="2" spans="1:23" ht="17.25" customHeight="1" x14ac:dyDescent="0.3">
      <c r="B2" s="1"/>
    </row>
    <row r="3" spans="1:23" ht="15" customHeight="1" x14ac:dyDescent="0.3">
      <c r="A3" s="14" t="s">
        <v>551</v>
      </c>
      <c r="B3" s="14"/>
      <c r="C3" s="14" t="s">
        <v>552</v>
      </c>
      <c r="D3" s="14"/>
      <c r="E3" s="14" t="s">
        <v>554</v>
      </c>
      <c r="F3" s="14"/>
      <c r="G3" s="14" t="s">
        <v>555</v>
      </c>
      <c r="H3" s="14"/>
    </row>
    <row r="4" spans="1:23" ht="15" customHeight="1" x14ac:dyDescent="0.3">
      <c r="A4" s="15">
        <f>ROUND(SUM(Merged_Data!$L$5:$L$1004),0)</f>
        <v>4240266</v>
      </c>
      <c r="B4" s="15"/>
      <c r="C4" s="15">
        <f>COUNTA(Merged_Data!$L$5:$L$1004)</f>
        <v>1000</v>
      </c>
      <c r="D4" s="15"/>
      <c r="E4" s="15">
        <f>ROUND(AVERAGE(Merged_Data!$L$5:$L$1004),0)</f>
        <v>4240</v>
      </c>
      <c r="F4" s="15"/>
      <c r="G4" s="15">
        <f>ROUND(SUM(Merged_Data!$L$5:$L$1004)/SUM(Merged_Data!$M$5:$M$1004)*100,1)</f>
        <v>105.6</v>
      </c>
      <c r="H4" s="15"/>
      <c r="V4" s="3" t="s">
        <v>550</v>
      </c>
    </row>
    <row r="5" spans="1:23" ht="15" customHeight="1" x14ac:dyDescent="0.3">
      <c r="A5" s="15"/>
      <c r="B5" s="15"/>
      <c r="C5" s="15"/>
      <c r="D5" s="15"/>
      <c r="E5" s="15"/>
      <c r="F5" s="15"/>
      <c r="G5" s="15"/>
      <c r="H5" s="15"/>
    </row>
    <row r="6" spans="1:23" ht="15" customHeight="1" x14ac:dyDescent="0.3">
      <c r="V6" s="9" t="s">
        <v>525</v>
      </c>
      <c r="W6" s="9" t="s">
        <v>553</v>
      </c>
    </row>
    <row r="7" spans="1:23" ht="15" customHeight="1" x14ac:dyDescent="0.3">
      <c r="A7" s="14" t="s">
        <v>559</v>
      </c>
      <c r="B7" s="14"/>
      <c r="C7" s="14" t="s">
        <v>560</v>
      </c>
      <c r="D7" s="14"/>
      <c r="E7" s="14" t="s">
        <v>556</v>
      </c>
      <c r="F7" s="14"/>
      <c r="G7" s="14" t="s">
        <v>557</v>
      </c>
      <c r="H7" s="14"/>
      <c r="V7" s="5" t="s">
        <v>8</v>
      </c>
      <c r="W7" s="5">
        <f>ROUND(SUMIF(Merged_Data!$B$5:$B$1004,V7,Merged_Data!$L$5:$L$1004),0)</f>
        <v>547764</v>
      </c>
    </row>
    <row r="8" spans="1:23" ht="15" customHeight="1" x14ac:dyDescent="0.3">
      <c r="A8" s="15" t="str">
        <f>INDEX($V$17:$V$56,MATCH(MAX($W$17:$W$56),$W$17:$W$56,0))</f>
        <v>E023</v>
      </c>
      <c r="B8" s="15"/>
      <c r="C8" s="15">
        <f>ROUND((SUMIF(Merged_Data!$R$5:$R$1004,"Dec",Merged_Data!$L$5:$L$1004)-SUMIF(Merged_Data!$R$5:$R$1004,"Nov",Merged_Data!$L$5:$L$1004))/SUMIF(Merged_Data!$R$5:$R$1004,"Nov",Merged_Data!$L$5:$L$1004)*100,1)</f>
        <v>-35.5</v>
      </c>
      <c r="D8" s="15"/>
      <c r="E8" s="15" t="str">
        <f>INDEX($V$7:$V$14,MATCH(MAX($W$7:$W$14),$W$7:$W$14,0))</f>
        <v>Pune East</v>
      </c>
      <c r="F8" s="15"/>
      <c r="G8" s="15" t="str">
        <f>INDEX($V$7:$V$14,MATCH(MIN($W$7:$W$14),$W$7:$W$14,0))</f>
        <v>Kolkata Central</v>
      </c>
      <c r="H8" s="15"/>
      <c r="V8" s="5" t="s">
        <v>34</v>
      </c>
      <c r="W8" s="5">
        <f>ROUND(SUMIF(Merged_Data!$B$5:$B$1004,V8,Merged_Data!$L$5:$L$1004),0)</f>
        <v>681369</v>
      </c>
    </row>
    <row r="9" spans="1:23" ht="15" customHeight="1" x14ac:dyDescent="0.3">
      <c r="A9" s="15"/>
      <c r="B9" s="15"/>
      <c r="C9" s="15"/>
      <c r="D9" s="15"/>
      <c r="E9" s="15"/>
      <c r="F9" s="15"/>
      <c r="G9" s="15"/>
      <c r="H9" s="15"/>
      <c r="V9" s="5" t="s">
        <v>53</v>
      </c>
      <c r="W9" s="5">
        <f>ROUND(SUMIF(Merged_Data!$B$5:$B$1004,V9,Merged_Data!$L$5:$L$1004),0)</f>
        <v>535603</v>
      </c>
    </row>
    <row r="10" spans="1:23" ht="15" customHeight="1" x14ac:dyDescent="0.3">
      <c r="V10" s="5" t="s">
        <v>42</v>
      </c>
      <c r="W10" s="5">
        <f>ROUND(SUMIF(Merged_Data!$B$5:$B$1004,V10,Merged_Data!$L$5:$L$1004),0)</f>
        <v>492056</v>
      </c>
    </row>
    <row r="11" spans="1:23" ht="15" customHeight="1" x14ac:dyDescent="0.3">
      <c r="A11" s="17" t="s">
        <v>561</v>
      </c>
      <c r="B11" s="17"/>
      <c r="V11" s="5" t="s">
        <v>17</v>
      </c>
      <c r="W11" s="5">
        <f>ROUND(SUMIF(Merged_Data!$B$5:$B$1004,V11,Merged_Data!$L$5:$L$1004),0)</f>
        <v>578079</v>
      </c>
    </row>
    <row r="12" spans="1:23" ht="15" customHeight="1" x14ac:dyDescent="0.3">
      <c r="A12" s="9" t="s">
        <v>541</v>
      </c>
      <c r="B12" s="9" t="s">
        <v>535</v>
      </c>
      <c r="D12" s="17" t="s">
        <v>562</v>
      </c>
      <c r="E12" s="17"/>
      <c r="F12" s="17"/>
      <c r="G12" s="17"/>
      <c r="V12" s="5" t="s">
        <v>28</v>
      </c>
      <c r="W12" s="5">
        <f>ROUND(SUMIF(Merged_Data!$B$5:$B$1004,V12,Merged_Data!$L$5:$L$1004),0)</f>
        <v>465720</v>
      </c>
    </row>
    <row r="13" spans="1:23" ht="15" customHeight="1" x14ac:dyDescent="0.3">
      <c r="A13" s="5" t="s">
        <v>564</v>
      </c>
      <c r="B13">
        <f>ROUND(SUMIF(Merged_Data!$R$5:$R$1004,$A13,Merged_Data!$L$5:$L$1004),0)</f>
        <v>323438</v>
      </c>
      <c r="D13" s="9" t="s">
        <v>525</v>
      </c>
      <c r="E13" s="9" t="s">
        <v>535</v>
      </c>
      <c r="F13" s="9" t="s">
        <v>539</v>
      </c>
      <c r="G13" s="9" t="s">
        <v>563</v>
      </c>
      <c r="V13" s="5" t="s">
        <v>11</v>
      </c>
      <c r="W13" s="5">
        <f>ROUND(SUMIF(Merged_Data!$B$5:$B$1004,V13,Merged_Data!$L$5:$L$1004),0)</f>
        <v>398836</v>
      </c>
    </row>
    <row r="14" spans="1:23" ht="15" customHeight="1" x14ac:dyDescent="0.3">
      <c r="A14" s="5" t="s">
        <v>565</v>
      </c>
      <c r="B14">
        <f>ROUND(SUMIF(Merged_Data!$R$5:$R$1004,$A14,Merged_Data!$L$5:$L$1004),0)</f>
        <v>276990</v>
      </c>
      <c r="D14" s="5" t="s">
        <v>8</v>
      </c>
      <c r="E14" s="5">
        <f>ROUND(SUMIF(Merged_Data!$B$5:$B$1004,D14,Merged_Data!$L$5:$L$1004),0)</f>
        <v>547764</v>
      </c>
      <c r="F14" s="5">
        <f>IFERROR(INDEX(Targets!$B$2:$B$9,MATCH(D14,Targets!$A$2:$A$9,0)),0)</f>
        <v>900000</v>
      </c>
      <c r="G14" s="5">
        <f t="shared" ref="G14:G21" si="0">ROUND(E14/F14*100,1)</f>
        <v>60.9</v>
      </c>
      <c r="V14" s="5" t="s">
        <v>22</v>
      </c>
      <c r="W14" s="5">
        <f>ROUND(SUMIF(Merged_Data!$B$5:$B$1004,V14,Merged_Data!$L$5:$L$1004),0)</f>
        <v>540839</v>
      </c>
    </row>
    <row r="15" spans="1:23" ht="15" customHeight="1" x14ac:dyDescent="0.3">
      <c r="A15" s="5" t="s">
        <v>566</v>
      </c>
      <c r="B15">
        <f>ROUND(SUMIF(Merged_Data!$R$5:$R$1004,$A15,Merged_Data!$L$5:$L$1004),0)</f>
        <v>303775</v>
      </c>
      <c r="D15" s="5" t="s">
        <v>34</v>
      </c>
      <c r="E15" s="5">
        <f>ROUND(SUMIF(Merged_Data!$B$5:$B$1004,D15,Merged_Data!$L$5:$L$1004),0)</f>
        <v>681369</v>
      </c>
      <c r="F15" s="5">
        <f>IFERROR(INDEX(Targets!$B$2:$B$9,MATCH(D15,Targets!$A$2:$A$9,0)),0)</f>
        <v>1250000</v>
      </c>
      <c r="G15" s="5">
        <f t="shared" si="0"/>
        <v>54.5</v>
      </c>
    </row>
    <row r="16" spans="1:23" ht="15" customHeight="1" x14ac:dyDescent="0.3">
      <c r="A16" s="5" t="s">
        <v>567</v>
      </c>
      <c r="B16">
        <f>ROUND(SUMIF(Merged_Data!$R$5:$R$1004,$A16,Merged_Data!$L$5:$L$1004),0)</f>
        <v>385118</v>
      </c>
      <c r="D16" s="5" t="s">
        <v>53</v>
      </c>
      <c r="E16" s="5">
        <f>ROUND(SUMIF(Merged_Data!$B$5:$B$1004,D16,Merged_Data!$L$5:$L$1004),0)</f>
        <v>535603</v>
      </c>
      <c r="F16" s="5">
        <f>IFERROR(INDEX(Targets!$B$2:$B$9,MATCH(D16,Targets!$A$2:$A$9,0)),0)</f>
        <v>900000</v>
      </c>
      <c r="G16" s="5">
        <f t="shared" si="0"/>
        <v>59.5</v>
      </c>
      <c r="V16" s="9" t="s">
        <v>558</v>
      </c>
      <c r="W16" s="9" t="s">
        <v>553</v>
      </c>
    </row>
    <row r="17" spans="1:23" ht="15" customHeight="1" x14ac:dyDescent="0.3">
      <c r="A17" s="5" t="s">
        <v>568</v>
      </c>
      <c r="B17">
        <f>ROUND(SUMIF(Merged_Data!$R$5:$R$1004,$A17,Merged_Data!$L$5:$L$1004),0)</f>
        <v>390349</v>
      </c>
      <c r="D17" s="5" t="s">
        <v>42</v>
      </c>
      <c r="E17" s="5">
        <f>ROUND(SUMIF(Merged_Data!$B$5:$B$1004,D17,Merged_Data!$L$5:$L$1004),0)</f>
        <v>492056</v>
      </c>
      <c r="F17" s="5">
        <f>IFERROR(INDEX(Targets!$B$2:$B$9,MATCH(D17,Targets!$A$2:$A$9,0)),0)</f>
        <v>1210000</v>
      </c>
      <c r="G17" s="5">
        <f t="shared" si="0"/>
        <v>40.700000000000003</v>
      </c>
      <c r="V17" s="5" t="s">
        <v>123</v>
      </c>
      <c r="W17" s="5">
        <f>ROUND(SUMIF(Merged_Data!$C$5:$C$1004,V17,Merged_Data!$L$5:$L$1004),0)</f>
        <v>90527</v>
      </c>
    </row>
    <row r="18" spans="1:23" ht="15" customHeight="1" x14ac:dyDescent="0.3">
      <c r="A18" s="5" t="s">
        <v>569</v>
      </c>
      <c r="B18">
        <f>ROUND(SUMIF(Merged_Data!$R$5:$R$1004,$A18,Merged_Data!$L$5:$L$1004),0)</f>
        <v>273496</v>
      </c>
      <c r="D18" s="5" t="s">
        <v>17</v>
      </c>
      <c r="E18" s="5">
        <f>ROUND(SUMIF(Merged_Data!$B$5:$B$1004,D18,Merged_Data!$L$5:$L$1004),0)</f>
        <v>578079</v>
      </c>
      <c r="F18" s="5">
        <f>IFERROR(INDEX(Targets!$B$2:$B$9,MATCH(D18,Targets!$A$2:$A$9,0)),0)</f>
        <v>1910000</v>
      </c>
      <c r="G18" s="5">
        <f t="shared" si="0"/>
        <v>30.3</v>
      </c>
      <c r="V18" s="5" t="s">
        <v>78</v>
      </c>
      <c r="W18" s="5">
        <f>ROUND(SUMIF(Merged_Data!$C$5:$C$1004,V18,Merged_Data!$L$5:$L$1004),0)</f>
        <v>76712</v>
      </c>
    </row>
    <row r="19" spans="1:23" ht="15" customHeight="1" x14ac:dyDescent="0.3">
      <c r="A19" s="5" t="s">
        <v>570</v>
      </c>
      <c r="B19">
        <f>ROUND(SUMIF(Merged_Data!$R$5:$R$1004,$A19,Merged_Data!$L$5:$L$1004),0)</f>
        <v>355876</v>
      </c>
      <c r="D19" s="5" t="s">
        <v>28</v>
      </c>
      <c r="E19" s="5">
        <f>ROUND(SUMIF(Merged_Data!$B$5:$B$1004,D19,Merged_Data!$L$5:$L$1004),0)</f>
        <v>465720</v>
      </c>
      <c r="F19" s="5">
        <f>IFERROR(INDEX(Targets!$B$2:$B$9,MATCH(D19,Targets!$A$2:$A$9,0)),0)</f>
        <v>2070000</v>
      </c>
      <c r="G19" s="5">
        <f t="shared" si="0"/>
        <v>22.5</v>
      </c>
      <c r="V19" s="5" t="s">
        <v>93</v>
      </c>
      <c r="W19" s="5">
        <f>ROUND(SUMIF(Merged_Data!$C$5:$C$1004,V19,Merged_Data!$L$5:$L$1004),0)</f>
        <v>90585</v>
      </c>
    </row>
    <row r="20" spans="1:23" ht="15" customHeight="1" x14ac:dyDescent="0.3">
      <c r="A20" s="5" t="s">
        <v>571</v>
      </c>
      <c r="B20">
        <f>ROUND(SUMIF(Merged_Data!$R$5:$R$1004,$A20,Merged_Data!$L$5:$L$1004),0)</f>
        <v>305458</v>
      </c>
      <c r="D20" s="5" t="s">
        <v>11</v>
      </c>
      <c r="E20" s="5">
        <f>ROUND(SUMIF(Merged_Data!$B$5:$B$1004,D20,Merged_Data!$L$5:$L$1004),0)</f>
        <v>398836</v>
      </c>
      <c r="F20" s="5">
        <f>IFERROR(INDEX(Targets!$B$2:$B$9,MATCH(D20,Targets!$A$2:$A$9,0)),0)</f>
        <v>1910000</v>
      </c>
      <c r="G20" s="5">
        <f t="shared" si="0"/>
        <v>20.9</v>
      </c>
      <c r="V20" s="5" t="s">
        <v>71</v>
      </c>
      <c r="W20" s="5">
        <f>ROUND(SUMIF(Merged_Data!$C$5:$C$1004,V20,Merged_Data!$L$5:$L$1004),0)</f>
        <v>88319</v>
      </c>
    </row>
    <row r="21" spans="1:23" ht="15" customHeight="1" x14ac:dyDescent="0.3">
      <c r="A21" s="5" t="s">
        <v>572</v>
      </c>
      <c r="B21">
        <f>ROUND(SUMIF(Merged_Data!$R$5:$R$1004,$A21,Merged_Data!$L$5:$L$1004),0)</f>
        <v>301412</v>
      </c>
      <c r="D21" s="5" t="s">
        <v>22</v>
      </c>
      <c r="E21" s="5">
        <f>ROUND(SUMIF(Merged_Data!$B$5:$B$1004,D21,Merged_Data!$L$5:$L$1004),0)</f>
        <v>540839</v>
      </c>
      <c r="F21" s="5">
        <f>IFERROR(INDEX(Targets!$B$2:$B$9,MATCH(D21,Targets!$A$2:$A$9,0)),0)</f>
        <v>1590000</v>
      </c>
      <c r="G21" s="5">
        <f t="shared" si="0"/>
        <v>34</v>
      </c>
      <c r="V21" s="5" t="s">
        <v>38</v>
      </c>
      <c r="W21" s="5">
        <f>ROUND(SUMIF(Merged_Data!$C$5:$C$1004,V21,Merged_Data!$L$5:$L$1004),0)</f>
        <v>62117</v>
      </c>
    </row>
    <row r="22" spans="1:23" ht="15" customHeight="1" x14ac:dyDescent="0.3">
      <c r="A22" s="5" t="s">
        <v>573</v>
      </c>
      <c r="B22">
        <f>ROUND(SUMIF(Merged_Data!$R$5:$R$1004,$A22,Merged_Data!$L$5:$L$1004),0)</f>
        <v>560707</v>
      </c>
      <c r="V22" s="5" t="s">
        <v>58</v>
      </c>
      <c r="W22" s="5">
        <f>ROUND(SUMIF(Merged_Data!$C$5:$C$1004,V22,Merged_Data!$L$5:$L$1004),0)</f>
        <v>152779</v>
      </c>
    </row>
    <row r="23" spans="1:23" ht="15" customHeight="1" x14ac:dyDescent="0.3">
      <c r="A23" s="5" t="s">
        <v>574</v>
      </c>
      <c r="B23">
        <f>ROUND(SUMIF(Merged_Data!$R$5:$R$1004,$A23,Merged_Data!$L$5:$L$1004),0)</f>
        <v>464124</v>
      </c>
      <c r="D23" s="17" t="s">
        <v>576</v>
      </c>
      <c r="E23" s="17"/>
      <c r="F23" s="17"/>
      <c r="G23" s="17"/>
      <c r="V23" s="5" t="s">
        <v>74</v>
      </c>
      <c r="W23" s="5">
        <f>ROUND(SUMIF(Merged_Data!$C$5:$C$1004,V23,Merged_Data!$L$5:$L$1004),0)</f>
        <v>30073</v>
      </c>
    </row>
    <row r="24" spans="1:23" ht="15" customHeight="1" x14ac:dyDescent="0.3">
      <c r="A24" s="5" t="s">
        <v>575</v>
      </c>
      <c r="B24">
        <f>ROUND(SUMIF(Merged_Data!$R$5:$R$1004,$A24,Merged_Data!$L$5:$L$1004),0)</f>
        <v>299523</v>
      </c>
      <c r="D24" s="9" t="s">
        <v>578</v>
      </c>
      <c r="E24" s="9" t="s">
        <v>526</v>
      </c>
      <c r="F24" s="9" t="s">
        <v>527</v>
      </c>
      <c r="G24" s="9" t="s">
        <v>535</v>
      </c>
      <c r="V24" s="5" t="s">
        <v>114</v>
      </c>
      <c r="W24" s="5">
        <f>ROUND(SUMIF(Merged_Data!$C$5:$C$1004,V24,Merged_Data!$L$5:$L$1004),0)</f>
        <v>81680</v>
      </c>
    </row>
    <row r="25" spans="1:23" ht="15" customHeight="1" x14ac:dyDescent="0.3">
      <c r="D25" s="5">
        <v>1</v>
      </c>
      <c r="E25" s="5" t="str">
        <f t="shared" ref="E25:E34" si="1">INDEX($V$17:$V$56,MATCH(G25,$W$17:$W$56,0))</f>
        <v>E023</v>
      </c>
      <c r="F25" s="5" t="str">
        <f>IFERROR(INDEX(Employee_Master!$B$2:$B$44,MATCH(E25,Employee_Master!$A$2:$A$44,0)),"")</f>
        <v>Edward Jones</v>
      </c>
      <c r="G25" s="5">
        <f t="shared" ref="G25:G34" si="2">LARGE($W$17:$W$56,D25)</f>
        <v>326295</v>
      </c>
      <c r="V25" s="5" t="s">
        <v>32</v>
      </c>
      <c r="W25" s="5">
        <f>ROUND(SUMIF(Merged_Data!$C$5:$C$1004,V25,Merged_Data!$L$5:$L$1004),0)</f>
        <v>41650</v>
      </c>
    </row>
    <row r="26" spans="1:23" ht="15" customHeight="1" x14ac:dyDescent="0.3">
      <c r="D26" s="5">
        <v>2</v>
      </c>
      <c r="E26" s="5" t="str">
        <f t="shared" si="1"/>
        <v>E031</v>
      </c>
      <c r="F26" s="5" t="str">
        <f>IFERROR(INDEX(Employee_Master!$B$2:$B$44,MATCH(E26,Employee_Master!$A$2:$A$44,0)),"")</f>
        <v>Jennifer Garcia</v>
      </c>
      <c r="G26" s="5">
        <f t="shared" si="2"/>
        <v>250077</v>
      </c>
      <c r="V26" s="5" t="s">
        <v>37</v>
      </c>
      <c r="W26" s="5">
        <f>ROUND(SUMIF(Merged_Data!$C$5:$C$1004,V26,Merged_Data!$L$5:$L$1004),0)</f>
        <v>53145</v>
      </c>
    </row>
    <row r="27" spans="1:23" ht="15" customHeight="1" x14ac:dyDescent="0.3">
      <c r="A27" s="18" t="s">
        <v>580</v>
      </c>
      <c r="B27" s="18"/>
      <c r="C27" s="18"/>
      <c r="D27" s="5">
        <v>3</v>
      </c>
      <c r="E27" s="5" t="str">
        <f t="shared" si="1"/>
        <v>E013</v>
      </c>
      <c r="F27" s="5" t="str">
        <f>IFERROR(INDEX(Employee_Master!$B$2:$B$44,MATCH(E27,Employee_Master!$A$2:$A$44,0)),"")</f>
        <v>Norma Wilson</v>
      </c>
      <c r="G27" s="5">
        <f t="shared" si="2"/>
        <v>215643</v>
      </c>
      <c r="V27" s="5" t="s">
        <v>63</v>
      </c>
      <c r="W27" s="5">
        <f>ROUND(SUMIF(Merged_Data!$C$5:$C$1004,V27,Merged_Data!$L$5:$L$1004),0)</f>
        <v>51679</v>
      </c>
    </row>
    <row r="28" spans="1:23" ht="15" customHeight="1" x14ac:dyDescent="0.3">
      <c r="A28" s="9" t="s">
        <v>532</v>
      </c>
      <c r="B28" s="9" t="s">
        <v>535</v>
      </c>
      <c r="D28" s="5">
        <v>4</v>
      </c>
      <c r="E28" s="5" t="str">
        <f t="shared" si="1"/>
        <v>E022</v>
      </c>
      <c r="F28" s="5" t="str">
        <f>IFERROR(INDEX(Employee_Master!$B$2:$B$44,MATCH(E28,Employee_Master!$A$2:$A$44,0)),"")</f>
        <v>Cindy Green PhD</v>
      </c>
      <c r="G28" s="5">
        <f t="shared" si="2"/>
        <v>207872</v>
      </c>
      <c r="V28" s="5" t="s">
        <v>83</v>
      </c>
      <c r="W28" s="5">
        <f>ROUND(SUMIF(Merged_Data!$C$5:$C$1004,V28,Merged_Data!$L$5:$L$1004),0)</f>
        <v>47744</v>
      </c>
    </row>
    <row r="29" spans="1:23" ht="15" customHeight="1" x14ac:dyDescent="0.3">
      <c r="A29" s="5" t="s">
        <v>516</v>
      </c>
      <c r="B29" s="5">
        <f>ROUND(SUMIF(Merged_Data!$I$5:$I$1004,A29,Merged_Data!$L$5:$L$1004),0)</f>
        <v>749719</v>
      </c>
      <c r="D29" s="5">
        <v>5</v>
      </c>
      <c r="E29" s="5" t="str">
        <f t="shared" si="1"/>
        <v>E019</v>
      </c>
      <c r="F29" s="5" t="str">
        <f>IFERROR(INDEX(Employee_Master!$B$2:$B$44,MATCH(E29,Employee_Master!$A$2:$A$44,0)),"")</f>
        <v>Regina Torres</v>
      </c>
      <c r="G29" s="5">
        <f t="shared" si="2"/>
        <v>202736</v>
      </c>
      <c r="V29" s="5" t="s">
        <v>66</v>
      </c>
      <c r="W29" s="5">
        <f>ROUND(SUMIF(Merged_Data!$C$5:$C$1004,V29,Merged_Data!$L$5:$L$1004),0)</f>
        <v>215643</v>
      </c>
    </row>
    <row r="30" spans="1:23" ht="15" customHeight="1" x14ac:dyDescent="0.3">
      <c r="A30" s="5" t="s">
        <v>517</v>
      </c>
      <c r="B30" s="5">
        <f>ROUND(SUMIF(Merged_Data!$I$5:$I$1004,A30,Merged_Data!$L$5:$L$1004),0)</f>
        <v>531168</v>
      </c>
      <c r="D30" s="5">
        <v>6</v>
      </c>
      <c r="E30" s="5" t="str">
        <f t="shared" si="1"/>
        <v>E015</v>
      </c>
      <c r="F30" s="5" t="str">
        <f>IFERROR(INDEX(Employee_Master!$B$2:$B$44,MATCH(E30,Employee_Master!$A$2:$A$44,0)),"")</f>
        <v>Cassandra Hansen</v>
      </c>
      <c r="G30" s="5">
        <f t="shared" si="2"/>
        <v>199959</v>
      </c>
      <c r="V30" s="5" t="s">
        <v>85</v>
      </c>
      <c r="W30" s="5">
        <f>ROUND(SUMIF(Merged_Data!$C$5:$C$1004,V30,Merged_Data!$L$5:$L$1004),0)</f>
        <v>56379</v>
      </c>
    </row>
    <row r="31" spans="1:23" ht="15" customHeight="1" x14ac:dyDescent="0.3">
      <c r="A31" s="5" t="s">
        <v>518</v>
      </c>
      <c r="B31" s="5">
        <f>ROUND(SUMIF(Merged_Data!$I$5:$I$1004,A31,Merged_Data!$L$5:$L$1004),0)</f>
        <v>545766</v>
      </c>
      <c r="D31" s="5">
        <v>7</v>
      </c>
      <c r="E31" s="5" t="str">
        <f t="shared" si="1"/>
        <v>E032</v>
      </c>
      <c r="F31" s="5" t="str">
        <f>IFERROR(INDEX(Employee_Master!$B$2:$B$44,MATCH(E31,Employee_Master!$A$2:$A$44,0)),"")</f>
        <v>Victor Allen</v>
      </c>
      <c r="G31" s="5">
        <f t="shared" si="2"/>
        <v>175384</v>
      </c>
      <c r="V31" s="5" t="s">
        <v>68</v>
      </c>
      <c r="W31" s="5">
        <f>ROUND(SUMIF(Merged_Data!$C$5:$C$1004,V31,Merged_Data!$L$5:$L$1004),0)</f>
        <v>199959</v>
      </c>
    </row>
    <row r="32" spans="1:23" ht="15" customHeight="1" x14ac:dyDescent="0.3">
      <c r="A32" s="5" t="s">
        <v>519</v>
      </c>
      <c r="B32" s="5">
        <f>ROUND(SUMIF(Merged_Data!$I$5:$I$1004,A32,Merged_Data!$L$5:$L$1004),0)</f>
        <v>1016855</v>
      </c>
      <c r="D32" s="5">
        <v>8</v>
      </c>
      <c r="E32" s="5" t="str">
        <f t="shared" si="1"/>
        <v>E006</v>
      </c>
      <c r="F32" s="5" t="str">
        <f>IFERROR(INDEX(Employee_Master!$B$2:$B$44,MATCH(E32,Employee_Master!$A$2:$A$44,0)),"")</f>
        <v>Dylan Jones</v>
      </c>
      <c r="G32" s="5">
        <f t="shared" si="2"/>
        <v>152779</v>
      </c>
      <c r="V32" s="5" t="s">
        <v>41</v>
      </c>
      <c r="W32" s="5">
        <f>ROUND(SUMIF(Merged_Data!$C$5:$C$1004,V32,Merged_Data!$L$5:$L$1004),0)</f>
        <v>45649</v>
      </c>
    </row>
    <row r="33" spans="1:23" ht="15" customHeight="1" x14ac:dyDescent="0.3">
      <c r="A33" s="5" t="s">
        <v>520</v>
      </c>
      <c r="B33" s="5">
        <f>ROUND(SUMIF(Merged_Data!$I$5:$I$1004,A33,Merged_Data!$L$5:$L$1004),0)</f>
        <v>901809</v>
      </c>
      <c r="D33" s="5">
        <v>9</v>
      </c>
      <c r="E33" s="5" t="str">
        <f t="shared" si="1"/>
        <v>E034</v>
      </c>
      <c r="F33" s="5" t="str">
        <f>IFERROR(INDEX(Employee_Master!$B$2:$B$44,MATCH(E33,Employee_Master!$A$2:$A$44,0)),"")</f>
        <v>Elaine Thompson</v>
      </c>
      <c r="G33" s="5">
        <f t="shared" si="2"/>
        <v>147201</v>
      </c>
      <c r="V33" s="5" t="s">
        <v>25</v>
      </c>
      <c r="W33" s="5">
        <f>ROUND(SUMIF(Merged_Data!$C$5:$C$1004,V33,Merged_Data!$L$5:$L$1004),0)</f>
        <v>55909</v>
      </c>
    </row>
    <row r="34" spans="1:23" ht="15" customHeight="1" x14ac:dyDescent="0.3">
      <c r="A34" s="5" t="s">
        <v>521</v>
      </c>
      <c r="B34" s="5">
        <f>ROUND(SUMIF(Merged_Data!$I$5:$I$1004,A34,Merged_Data!$L$5:$L$1004),0)</f>
        <v>483826</v>
      </c>
      <c r="D34" s="5">
        <v>10</v>
      </c>
      <c r="E34" s="5" t="str">
        <f t="shared" si="1"/>
        <v>E035</v>
      </c>
      <c r="F34" s="5" t="str">
        <f>IFERROR(INDEX(Employee_Master!$B$2:$B$44,MATCH(E34,Employee_Master!$A$2:$A$44,0)),"")</f>
        <v>Andrea Perez</v>
      </c>
      <c r="G34" s="5">
        <f t="shared" si="2"/>
        <v>131527</v>
      </c>
      <c r="V34" s="5" t="s">
        <v>12</v>
      </c>
      <c r="W34" s="5">
        <f>ROUND(SUMIF(Merged_Data!$C$5:$C$1004,V34,Merged_Data!$L$5:$L$1004),0)</f>
        <v>120771</v>
      </c>
    </row>
    <row r="35" spans="1:23" ht="15" customHeight="1" x14ac:dyDescent="0.3">
      <c r="V35" s="5" t="s">
        <v>18</v>
      </c>
      <c r="W35" s="5">
        <f>ROUND(SUMIF(Merged_Data!$C$5:$C$1004,V35,Merged_Data!$L$5:$L$1004),0)</f>
        <v>202736</v>
      </c>
    </row>
    <row r="36" spans="1:23" ht="15" customHeight="1" x14ac:dyDescent="0.3">
      <c r="V36" s="5" t="s">
        <v>62</v>
      </c>
      <c r="W36" s="5">
        <f>ROUND(SUMIF(Merged_Data!$C$5:$C$1004,V36,Merged_Data!$L$5:$L$1004),0)</f>
        <v>108175</v>
      </c>
    </row>
    <row r="37" spans="1:23" ht="15" customHeight="1" x14ac:dyDescent="0.3">
      <c r="A37" s="17" t="s">
        <v>579</v>
      </c>
      <c r="B37" s="17"/>
      <c r="D37" s="17" t="s">
        <v>577</v>
      </c>
      <c r="E37" s="17"/>
      <c r="V37" s="5" t="s">
        <v>9</v>
      </c>
      <c r="W37" s="5">
        <f>ROUND(SUMIF(Merged_Data!$C$5:$C$1004,V37,Merged_Data!$L$5:$L$1004),0)</f>
        <v>72494</v>
      </c>
    </row>
    <row r="38" spans="1:23" ht="15" customHeight="1" x14ac:dyDescent="0.3">
      <c r="A38" s="9" t="s">
        <v>530</v>
      </c>
      <c r="B38" s="9" t="s">
        <v>535</v>
      </c>
      <c r="D38" s="9" t="s">
        <v>528</v>
      </c>
      <c r="E38" s="9" t="s">
        <v>535</v>
      </c>
      <c r="V38" s="5" t="s">
        <v>75</v>
      </c>
      <c r="W38" s="5">
        <f>ROUND(SUMIF(Merged_Data!$C$5:$C$1004,V38,Merged_Data!$L$5:$L$1004),0)</f>
        <v>207872</v>
      </c>
    </row>
    <row r="39" spans="1:23" ht="15" customHeight="1" x14ac:dyDescent="0.3">
      <c r="A39" s="5" t="s">
        <v>470</v>
      </c>
      <c r="B39" s="5">
        <f ca="1">ROUND(SUMIF(Merged_Data!$G$5:$G$1004,$B39,Merged_Data!$L$5:$L$1004),0)</f>
        <v>398836</v>
      </c>
      <c r="D39" s="5" t="s">
        <v>439</v>
      </c>
      <c r="E39" s="5">
        <f>ROUND(SUMIF(Merged_Data!$E$5:$E$1004,D39,Merged_Data!$L$5:$L$1004),0)</f>
        <v>1282857</v>
      </c>
      <c r="V39" s="5" t="s">
        <v>35</v>
      </c>
      <c r="W39" s="5">
        <f>ROUND(SUMIF(Merged_Data!$C$5:$C$1004,V39,Merged_Data!$L$5:$L$1004),0)</f>
        <v>326295</v>
      </c>
    </row>
    <row r="40" spans="1:23" ht="15" customHeight="1" x14ac:dyDescent="0.3">
      <c r="A40" s="5" t="s">
        <v>462</v>
      </c>
      <c r="B40" s="5">
        <f ca="1">ROUND(SUMIF(Merged_Data!$G$5:$G$1004,$B40,Merged_Data!$L$5:$L$1004),0)</f>
        <v>465720</v>
      </c>
      <c r="D40" s="5" t="s">
        <v>443</v>
      </c>
      <c r="E40" s="5">
        <f>ROUND(SUMIF(Merged_Data!$E$5:$E$1004,D40,Merged_Data!$L$5:$L$1004),0)</f>
        <v>671666</v>
      </c>
      <c r="V40" s="5" t="s">
        <v>15</v>
      </c>
      <c r="W40" s="5">
        <f>ROUND(SUMIF(Merged_Data!$C$5:$C$1004,V40,Merged_Data!$L$5:$L$1004),0)</f>
        <v>101878</v>
      </c>
    </row>
    <row r="41" spans="1:23" ht="15" customHeight="1" x14ac:dyDescent="0.3">
      <c r="A41" s="5" t="s">
        <v>446</v>
      </c>
      <c r="B41" s="5">
        <f ca="1">ROUND(SUMIF(Merged_Data!$G$5:$G$1004,$B41,Merged_Data!$L$5:$L$1004),0)</f>
        <v>1605738</v>
      </c>
      <c r="D41" s="5" t="s">
        <v>450</v>
      </c>
      <c r="E41" s="5">
        <f>ROUND(SUMIF(Merged_Data!$E$5:$E$1004,D41,Merged_Data!$L$5:$L$1004),0)</f>
        <v>995658</v>
      </c>
      <c r="V41" s="5" t="s">
        <v>107</v>
      </c>
      <c r="W41" s="5">
        <f>ROUND(SUMIF(Merged_Data!$C$5:$C$1004,V41,Merged_Data!$L$5:$L$1004),0)</f>
        <v>49632</v>
      </c>
    </row>
    <row r="42" spans="1:23" ht="15" customHeight="1" x14ac:dyDescent="0.3">
      <c r="A42" s="5" t="s">
        <v>441</v>
      </c>
      <c r="B42" s="5">
        <f ca="1">ROUND(SUMIF(Merged_Data!$G$5:$G$1004,$B42,Merged_Data!$L$5:$L$1004),0)</f>
        <v>1769972</v>
      </c>
      <c r="D42" s="5" t="s">
        <v>448</v>
      </c>
      <c r="E42" s="5">
        <f>ROUND(SUMIF(Merged_Data!$E$5:$E$1004,D42,Merged_Data!$L$5:$L$1004),0)</f>
        <v>1290085</v>
      </c>
      <c r="V42" s="5" t="s">
        <v>43</v>
      </c>
      <c r="W42" s="5">
        <f>ROUND(SUMIF(Merged_Data!$C$5:$C$1004,V42,Merged_Data!$L$5:$L$1004),0)</f>
        <v>79254</v>
      </c>
    </row>
    <row r="43" spans="1:23" ht="15" customHeight="1" x14ac:dyDescent="0.3">
      <c r="V43" s="5" t="s">
        <v>102</v>
      </c>
      <c r="W43" s="5">
        <f>ROUND(SUMIF(Merged_Data!$C$5:$C$1004,V43,Merged_Data!$L$5:$L$1004),0)</f>
        <v>76265</v>
      </c>
    </row>
    <row r="44" spans="1:23" ht="15" customHeight="1" x14ac:dyDescent="0.3">
      <c r="G44" s="17" t="s">
        <v>581</v>
      </c>
      <c r="H44" s="17"/>
      <c r="V44" s="5" t="s">
        <v>60</v>
      </c>
      <c r="W44" s="5">
        <f>ROUND(SUMIF(Merged_Data!$C$5:$C$1004,V44,Merged_Data!$L$5:$L$1004),0)</f>
        <v>61077</v>
      </c>
    </row>
    <row r="45" spans="1:23" ht="15" customHeight="1" x14ac:dyDescent="0.3">
      <c r="G45" s="9" t="s">
        <v>541</v>
      </c>
      <c r="H45" s="9" t="s">
        <v>582</v>
      </c>
      <c r="V45" s="5" t="s">
        <v>76</v>
      </c>
      <c r="W45" s="5">
        <f>ROUND(SUMIF(Merged_Data!$C$5:$C$1004,V45,Merged_Data!$L$5:$L$1004),0)</f>
        <v>115111</v>
      </c>
    </row>
    <row r="46" spans="1:23" ht="15" customHeight="1" x14ac:dyDescent="0.3">
      <c r="G46" s="5" t="s">
        <v>564</v>
      </c>
      <c r="H46" t="s">
        <v>627</v>
      </c>
      <c r="V46" s="5" t="s">
        <v>47</v>
      </c>
      <c r="W46" s="5">
        <f>ROUND(SUMIF(Merged_Data!$C$5:$C$1004,V46,Merged_Data!$L$5:$L$1004),0)</f>
        <v>65042</v>
      </c>
    </row>
    <row r="47" spans="1:23" ht="15" customHeight="1" x14ac:dyDescent="0.3">
      <c r="G47" s="5" t="s">
        <v>565</v>
      </c>
      <c r="H47" s="19">
        <f>(B14-B13)/B13</f>
        <v>-0.14360712099382261</v>
      </c>
      <c r="V47" s="5" t="s">
        <v>29</v>
      </c>
      <c r="W47" s="5">
        <f>ROUND(SUMIF(Merged_Data!$C$5:$C$1004,V47,Merged_Data!$L$5:$L$1004),0)</f>
        <v>250077</v>
      </c>
    </row>
    <row r="48" spans="1:23" ht="15" customHeight="1" x14ac:dyDescent="0.3">
      <c r="G48" s="5" t="s">
        <v>566</v>
      </c>
      <c r="H48" s="19">
        <f t="shared" ref="H48:H57" si="3">(B15-B14)/B14</f>
        <v>9.6700241885988664E-2</v>
      </c>
      <c r="V48" s="5" t="s">
        <v>19</v>
      </c>
      <c r="W48" s="5">
        <f>ROUND(SUMIF(Merged_Data!$C$5:$C$1004,V48,Merged_Data!$L$5:$L$1004),0)</f>
        <v>175384</v>
      </c>
    </row>
    <row r="49" spans="7:23" ht="15" customHeight="1" x14ac:dyDescent="0.3">
      <c r="G49" s="5" t="s">
        <v>567</v>
      </c>
      <c r="H49" s="19">
        <f t="shared" si="3"/>
        <v>0.26777384577401037</v>
      </c>
      <c r="V49" s="5" t="s">
        <v>126</v>
      </c>
      <c r="W49" s="5">
        <f>ROUND(SUMIF(Merged_Data!$C$5:$C$1004,V49,Merged_Data!$L$5:$L$1004),0)</f>
        <v>64059</v>
      </c>
    </row>
    <row r="50" spans="7:23" ht="15" customHeight="1" x14ac:dyDescent="0.3">
      <c r="G50" s="5" t="s">
        <v>568</v>
      </c>
      <c r="H50" s="19">
        <f t="shared" si="3"/>
        <v>1.3582849931709242E-2</v>
      </c>
      <c r="V50" s="5" t="s">
        <v>79</v>
      </c>
      <c r="W50" s="5">
        <f>ROUND(SUMIF(Merged_Data!$C$5:$C$1004,V50,Merged_Data!$L$5:$L$1004),0)</f>
        <v>147201</v>
      </c>
    </row>
    <row r="51" spans="7:23" ht="15" customHeight="1" x14ac:dyDescent="0.3">
      <c r="G51" s="5" t="s">
        <v>569</v>
      </c>
      <c r="H51" s="19">
        <f t="shared" si="3"/>
        <v>-0.29935519240474551</v>
      </c>
      <c r="V51" s="5" t="s">
        <v>111</v>
      </c>
      <c r="W51" s="5">
        <f>ROUND(SUMIF(Merged_Data!$C$5:$C$1004,V51,Merged_Data!$L$5:$L$1004),0)</f>
        <v>131527</v>
      </c>
    </row>
    <row r="52" spans="7:23" ht="15" customHeight="1" x14ac:dyDescent="0.3">
      <c r="G52" s="5" t="s">
        <v>570</v>
      </c>
      <c r="H52" s="19">
        <f t="shared" si="3"/>
        <v>0.30121098663234563</v>
      </c>
      <c r="V52" s="5" t="s">
        <v>90</v>
      </c>
      <c r="W52" s="5">
        <f>ROUND(SUMIF(Merged_Data!$C$5:$C$1004,V52,Merged_Data!$L$5:$L$1004),0)</f>
        <v>67053</v>
      </c>
    </row>
    <row r="53" spans="7:23" ht="15" customHeight="1" x14ac:dyDescent="0.3">
      <c r="G53" s="5" t="s">
        <v>571</v>
      </c>
      <c r="H53" s="19">
        <f t="shared" si="3"/>
        <v>-0.14167294226078747</v>
      </c>
      <c r="V53" s="5" t="s">
        <v>100</v>
      </c>
      <c r="W53" s="5">
        <f>ROUND(SUMIF(Merged_Data!$C$5:$C$1004,V53,Merged_Data!$L$5:$L$1004),0)</f>
        <v>75656</v>
      </c>
    </row>
    <row r="54" spans="7:23" ht="15" customHeight="1" x14ac:dyDescent="0.3">
      <c r="G54" s="5" t="s">
        <v>572</v>
      </c>
      <c r="H54" s="19">
        <f t="shared" si="3"/>
        <v>-1.3245683530960067E-2</v>
      </c>
      <c r="V54" s="5" t="s">
        <v>54</v>
      </c>
      <c r="W54" s="5">
        <f>ROUND(SUMIF(Merged_Data!$C$5:$C$1004,V54,Merged_Data!$L$5:$L$1004),0)</f>
        <v>80525</v>
      </c>
    </row>
    <row r="55" spans="7:23" ht="15" customHeight="1" x14ac:dyDescent="0.3">
      <c r="G55" s="5" t="s">
        <v>573</v>
      </c>
      <c r="H55" s="19">
        <f t="shared" si="3"/>
        <v>0.86026767348347111</v>
      </c>
      <c r="V55" s="5" t="s">
        <v>23</v>
      </c>
      <c r="W55" s="5">
        <f>ROUND(SUMIF(Merged_Data!$C$5:$C$1004,V55,Merged_Data!$L$5:$L$1004),0)</f>
        <v>98236</v>
      </c>
    </row>
    <row r="56" spans="7:23" ht="15" customHeight="1" x14ac:dyDescent="0.3">
      <c r="G56" s="5" t="s">
        <v>574</v>
      </c>
      <c r="H56" s="19">
        <f t="shared" si="3"/>
        <v>-0.1722521744868532</v>
      </c>
      <c r="V56" s="5" t="s">
        <v>94</v>
      </c>
      <c r="W56" s="5">
        <f>ROUND(SUMIF(Merged_Data!$C$5:$C$1004,V56,Merged_Data!$L$5:$L$1004),0)</f>
        <v>123395</v>
      </c>
    </row>
    <row r="57" spans="7:23" ht="15" customHeight="1" x14ac:dyDescent="0.3">
      <c r="G57" s="5" t="s">
        <v>575</v>
      </c>
      <c r="H57" s="19">
        <f t="shared" si="3"/>
        <v>-0.35464875765959097</v>
      </c>
    </row>
    <row r="58" spans="7:23" ht="15" customHeight="1" x14ac:dyDescent="0.3"/>
    <row r="59" spans="7:23" ht="15" customHeight="1" x14ac:dyDescent="0.3"/>
    <row r="60" spans="7:2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</sheetData>
  <mergeCells count="24">
    <mergeCell ref="G44:H44"/>
    <mergeCell ref="D23:G23"/>
    <mergeCell ref="A27:C27"/>
    <mergeCell ref="A37:B37"/>
    <mergeCell ref="D37:E37"/>
    <mergeCell ref="A11:B11"/>
    <mergeCell ref="D12:G12"/>
    <mergeCell ref="A3:B3"/>
    <mergeCell ref="A4:B5"/>
    <mergeCell ref="A7:B7"/>
    <mergeCell ref="A8:B9"/>
    <mergeCell ref="C7:D7"/>
    <mergeCell ref="C8:D9"/>
    <mergeCell ref="E7:F7"/>
    <mergeCell ref="E8:F9"/>
    <mergeCell ref="G7:H7"/>
    <mergeCell ref="G8:H9"/>
    <mergeCell ref="C1:F1"/>
    <mergeCell ref="C3:D3"/>
    <mergeCell ref="E3:F3"/>
    <mergeCell ref="G3:H3"/>
    <mergeCell ref="C4:D5"/>
    <mergeCell ref="E4:F5"/>
    <mergeCell ref="G4:H5"/>
  </mergeCells>
  <conditionalFormatting sqref="G14:G21">
    <cfRule type="colorScale" priority="1">
      <colorScale>
        <cfvo type="min"/>
        <cfvo type="num" val="100"/>
        <cfvo type="max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9" r:id="rId3" name="Button 155">
              <controlPr defaultSize="0" print="0" autoFill="0" autoPict="0" macro="[0]!RefreshDashboard">
                <anchor moveWithCells="1" sizeWithCells="1">
                  <from>
                    <xdr:col>6</xdr:col>
                    <xdr:colOff>1021080</xdr:colOff>
                    <xdr:row>0</xdr:row>
                    <xdr:rowOff>22860</xdr:rowOff>
                  </from>
                  <to>
                    <xdr:col>8</xdr:col>
                    <xdr:colOff>22860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C14"/>
  <sheetViews>
    <sheetView showGridLines="0" zoomScaleNormal="100" workbookViewId="0"/>
  </sheetViews>
  <sheetFormatPr defaultColWidth="8.6640625" defaultRowHeight="14.4" x14ac:dyDescent="0.3"/>
  <cols>
    <col min="2" max="3" width="30" customWidth="1"/>
  </cols>
  <sheetData>
    <row r="2" spans="2:3" ht="15.75" customHeight="1" x14ac:dyDescent="0.3">
      <c r="B2" s="6" t="s">
        <v>583</v>
      </c>
    </row>
    <row r="3" spans="2:3" ht="15" customHeight="1" x14ac:dyDescent="0.3">
      <c r="B3" s="7" t="s">
        <v>584</v>
      </c>
    </row>
    <row r="5" spans="2:3" ht="15" customHeight="1" x14ac:dyDescent="0.3">
      <c r="B5" s="3" t="s">
        <v>585</v>
      </c>
      <c r="C5" s="10" t="s">
        <v>586</v>
      </c>
    </row>
    <row r="6" spans="2:3" ht="15" customHeight="1" x14ac:dyDescent="0.3">
      <c r="B6" s="3" t="s">
        <v>587</v>
      </c>
      <c r="C6" s="10" t="s">
        <v>586</v>
      </c>
    </row>
    <row r="7" spans="2:3" ht="15" customHeight="1" x14ac:dyDescent="0.3">
      <c r="B7" s="3" t="s">
        <v>588</v>
      </c>
      <c r="C7" s="10" t="s">
        <v>586</v>
      </c>
    </row>
    <row r="8" spans="2:3" ht="15" customHeight="1" x14ac:dyDescent="0.3">
      <c r="B8" s="3" t="s">
        <v>589</v>
      </c>
      <c r="C8" s="10" t="s">
        <v>586</v>
      </c>
    </row>
    <row r="11" spans="2:3" ht="15" customHeight="1" x14ac:dyDescent="0.3">
      <c r="B11" s="3" t="s">
        <v>590</v>
      </c>
    </row>
    <row r="12" spans="2:3" ht="15" customHeight="1" x14ac:dyDescent="0.3">
      <c r="B12" s="5" t="s">
        <v>591</v>
      </c>
      <c r="C12" s="11">
        <f>ROUND(SUMPRODUCT((Merged_Data!$B$5:$B$1004=IF($C$5="(All)",Merged_Data!$B$5:$B$1004,$C$5))*(Merged_Data!$E$5:$E$1004=IF($C$6="(All)",Merged_Data!$E$5:$E$1004,$C$6))*(Merged_Data!$R$5:$R$1004=IF($C$7="(All)",Merged_Data!$R$5:$R$1004,$C$7))*(Merged_Data!$G$5:$G$1004=IF($C$8="(All)",Merged_Data!$G$5:$G$1004,$C$8)),Merged_Data!$L$5:$L$1004),0)</f>
        <v>4240266</v>
      </c>
    </row>
    <row r="13" spans="2:3" ht="15" customHeight="1" x14ac:dyDescent="0.3">
      <c r="B13" s="5" t="s">
        <v>592</v>
      </c>
      <c r="C13" s="11">
        <f>SUMPRODUCT((Merged_Data!$B$5:$B$1004=IF($C$5="(All)",Merged_Data!$B$5:$B$1004,$C$5))*(Merged_Data!$E$5:$E$1004=IF($C$6="(All)",Merged_Data!$E$5:$E$1004,$C$6))*(Merged_Data!$R$5:$R$1004=IF($C$7="(All)",Merged_Data!$R$5:$R$1004,$C$7))*(Merged_Data!$G$5:$G$1004=IF($C$8="(All)",Merged_Data!$G$5:$G$1004,$C$8))*1)</f>
        <v>1000</v>
      </c>
    </row>
    <row r="14" spans="2:3" ht="15" customHeight="1" x14ac:dyDescent="0.3">
      <c r="B14" s="5" t="s">
        <v>593</v>
      </c>
      <c r="C14" s="11">
        <f>IFERROR(ROUND(C12/C13,0),0)</f>
        <v>4240</v>
      </c>
    </row>
  </sheetData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900-000000000000}">
          <x14:formula1>
            <xm:f>FilterLists!$A$1:$A$9</xm:f>
          </x14:formula1>
          <x14:formula2>
            <xm:f>0</xm:f>
          </x14:formula2>
          <xm:sqref>C5</xm:sqref>
        </x14:dataValidation>
        <x14:dataValidation type="list" xr:uid="{00000000-0002-0000-0900-000001000000}">
          <x14:formula1>
            <xm:f>FilterLists!$B$1:$B$5</xm:f>
          </x14:formula1>
          <x14:formula2>
            <xm:f>0</xm:f>
          </x14:formula2>
          <xm:sqref>C6</xm:sqref>
        </x14:dataValidation>
        <x14:dataValidation type="list" xr:uid="{00000000-0002-0000-0900-000002000000}">
          <x14:formula1>
            <xm:f>FilterLists!$C$1:$C$13</xm:f>
          </x14:formula1>
          <x14:formula2>
            <xm:f>0</xm:f>
          </x14:formula2>
          <xm:sqref>C7</xm:sqref>
        </x14:dataValidation>
        <x14:dataValidation type="list" xr:uid="{00000000-0002-0000-0900-000003000000}">
          <x14:formula1>
            <xm:f>FilterLists!$D$1:$D$5</xm:f>
          </x14:formula1>
          <x14:formula2>
            <xm:f>0</xm:f>
          </x14:formula2>
          <xm:sqref>C8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B42"/>
  <sheetViews>
    <sheetView showGridLines="0" topLeftCell="A23" zoomScaleNormal="100" workbookViewId="0">
      <selection activeCell="F39" sqref="F39"/>
    </sheetView>
  </sheetViews>
  <sheetFormatPr defaultColWidth="8.6640625" defaultRowHeight="14.4" x14ac:dyDescent="0.3"/>
  <cols>
    <col min="2" max="2" width="100" customWidth="1"/>
  </cols>
  <sheetData>
    <row r="2" spans="2:2" ht="15.75" customHeight="1" x14ac:dyDescent="0.3">
      <c r="B2" s="6" t="s">
        <v>594</v>
      </c>
    </row>
    <row r="3" spans="2:2" ht="15" customHeight="1" x14ac:dyDescent="0.3">
      <c r="B3" s="7" t="s">
        <v>595</v>
      </c>
    </row>
    <row r="5" spans="2:2" ht="15" customHeight="1" x14ac:dyDescent="0.3">
      <c r="B5" s="2"/>
    </row>
    <row r="6" spans="2:2" ht="15" customHeight="1" x14ac:dyDescent="0.3">
      <c r="B6" s="3" t="s">
        <v>596</v>
      </c>
    </row>
    <row r="7" spans="2:2" ht="15" customHeight="1" x14ac:dyDescent="0.3">
      <c r="B7" s="2" t="s">
        <v>597</v>
      </c>
    </row>
    <row r="8" spans="2:2" ht="15" customHeight="1" x14ac:dyDescent="0.3">
      <c r="B8" s="2" t="s">
        <v>598</v>
      </c>
    </row>
    <row r="9" spans="2:2" ht="15" customHeight="1" x14ac:dyDescent="0.3">
      <c r="B9" s="2" t="s">
        <v>599</v>
      </c>
    </row>
    <row r="10" spans="2:2" ht="15" customHeight="1" x14ac:dyDescent="0.3">
      <c r="B10" s="2" t="s">
        <v>600</v>
      </c>
    </row>
    <row r="11" spans="2:2" ht="15" customHeight="1" x14ac:dyDescent="0.3">
      <c r="B11" s="2" t="s">
        <v>601</v>
      </c>
    </row>
    <row r="12" spans="2:2" ht="15" customHeight="1" x14ac:dyDescent="0.3">
      <c r="B12" s="2"/>
    </row>
    <row r="13" spans="2:2" ht="15" customHeight="1" x14ac:dyDescent="0.3">
      <c r="B13" s="2" t="s">
        <v>602</v>
      </c>
    </row>
    <row r="14" spans="2:2" ht="15" customHeight="1" x14ac:dyDescent="0.3">
      <c r="B14" s="2" t="s">
        <v>603</v>
      </c>
    </row>
    <row r="15" spans="2:2" ht="15" customHeight="1" x14ac:dyDescent="0.3">
      <c r="B15" s="2" t="s">
        <v>604</v>
      </c>
    </row>
    <row r="16" spans="2:2" ht="15" customHeight="1" x14ac:dyDescent="0.3">
      <c r="B16" s="2" t="s">
        <v>605</v>
      </c>
    </row>
    <row r="17" spans="2:2" ht="15" customHeight="1" x14ac:dyDescent="0.3">
      <c r="B17" s="2" t="s">
        <v>606</v>
      </c>
    </row>
    <row r="18" spans="2:2" ht="15" customHeight="1" x14ac:dyDescent="0.3">
      <c r="B18" s="2" t="s">
        <v>607</v>
      </c>
    </row>
    <row r="19" spans="2:2" ht="15" customHeight="1" x14ac:dyDescent="0.3">
      <c r="B19" s="2" t="s">
        <v>608</v>
      </c>
    </row>
    <row r="20" spans="2:2" ht="15" customHeight="1" x14ac:dyDescent="0.3">
      <c r="B20" s="2" t="s">
        <v>609</v>
      </c>
    </row>
    <row r="21" spans="2:2" ht="15" customHeight="1" x14ac:dyDescent="0.3">
      <c r="B21" s="2" t="s">
        <v>610</v>
      </c>
    </row>
    <row r="22" spans="2:2" ht="15" customHeight="1" x14ac:dyDescent="0.3">
      <c r="B22" s="2"/>
    </row>
    <row r="23" spans="2:2" ht="15" customHeight="1" x14ac:dyDescent="0.3">
      <c r="B23" s="2" t="s">
        <v>611</v>
      </c>
    </row>
    <row r="25" spans="2:2" ht="15" customHeight="1" x14ac:dyDescent="0.3">
      <c r="B25" s="12" t="s">
        <v>612</v>
      </c>
    </row>
    <row r="26" spans="2:2" ht="15" customHeight="1" x14ac:dyDescent="0.3">
      <c r="B26" s="12" t="s">
        <v>613</v>
      </c>
    </row>
    <row r="27" spans="2:2" ht="15" customHeight="1" x14ac:dyDescent="0.3">
      <c r="B27" s="12" t="s">
        <v>614</v>
      </c>
    </row>
    <row r="28" spans="2:2" ht="15" customHeight="1" x14ac:dyDescent="0.3">
      <c r="B28" s="12"/>
    </row>
    <row r="29" spans="2:2" ht="15" customHeight="1" x14ac:dyDescent="0.3">
      <c r="B29" s="12" t="s">
        <v>615</v>
      </c>
    </row>
    <row r="30" spans="2:2" ht="15" customHeight="1" x14ac:dyDescent="0.3">
      <c r="B30" s="12" t="s">
        <v>616</v>
      </c>
    </row>
    <row r="31" spans="2:2" ht="15" customHeight="1" x14ac:dyDescent="0.3">
      <c r="B31" s="12" t="s">
        <v>617</v>
      </c>
    </row>
    <row r="32" spans="2:2" ht="15" customHeight="1" x14ac:dyDescent="0.3">
      <c r="B32" s="12"/>
    </row>
    <row r="33" spans="2:2" ht="15" customHeight="1" x14ac:dyDescent="0.3">
      <c r="B33" s="12" t="s">
        <v>618</v>
      </c>
    </row>
    <row r="34" spans="2:2" ht="15" customHeight="1" x14ac:dyDescent="0.3">
      <c r="B34" s="12" t="s">
        <v>619</v>
      </c>
    </row>
    <row r="35" spans="2:2" ht="15" customHeight="1" x14ac:dyDescent="0.3">
      <c r="B35" s="12" t="s">
        <v>620</v>
      </c>
    </row>
    <row r="36" spans="2:2" ht="15" customHeight="1" x14ac:dyDescent="0.3">
      <c r="B36" s="12" t="s">
        <v>621</v>
      </c>
    </row>
    <row r="37" spans="2:2" ht="15" customHeight="1" x14ac:dyDescent="0.3">
      <c r="B37" s="12" t="s">
        <v>622</v>
      </c>
    </row>
    <row r="38" spans="2:2" ht="15" customHeight="1" x14ac:dyDescent="0.3">
      <c r="B38" s="12" t="s">
        <v>623</v>
      </c>
    </row>
    <row r="39" spans="2:2" ht="15" customHeight="1" x14ac:dyDescent="0.3">
      <c r="B39" s="12" t="s">
        <v>624</v>
      </c>
    </row>
    <row r="40" spans="2:2" ht="15" customHeight="1" x14ac:dyDescent="0.3">
      <c r="B40" s="12"/>
    </row>
    <row r="41" spans="2:2" ht="15" customHeight="1" x14ac:dyDescent="0.3">
      <c r="B41" s="12" t="s">
        <v>625</v>
      </c>
    </row>
    <row r="42" spans="2:2" ht="15" customHeight="1" x14ac:dyDescent="0.3">
      <c r="B42" s="12" t="s">
        <v>626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3"/>
  <sheetViews>
    <sheetView zoomScaleNormal="100" workbookViewId="0"/>
  </sheetViews>
  <sheetFormatPr defaultColWidth="8.6640625" defaultRowHeight="14.4" x14ac:dyDescent="0.3"/>
  <sheetData>
    <row r="1" spans="1:4" ht="15" customHeight="1" x14ac:dyDescent="0.3">
      <c r="A1" t="s">
        <v>586</v>
      </c>
      <c r="B1" t="s">
        <v>586</v>
      </c>
      <c r="C1" t="s">
        <v>586</v>
      </c>
      <c r="D1" t="s">
        <v>586</v>
      </c>
    </row>
    <row r="2" spans="1:4" ht="15" customHeight="1" x14ac:dyDescent="0.3">
      <c r="A2" t="s">
        <v>8</v>
      </c>
      <c r="B2" t="s">
        <v>439</v>
      </c>
      <c r="C2" t="s">
        <v>564</v>
      </c>
      <c r="D2" t="s">
        <v>470</v>
      </c>
    </row>
    <row r="3" spans="1:4" ht="15" customHeight="1" x14ac:dyDescent="0.3">
      <c r="A3" t="s">
        <v>34</v>
      </c>
      <c r="B3" t="s">
        <v>443</v>
      </c>
      <c r="C3" t="s">
        <v>565</v>
      </c>
      <c r="D3" t="s">
        <v>462</v>
      </c>
    </row>
    <row r="4" spans="1:4" ht="15" customHeight="1" x14ac:dyDescent="0.3">
      <c r="A4" t="s">
        <v>53</v>
      </c>
      <c r="B4" t="s">
        <v>450</v>
      </c>
      <c r="C4" t="s">
        <v>566</v>
      </c>
      <c r="D4" t="s">
        <v>446</v>
      </c>
    </row>
    <row r="5" spans="1:4" ht="15" customHeight="1" x14ac:dyDescent="0.3">
      <c r="A5" t="s">
        <v>42</v>
      </c>
      <c r="B5" t="s">
        <v>448</v>
      </c>
      <c r="C5" t="s">
        <v>567</v>
      </c>
      <c r="D5" t="s">
        <v>441</v>
      </c>
    </row>
    <row r="6" spans="1:4" ht="15" customHeight="1" x14ac:dyDescent="0.3">
      <c r="A6" t="s">
        <v>17</v>
      </c>
      <c r="C6" t="s">
        <v>568</v>
      </c>
    </row>
    <row r="7" spans="1:4" ht="15" customHeight="1" x14ac:dyDescent="0.3">
      <c r="A7" t="s">
        <v>28</v>
      </c>
      <c r="C7" t="s">
        <v>569</v>
      </c>
    </row>
    <row r="8" spans="1:4" ht="15" customHeight="1" x14ac:dyDescent="0.3">
      <c r="A8" t="s">
        <v>11</v>
      </c>
      <c r="C8" t="s">
        <v>570</v>
      </c>
    </row>
    <row r="9" spans="1:4" ht="15" customHeight="1" x14ac:dyDescent="0.3">
      <c r="A9" t="s">
        <v>22</v>
      </c>
      <c r="C9" t="s">
        <v>571</v>
      </c>
    </row>
    <row r="10" spans="1:4" ht="15" customHeight="1" x14ac:dyDescent="0.3">
      <c r="C10" t="s">
        <v>572</v>
      </c>
    </row>
    <row r="11" spans="1:4" ht="15" customHeight="1" x14ac:dyDescent="0.3">
      <c r="C11" t="s">
        <v>573</v>
      </c>
    </row>
    <row r="12" spans="1:4" ht="15" customHeight="1" x14ac:dyDescent="0.3">
      <c r="C12" t="s">
        <v>574</v>
      </c>
    </row>
    <row r="13" spans="1:4" ht="15" customHeight="1" x14ac:dyDescent="0.3">
      <c r="C13" t="s">
        <v>575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Sales_Data</vt:lpstr>
      <vt:lpstr>Employee_Master</vt:lpstr>
      <vt:lpstr>Branch_Master</vt:lpstr>
      <vt:lpstr>Product_Master</vt:lpstr>
      <vt:lpstr>Targets</vt:lpstr>
      <vt:lpstr>Merged_Data</vt:lpstr>
      <vt:lpstr>Data_Quality_Checks</vt:lpstr>
      <vt:lpstr>Dashboard</vt:lpstr>
      <vt:lpstr>Filters</vt:lpstr>
      <vt:lpstr>Macro_RefreshDashboard</vt:lpstr>
      <vt:lpstr>FilterLists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mownah gaddamidhi</cp:lastModifiedBy>
  <cp:revision>4</cp:revision>
  <dcterms:created xsi:type="dcterms:W3CDTF">2026-08-05T03:07:43Z</dcterms:created>
  <dcterms:modified xsi:type="dcterms:W3CDTF">2026-08-19T09:41:17Z</dcterms:modified>
  <dc:language>en-US</dc:language>
</cp:coreProperties>
</file>